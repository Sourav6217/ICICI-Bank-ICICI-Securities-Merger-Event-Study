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73243B28-A1A9-48D2-83FD-94802C7D428B}" xr6:coauthVersionLast="47" xr6:coauthVersionMax="47" xr10:uidLastSave="{00000000-0000-0000-0000-000000000000}"/>
  <bookViews>
    <workbookView xWindow="-108" yWindow="-108" windowWidth="23256" windowHeight="12456" tabRatio="906" activeTab="3" xr2:uid="{DE6FE885-1F94-4995-A15A-CE1EC0606A5A}"/>
  </bookViews>
  <sheets>
    <sheet name="Page 372" sheetId="17" r:id="rId1"/>
    <sheet name="Dataset" sheetId="22" r:id="rId2"/>
    <sheet name="ICICI Securities" sheetId="28" r:id="rId3"/>
    <sheet name="ICICI Bank" sheetId="26" r:id="rId4"/>
    <sheet name="Combined" sheetId="30" r:id="rId5"/>
    <sheet name="Graphsheet" sheetId="32" r:id="rId6"/>
    <sheet name="Sheet1" sheetId="31" r:id="rId7"/>
  </sheets>
  <externalReferences>
    <externalReference r:id="rId8"/>
  </externalReferences>
  <definedNames>
    <definedName name="_xlnm._FilterDatabase" localSheetId="6" hidden="1">Sheet1!$A$2:$F$1098</definedName>
    <definedName name="BLPH1" hidden="1">#REF!</definedName>
    <definedName name="BLPH2" hidden="1">#REF!</definedName>
    <definedName name="BLPH20070217034024_1" localSheetId="3" hidden="1">'ICICI Bank'!#REF!</definedName>
    <definedName name="BLPH20070217034024_1" localSheetId="2" hidden="1">'ICICI Securities'!#REF!</definedName>
    <definedName name="BLPH20070217034024_2" localSheetId="3" hidden="1">'ICICI Bank'!#REF!</definedName>
    <definedName name="BLPH20070217034024_2" localSheetId="2" hidden="1">'ICICI Securities'!#REF!</definedName>
    <definedName name="BLPH20070217034024_3" localSheetId="3" hidden="1">'ICICI Bank'!#REF!</definedName>
    <definedName name="BLPH20070217034024_3" localSheetId="2" hidden="1">'ICICI Securities'!#REF!</definedName>
    <definedName name="BLPH20070217034024_4" localSheetId="3" hidden="1">'ICICI Bank'!#REF!</definedName>
    <definedName name="BLPH20070217034024_4" localSheetId="2" hidden="1">'ICICI Securities'!#REF!</definedName>
    <definedName name="BLPH20070217034024_5" localSheetId="3" hidden="1">'ICICI Bank'!#REF!</definedName>
    <definedName name="BLPH20070217034024_5" localSheetId="2" hidden="1">'ICICI Securities'!#REF!</definedName>
    <definedName name="BLPH20070217034024_6" localSheetId="3" hidden="1">'ICICI Bank'!#REF!</definedName>
    <definedName name="BLPH20070217034024_6" localSheetId="2" hidden="1">'ICICI Securities'!#REF!</definedName>
    <definedName name="BLPH20070217034024_7" localSheetId="3" hidden="1">'ICICI Bank'!#REF!</definedName>
    <definedName name="BLPH20070217034024_7" localSheetId="2" hidden="1">'ICICI Securities'!#REF!</definedName>
    <definedName name="data">[1]Data!$A$2:$D$1637</definedName>
    <definedName name="peg">#REF!</definedName>
    <definedName name="w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7" l="1"/>
  <c r="J2" i="17"/>
  <c r="I2" i="17"/>
  <c r="G2" i="17"/>
  <c r="E2" i="17"/>
  <c r="D2" i="17"/>
  <c r="A2" i="17"/>
  <c r="G278" i="28"/>
  <c r="G279" i="28" s="1"/>
  <c r="G280" i="28" s="1"/>
  <c r="G281" i="28" s="1"/>
  <c r="G282" i="28" s="1"/>
  <c r="G277" i="28"/>
  <c r="G276" i="28"/>
  <c r="E276" i="28"/>
  <c r="H276" i="26"/>
  <c r="C4" i="30"/>
  <c r="D4" i="30" s="1"/>
  <c r="C3" i="30"/>
  <c r="D3" i="30" s="1"/>
  <c r="C16" i="26"/>
  <c r="C17" i="26"/>
  <c r="C48" i="26"/>
  <c r="C63" i="26"/>
  <c r="C103" i="26"/>
  <c r="C104" i="26"/>
  <c r="C135" i="26"/>
  <c r="C144" i="26"/>
  <c r="C145" i="26"/>
  <c r="C176" i="26"/>
  <c r="C191" i="26"/>
  <c r="C231" i="26"/>
  <c r="C232" i="26"/>
  <c r="C263" i="26"/>
  <c r="C272" i="26"/>
  <c r="C273" i="26"/>
  <c r="B16" i="26"/>
  <c r="B25" i="26"/>
  <c r="B31" i="26"/>
  <c r="B57" i="26"/>
  <c r="B71" i="26"/>
  <c r="B72" i="26"/>
  <c r="B103" i="26"/>
  <c r="B112" i="26"/>
  <c r="B113" i="26"/>
  <c r="B144" i="26"/>
  <c r="B153" i="26"/>
  <c r="B159" i="26"/>
  <c r="B185" i="26"/>
  <c r="B199" i="26"/>
  <c r="B200" i="26"/>
  <c r="B231" i="26"/>
  <c r="B240" i="26"/>
  <c r="B241" i="26"/>
  <c r="B272" i="26"/>
  <c r="B281" i="26"/>
  <c r="B287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M282" i="26" s="1"/>
  <c r="A281" i="26"/>
  <c r="M281" i="26" s="1"/>
  <c r="A280" i="26"/>
  <c r="M280" i="26" s="1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78" i="26"/>
  <c r="M278" i="26" s="1"/>
  <c r="A277" i="26"/>
  <c r="M277" i="26" s="1"/>
  <c r="A276" i="26"/>
  <c r="M276" i="26" s="1"/>
  <c r="A279" i="26"/>
  <c r="M279" i="26" s="1"/>
  <c r="C21" i="28"/>
  <c r="C30" i="28"/>
  <c r="C36" i="28"/>
  <c r="C77" i="28"/>
  <c r="C105" i="28"/>
  <c r="C110" i="28"/>
  <c r="C122" i="28"/>
  <c r="C126" i="28"/>
  <c r="C138" i="28"/>
  <c r="C142" i="28"/>
  <c r="C154" i="28"/>
  <c r="C158" i="28"/>
  <c r="C170" i="28"/>
  <c r="C174" i="28"/>
  <c r="C186" i="28"/>
  <c r="C190" i="28"/>
  <c r="C202" i="28"/>
  <c r="C206" i="28"/>
  <c r="C218" i="28"/>
  <c r="C222" i="28"/>
  <c r="C234" i="28"/>
  <c r="C238" i="28"/>
  <c r="C250" i="28"/>
  <c r="C254" i="28"/>
  <c r="C266" i="28"/>
  <c r="C270" i="28"/>
  <c r="C288" i="28"/>
  <c r="C289" i="28"/>
  <c r="C11" i="28"/>
  <c r="B15" i="28"/>
  <c r="B16" i="28"/>
  <c r="B31" i="28"/>
  <c r="B32" i="28"/>
  <c r="B47" i="28"/>
  <c r="B48" i="28"/>
  <c r="B63" i="28"/>
  <c r="B64" i="28"/>
  <c r="B79" i="28"/>
  <c r="B80" i="28"/>
  <c r="B95" i="28"/>
  <c r="B96" i="28"/>
  <c r="B111" i="28"/>
  <c r="B112" i="28"/>
  <c r="B127" i="28"/>
  <c r="B128" i="28"/>
  <c r="B143" i="28"/>
  <c r="B144" i="28"/>
  <c r="B159" i="28"/>
  <c r="B160" i="28"/>
  <c r="B175" i="28"/>
  <c r="B176" i="28"/>
  <c r="B191" i="28"/>
  <c r="B192" i="28"/>
  <c r="B207" i="28"/>
  <c r="B208" i="28"/>
  <c r="B223" i="28"/>
  <c r="B224" i="28"/>
  <c r="B239" i="28"/>
  <c r="B240" i="28"/>
  <c r="B249" i="28"/>
  <c r="B255" i="28"/>
  <c r="B264" i="28"/>
  <c r="B265" i="28"/>
  <c r="B272" i="28"/>
  <c r="B274" i="28"/>
  <c r="B275" i="28"/>
  <c r="B280" i="28"/>
  <c r="B282" i="28"/>
  <c r="B283" i="28"/>
  <c r="B288" i="28"/>
  <c r="B290" i="28"/>
  <c r="B291" i="28"/>
  <c r="B296" i="28"/>
  <c r="B298" i="28"/>
  <c r="B299" i="28"/>
  <c r="A11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18" i="30" s="1"/>
  <c r="A280" i="28"/>
  <c r="A281" i="28"/>
  <c r="A17" i="30" s="1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78" i="28"/>
  <c r="A277" i="28"/>
  <c r="A13" i="30" s="1"/>
  <c r="A276" i="28"/>
  <c r="A12" i="30" s="1"/>
  <c r="A279" i="28"/>
  <c r="A15" i="30" s="1"/>
  <c r="K991" i="22"/>
  <c r="K992" i="22"/>
  <c r="K993" i="22"/>
  <c r="K994" i="22"/>
  <c r="K995" i="22"/>
  <c r="K996" i="22"/>
  <c r="K997" i="22"/>
  <c r="K998" i="22"/>
  <c r="K999" i="22"/>
  <c r="K1000" i="22"/>
  <c r="K1001" i="22"/>
  <c r="K1002" i="22"/>
  <c r="K1003" i="22"/>
  <c r="K1004" i="22"/>
  <c r="K1005" i="22"/>
  <c r="K1006" i="22"/>
  <c r="K1007" i="22"/>
  <c r="K1008" i="22"/>
  <c r="K1009" i="22"/>
  <c r="K1010" i="22"/>
  <c r="K1011" i="22"/>
  <c r="K1012" i="22"/>
  <c r="K1013" i="22"/>
  <c r="K1014" i="22"/>
  <c r="K1015" i="22"/>
  <c r="K1016" i="22"/>
  <c r="K1017" i="22"/>
  <c r="K1018" i="22"/>
  <c r="K1019" i="22"/>
  <c r="K1020" i="22"/>
  <c r="K1021" i="22"/>
  <c r="K1022" i="22"/>
  <c r="K1023" i="22"/>
  <c r="K1024" i="22"/>
  <c r="K1025" i="22"/>
  <c r="K1026" i="22"/>
  <c r="K1027" i="22"/>
  <c r="K1028" i="22"/>
  <c r="K1029" i="22"/>
  <c r="K1030" i="22"/>
  <c r="K1031" i="22"/>
  <c r="K1032" i="22"/>
  <c r="K1033" i="22"/>
  <c r="K1034" i="22"/>
  <c r="K1035" i="22"/>
  <c r="K1036" i="22"/>
  <c r="K1037" i="22"/>
  <c r="K1038" i="22"/>
  <c r="K1039" i="22"/>
  <c r="K1040" i="22"/>
  <c r="K1041" i="22"/>
  <c r="K1042" i="22"/>
  <c r="K1043" i="22"/>
  <c r="K1044" i="22"/>
  <c r="K1045" i="22"/>
  <c r="K1046" i="22"/>
  <c r="K1047" i="22"/>
  <c r="K1048" i="22"/>
  <c r="K1049" i="22"/>
  <c r="K1050" i="22"/>
  <c r="K1051" i="22"/>
  <c r="K1052" i="22"/>
  <c r="K1053" i="22"/>
  <c r="K1054" i="22"/>
  <c r="K1055" i="22"/>
  <c r="K1056" i="22"/>
  <c r="K1057" i="22"/>
  <c r="K1058" i="22"/>
  <c r="K1059" i="22"/>
  <c r="K1060" i="22"/>
  <c r="K1061" i="22"/>
  <c r="K1062" i="22"/>
  <c r="K1063" i="22"/>
  <c r="K1064" i="22"/>
  <c r="K1065" i="22"/>
  <c r="K1066" i="22"/>
  <c r="K1067" i="22"/>
  <c r="K1068" i="22"/>
  <c r="K1069" i="22"/>
  <c r="K1070" i="22"/>
  <c r="K1071" i="22"/>
  <c r="K1072" i="22"/>
  <c r="K1073" i="22"/>
  <c r="K1074" i="22"/>
  <c r="K1075" i="22"/>
  <c r="K1076" i="22"/>
  <c r="K1077" i="22"/>
  <c r="K1078" i="22"/>
  <c r="K1079" i="22"/>
  <c r="K1080" i="22"/>
  <c r="K1081" i="22"/>
  <c r="K1082" i="22"/>
  <c r="K1083" i="22"/>
  <c r="K1084" i="22"/>
  <c r="K1085" i="22"/>
  <c r="K1086" i="22"/>
  <c r="K1087" i="22"/>
  <c r="K1088" i="22"/>
  <c r="K1089" i="22"/>
  <c r="K1090" i="22"/>
  <c r="K1091" i="22"/>
  <c r="K1092" i="22"/>
  <c r="K1093" i="22"/>
  <c r="K1094" i="22"/>
  <c r="K1095" i="22"/>
  <c r="K1096" i="22"/>
  <c r="K1097" i="22"/>
  <c r="K1098" i="22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H824" i="22"/>
  <c r="H825" i="22"/>
  <c r="H826" i="22"/>
  <c r="H827" i="22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H850" i="22"/>
  <c r="H851" i="22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H876" i="22"/>
  <c r="H877" i="22"/>
  <c r="H878" i="22"/>
  <c r="H879" i="22"/>
  <c r="H880" i="22"/>
  <c r="H881" i="22"/>
  <c r="H882" i="22"/>
  <c r="H883" i="22"/>
  <c r="H884" i="22"/>
  <c r="H885" i="22"/>
  <c r="H886" i="22"/>
  <c r="H887" i="22"/>
  <c r="H888" i="22"/>
  <c r="H889" i="22"/>
  <c r="H890" i="22"/>
  <c r="H891" i="22"/>
  <c r="H892" i="22"/>
  <c r="H893" i="22"/>
  <c r="H894" i="22"/>
  <c r="H895" i="22"/>
  <c r="H896" i="22"/>
  <c r="H897" i="22"/>
  <c r="H898" i="22"/>
  <c r="H899" i="22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E992" i="22"/>
  <c r="E993" i="22"/>
  <c r="E994" i="22"/>
  <c r="E995" i="22"/>
  <c r="E996" i="22"/>
  <c r="E997" i="22"/>
  <c r="E998" i="22"/>
  <c r="E999" i="22"/>
  <c r="E1000" i="22"/>
  <c r="E1001" i="22"/>
  <c r="E1002" i="22"/>
  <c r="E1003" i="22"/>
  <c r="E1004" i="22"/>
  <c r="E1005" i="22"/>
  <c r="E1006" i="22"/>
  <c r="E1007" i="22"/>
  <c r="E1008" i="22"/>
  <c r="E1009" i="22"/>
  <c r="E1010" i="22"/>
  <c r="E1011" i="22"/>
  <c r="E1012" i="22"/>
  <c r="E1013" i="22"/>
  <c r="E1014" i="22"/>
  <c r="E1015" i="22"/>
  <c r="E1016" i="22"/>
  <c r="E1017" i="22"/>
  <c r="E1018" i="22"/>
  <c r="E1019" i="22"/>
  <c r="E1020" i="22"/>
  <c r="E1021" i="22"/>
  <c r="E1022" i="22"/>
  <c r="E1023" i="22"/>
  <c r="E1024" i="22"/>
  <c r="E1025" i="22"/>
  <c r="E1026" i="22"/>
  <c r="E1027" i="22"/>
  <c r="E1028" i="22"/>
  <c r="E1029" i="22"/>
  <c r="E1030" i="22"/>
  <c r="E1031" i="22"/>
  <c r="E1032" i="22"/>
  <c r="E1033" i="22"/>
  <c r="E1034" i="22"/>
  <c r="E1035" i="22"/>
  <c r="E1036" i="22"/>
  <c r="E1037" i="22"/>
  <c r="E1038" i="22"/>
  <c r="E1039" i="22"/>
  <c r="E1040" i="22"/>
  <c r="E1041" i="22"/>
  <c r="E1042" i="22"/>
  <c r="E1043" i="22"/>
  <c r="E1044" i="22"/>
  <c r="E1045" i="22"/>
  <c r="E1046" i="22"/>
  <c r="E1047" i="22"/>
  <c r="E1048" i="22"/>
  <c r="E1049" i="22"/>
  <c r="E1050" i="22"/>
  <c r="E1051" i="22"/>
  <c r="E1052" i="22"/>
  <c r="E1053" i="22"/>
  <c r="E1054" i="22"/>
  <c r="E1055" i="22"/>
  <c r="E1056" i="22"/>
  <c r="E1057" i="22"/>
  <c r="E1058" i="22"/>
  <c r="E1059" i="22"/>
  <c r="E1060" i="22"/>
  <c r="E1061" i="22"/>
  <c r="E1062" i="22"/>
  <c r="E1063" i="22"/>
  <c r="E1064" i="22"/>
  <c r="E1065" i="22"/>
  <c r="E1066" i="22"/>
  <c r="E1067" i="22"/>
  <c r="E1068" i="22"/>
  <c r="E1069" i="22"/>
  <c r="E1070" i="22"/>
  <c r="E1071" i="22"/>
  <c r="E1072" i="22"/>
  <c r="E1073" i="22"/>
  <c r="E1074" i="22"/>
  <c r="E1075" i="22"/>
  <c r="E1076" i="22"/>
  <c r="E1077" i="22"/>
  <c r="E1078" i="22"/>
  <c r="E1079" i="22"/>
  <c r="E1080" i="22"/>
  <c r="E1081" i="22"/>
  <c r="E1082" i="22"/>
  <c r="E1083" i="22"/>
  <c r="E1084" i="22"/>
  <c r="E1085" i="22"/>
  <c r="E1086" i="22"/>
  <c r="E1087" i="22"/>
  <c r="E1088" i="22"/>
  <c r="E1089" i="22"/>
  <c r="E1090" i="22"/>
  <c r="E1091" i="22"/>
  <c r="E1092" i="22"/>
  <c r="E1093" i="22"/>
  <c r="E1094" i="22"/>
  <c r="E1095" i="22"/>
  <c r="E1096" i="22"/>
  <c r="E1097" i="22"/>
  <c r="E1098" i="22"/>
  <c r="Q5" i="22"/>
  <c r="Q6" i="22"/>
  <c r="Q7" i="22"/>
  <c r="Q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B11" i="26" s="1"/>
  <c r="E231" i="22"/>
  <c r="E232" i="22"/>
  <c r="E233" i="22"/>
  <c r="B14" i="26" s="1"/>
  <c r="E234" i="22"/>
  <c r="B15" i="26" s="1"/>
  <c r="E235" i="22"/>
  <c r="E236" i="22"/>
  <c r="E237" i="22"/>
  <c r="E238" i="22"/>
  <c r="B19" i="26" s="1"/>
  <c r="E239" i="22"/>
  <c r="E240" i="22"/>
  <c r="E241" i="22"/>
  <c r="B22" i="26" s="1"/>
  <c r="E242" i="22"/>
  <c r="B23" i="26" s="1"/>
  <c r="E243" i="22"/>
  <c r="B24" i="28" s="1"/>
  <c r="E244" i="22"/>
  <c r="B25" i="28" s="1"/>
  <c r="E245" i="22"/>
  <c r="E246" i="22"/>
  <c r="B27" i="26" s="1"/>
  <c r="E247" i="22"/>
  <c r="E248" i="22"/>
  <c r="E249" i="22"/>
  <c r="B30" i="26" s="1"/>
  <c r="E250" i="22"/>
  <c r="E251" i="22"/>
  <c r="B32" i="26" s="1"/>
  <c r="E252" i="22"/>
  <c r="E253" i="22"/>
  <c r="E254" i="22"/>
  <c r="B35" i="26" s="1"/>
  <c r="E255" i="22"/>
  <c r="E256" i="22"/>
  <c r="E257" i="22"/>
  <c r="B38" i="26" s="1"/>
  <c r="E258" i="22"/>
  <c r="B39" i="26" s="1"/>
  <c r="E259" i="22"/>
  <c r="B40" i="26" s="1"/>
  <c r="E260" i="22"/>
  <c r="E261" i="22"/>
  <c r="E262" i="22"/>
  <c r="B43" i="26" s="1"/>
  <c r="E263" i="22"/>
  <c r="E264" i="22"/>
  <c r="E265" i="22"/>
  <c r="B46" i="26" s="1"/>
  <c r="E266" i="22"/>
  <c r="B47" i="26" s="1"/>
  <c r="E267" i="22"/>
  <c r="B48" i="26" s="1"/>
  <c r="E268" i="22"/>
  <c r="B49" i="28" s="1"/>
  <c r="E269" i="22"/>
  <c r="E270" i="22"/>
  <c r="B51" i="26" s="1"/>
  <c r="E271" i="22"/>
  <c r="E272" i="22"/>
  <c r="E273" i="22"/>
  <c r="B54" i="26" s="1"/>
  <c r="E274" i="22"/>
  <c r="B55" i="26" s="1"/>
  <c r="E275" i="22"/>
  <c r="B56" i="26" s="1"/>
  <c r="E276" i="22"/>
  <c r="B57" i="28" s="1"/>
  <c r="E277" i="22"/>
  <c r="E278" i="22"/>
  <c r="B59" i="26" s="1"/>
  <c r="E279" i="22"/>
  <c r="E280" i="22"/>
  <c r="E281" i="22"/>
  <c r="B62" i="26" s="1"/>
  <c r="E282" i="22"/>
  <c r="B63" i="26" s="1"/>
  <c r="E283" i="22"/>
  <c r="B64" i="26" s="1"/>
  <c r="E284" i="22"/>
  <c r="B65" i="28" s="1"/>
  <c r="E285" i="22"/>
  <c r="E286" i="22"/>
  <c r="B67" i="26" s="1"/>
  <c r="E287" i="22"/>
  <c r="E288" i="22"/>
  <c r="E289" i="22"/>
  <c r="B70" i="26" s="1"/>
  <c r="E290" i="22"/>
  <c r="B71" i="28" s="1"/>
  <c r="E291" i="22"/>
  <c r="B72" i="28" s="1"/>
  <c r="E292" i="22"/>
  <c r="E293" i="22"/>
  <c r="E294" i="22"/>
  <c r="B75" i="26" s="1"/>
  <c r="E295" i="22"/>
  <c r="E296" i="22"/>
  <c r="E297" i="22"/>
  <c r="B78" i="26" s="1"/>
  <c r="E298" i="22"/>
  <c r="B79" i="26" s="1"/>
  <c r="E299" i="22"/>
  <c r="B80" i="26" s="1"/>
  <c r="E300" i="22"/>
  <c r="E301" i="22"/>
  <c r="E302" i="22"/>
  <c r="B83" i="26" s="1"/>
  <c r="E303" i="22"/>
  <c r="E304" i="22"/>
  <c r="E305" i="22"/>
  <c r="B86" i="26" s="1"/>
  <c r="E306" i="22"/>
  <c r="B87" i="26" s="1"/>
  <c r="E307" i="22"/>
  <c r="B88" i="26" s="1"/>
  <c r="E308" i="22"/>
  <c r="B89" i="28" s="1"/>
  <c r="E309" i="22"/>
  <c r="E310" i="22"/>
  <c r="B91" i="26" s="1"/>
  <c r="E311" i="22"/>
  <c r="E312" i="22"/>
  <c r="E313" i="22"/>
  <c r="B94" i="26" s="1"/>
  <c r="E314" i="22"/>
  <c r="B95" i="26" s="1"/>
  <c r="E315" i="22"/>
  <c r="B96" i="26" s="1"/>
  <c r="E316" i="22"/>
  <c r="E317" i="22"/>
  <c r="E318" i="22"/>
  <c r="B99" i="26" s="1"/>
  <c r="E319" i="22"/>
  <c r="E320" i="22"/>
  <c r="E321" i="22"/>
  <c r="B102" i="26" s="1"/>
  <c r="E322" i="22"/>
  <c r="B103" i="28" s="1"/>
  <c r="E323" i="22"/>
  <c r="B104" i="26" s="1"/>
  <c r="E324" i="22"/>
  <c r="E325" i="22"/>
  <c r="E326" i="22"/>
  <c r="B107" i="26" s="1"/>
  <c r="E327" i="22"/>
  <c r="E328" i="22"/>
  <c r="E329" i="22"/>
  <c r="B110" i="26" s="1"/>
  <c r="E330" i="22"/>
  <c r="B111" i="26" s="1"/>
  <c r="E331" i="22"/>
  <c r="E332" i="22"/>
  <c r="B113" i="28" s="1"/>
  <c r="E333" i="22"/>
  <c r="E334" i="22"/>
  <c r="B115" i="26" s="1"/>
  <c r="E335" i="22"/>
  <c r="E336" i="22"/>
  <c r="E337" i="22"/>
  <c r="B118" i="26" s="1"/>
  <c r="E338" i="22"/>
  <c r="B119" i="26" s="1"/>
  <c r="E339" i="22"/>
  <c r="B120" i="26" s="1"/>
  <c r="E340" i="22"/>
  <c r="B121" i="28" s="1"/>
  <c r="E341" i="22"/>
  <c r="E342" i="22"/>
  <c r="B123" i="26" s="1"/>
  <c r="E343" i="22"/>
  <c r="E344" i="22"/>
  <c r="E345" i="22"/>
  <c r="B126" i="26" s="1"/>
  <c r="E346" i="22"/>
  <c r="B127" i="26" s="1"/>
  <c r="E347" i="22"/>
  <c r="B128" i="26" s="1"/>
  <c r="E348" i="22"/>
  <c r="B129" i="28" s="1"/>
  <c r="E349" i="22"/>
  <c r="E350" i="22"/>
  <c r="B131" i="26" s="1"/>
  <c r="E351" i="22"/>
  <c r="E352" i="22"/>
  <c r="E353" i="22"/>
  <c r="B134" i="26" s="1"/>
  <c r="E354" i="22"/>
  <c r="B135" i="26" s="1"/>
  <c r="E355" i="22"/>
  <c r="B136" i="26" s="1"/>
  <c r="E356" i="22"/>
  <c r="E357" i="22"/>
  <c r="E358" i="22"/>
  <c r="B139" i="26" s="1"/>
  <c r="E359" i="22"/>
  <c r="E360" i="22"/>
  <c r="E361" i="22"/>
  <c r="B142" i="26" s="1"/>
  <c r="E362" i="22"/>
  <c r="B143" i="26" s="1"/>
  <c r="E363" i="22"/>
  <c r="E364" i="22"/>
  <c r="E365" i="22"/>
  <c r="E366" i="22"/>
  <c r="B147" i="26" s="1"/>
  <c r="E367" i="22"/>
  <c r="E368" i="22"/>
  <c r="E369" i="22"/>
  <c r="B150" i="26" s="1"/>
  <c r="E370" i="22"/>
  <c r="B151" i="26" s="1"/>
  <c r="E371" i="22"/>
  <c r="B152" i="28" s="1"/>
  <c r="E372" i="22"/>
  <c r="B153" i="28" s="1"/>
  <c r="E373" i="22"/>
  <c r="E374" i="22"/>
  <c r="B155" i="26" s="1"/>
  <c r="E375" i="22"/>
  <c r="E376" i="22"/>
  <c r="E377" i="22"/>
  <c r="B158" i="26" s="1"/>
  <c r="E378" i="22"/>
  <c r="E379" i="22"/>
  <c r="B160" i="26" s="1"/>
  <c r="E380" i="22"/>
  <c r="E381" i="22"/>
  <c r="E382" i="22"/>
  <c r="B163" i="26" s="1"/>
  <c r="E383" i="22"/>
  <c r="E384" i="22"/>
  <c r="E385" i="22"/>
  <c r="B166" i="26" s="1"/>
  <c r="E386" i="22"/>
  <c r="B167" i="26" s="1"/>
  <c r="E387" i="22"/>
  <c r="B168" i="26" s="1"/>
  <c r="E388" i="22"/>
  <c r="E389" i="22"/>
  <c r="E390" i="22"/>
  <c r="B171" i="26" s="1"/>
  <c r="E391" i="22"/>
  <c r="E392" i="22"/>
  <c r="E393" i="22"/>
  <c r="B174" i="26" s="1"/>
  <c r="E394" i="22"/>
  <c r="B175" i="26" s="1"/>
  <c r="E395" i="22"/>
  <c r="B176" i="26" s="1"/>
  <c r="E396" i="22"/>
  <c r="B177" i="28" s="1"/>
  <c r="E397" i="22"/>
  <c r="E398" i="22"/>
  <c r="B179" i="26" s="1"/>
  <c r="E399" i="22"/>
  <c r="E400" i="22"/>
  <c r="E401" i="22"/>
  <c r="B182" i="26" s="1"/>
  <c r="E402" i="22"/>
  <c r="B183" i="26" s="1"/>
  <c r="E403" i="22"/>
  <c r="B184" i="26" s="1"/>
  <c r="E404" i="22"/>
  <c r="B185" i="28" s="1"/>
  <c r="E405" i="22"/>
  <c r="E406" i="22"/>
  <c r="B187" i="26" s="1"/>
  <c r="E407" i="22"/>
  <c r="E408" i="22"/>
  <c r="E409" i="22"/>
  <c r="B190" i="26" s="1"/>
  <c r="E410" i="22"/>
  <c r="B191" i="26" s="1"/>
  <c r="E411" i="22"/>
  <c r="B192" i="26" s="1"/>
  <c r="E412" i="22"/>
  <c r="B193" i="28" s="1"/>
  <c r="E413" i="22"/>
  <c r="E414" i="22"/>
  <c r="B195" i="26" s="1"/>
  <c r="E415" i="22"/>
  <c r="E416" i="22"/>
  <c r="E417" i="22"/>
  <c r="B198" i="26" s="1"/>
  <c r="E418" i="22"/>
  <c r="B199" i="28" s="1"/>
  <c r="E419" i="22"/>
  <c r="B200" i="28" s="1"/>
  <c r="E420" i="22"/>
  <c r="E421" i="22"/>
  <c r="E422" i="22"/>
  <c r="B203" i="26" s="1"/>
  <c r="E423" i="22"/>
  <c r="E424" i="22"/>
  <c r="E425" i="22"/>
  <c r="B206" i="26" s="1"/>
  <c r="E426" i="22"/>
  <c r="B207" i="26" s="1"/>
  <c r="E427" i="22"/>
  <c r="B208" i="26" s="1"/>
  <c r="E428" i="22"/>
  <c r="E429" i="22"/>
  <c r="E430" i="22"/>
  <c r="B211" i="26" s="1"/>
  <c r="E431" i="22"/>
  <c r="E432" i="22"/>
  <c r="E433" i="22"/>
  <c r="B214" i="26" s="1"/>
  <c r="E434" i="22"/>
  <c r="B215" i="26" s="1"/>
  <c r="E435" i="22"/>
  <c r="B216" i="26" s="1"/>
  <c r="E436" i="22"/>
  <c r="B217" i="28" s="1"/>
  <c r="E437" i="22"/>
  <c r="E438" i="22"/>
  <c r="B219" i="26" s="1"/>
  <c r="E439" i="22"/>
  <c r="E440" i="22"/>
  <c r="E441" i="22"/>
  <c r="B222" i="26" s="1"/>
  <c r="E442" i="22"/>
  <c r="B223" i="26" s="1"/>
  <c r="E443" i="22"/>
  <c r="B224" i="26" s="1"/>
  <c r="E444" i="22"/>
  <c r="E445" i="22"/>
  <c r="E446" i="22"/>
  <c r="B227" i="26" s="1"/>
  <c r="E447" i="22"/>
  <c r="E448" i="22"/>
  <c r="E449" i="22"/>
  <c r="B230" i="26" s="1"/>
  <c r="E450" i="22"/>
  <c r="B231" i="28" s="1"/>
  <c r="E451" i="22"/>
  <c r="B232" i="26" s="1"/>
  <c r="E452" i="22"/>
  <c r="E453" i="22"/>
  <c r="E454" i="22"/>
  <c r="B235" i="26" s="1"/>
  <c r="E455" i="22"/>
  <c r="E456" i="22"/>
  <c r="E457" i="22"/>
  <c r="B238" i="26" s="1"/>
  <c r="E458" i="22"/>
  <c r="B239" i="26" s="1"/>
  <c r="E459" i="22"/>
  <c r="E460" i="22"/>
  <c r="B241" i="28" s="1"/>
  <c r="E461" i="22"/>
  <c r="E462" i="22"/>
  <c r="B243" i="26" s="1"/>
  <c r="E463" i="22"/>
  <c r="E464" i="22"/>
  <c r="E465" i="22"/>
  <c r="B246" i="26" s="1"/>
  <c r="E466" i="22"/>
  <c r="B247" i="26" s="1"/>
  <c r="E467" i="22"/>
  <c r="B248" i="26" s="1"/>
  <c r="E468" i="22"/>
  <c r="B249" i="26" s="1"/>
  <c r="E469" i="22"/>
  <c r="E470" i="22"/>
  <c r="B251" i="26" s="1"/>
  <c r="E471" i="22"/>
  <c r="E472" i="22"/>
  <c r="E473" i="22"/>
  <c r="B254" i="26" s="1"/>
  <c r="E474" i="22"/>
  <c r="B255" i="26" s="1"/>
  <c r="E475" i="22"/>
  <c r="B256" i="26" s="1"/>
  <c r="E476" i="22"/>
  <c r="B257" i="26" s="1"/>
  <c r="E477" i="22"/>
  <c r="B258" i="26" s="1"/>
  <c r="E478" i="22"/>
  <c r="B259" i="26" s="1"/>
  <c r="E479" i="22"/>
  <c r="E480" i="22"/>
  <c r="E481" i="22"/>
  <c r="B262" i="26" s="1"/>
  <c r="E482" i="22"/>
  <c r="B263" i="26" s="1"/>
  <c r="E483" i="22"/>
  <c r="B264" i="26" s="1"/>
  <c r="E484" i="22"/>
  <c r="B265" i="26" s="1"/>
  <c r="E485" i="22"/>
  <c r="B266" i="26" s="1"/>
  <c r="E486" i="22"/>
  <c r="B267" i="26" s="1"/>
  <c r="E487" i="22"/>
  <c r="E488" i="22"/>
  <c r="E489" i="22"/>
  <c r="B270" i="26" s="1"/>
  <c r="E490" i="22"/>
  <c r="B271" i="26" s="1"/>
  <c r="E491" i="22"/>
  <c r="E492" i="22"/>
  <c r="B273" i="26" s="1"/>
  <c r="E493" i="22"/>
  <c r="B274" i="26" s="1"/>
  <c r="E494" i="22"/>
  <c r="B275" i="26" s="1"/>
  <c r="E495" i="22"/>
  <c r="B276" i="26" s="1"/>
  <c r="E496" i="22"/>
  <c r="B277" i="26" s="1"/>
  <c r="E497" i="22"/>
  <c r="B278" i="26" s="1"/>
  <c r="E498" i="22"/>
  <c r="B279" i="26" s="1"/>
  <c r="E499" i="22"/>
  <c r="B280" i="26" s="1"/>
  <c r="E500" i="22"/>
  <c r="B281" i="28" s="1"/>
  <c r="E501" i="22"/>
  <c r="B282" i="26" s="1"/>
  <c r="E502" i="22"/>
  <c r="B283" i="26" s="1"/>
  <c r="E503" i="22"/>
  <c r="B284" i="26" s="1"/>
  <c r="E504" i="22"/>
  <c r="B285" i="26" s="1"/>
  <c r="E505" i="22"/>
  <c r="B286" i="26" s="1"/>
  <c r="E506" i="22"/>
  <c r="B287" i="28" s="1"/>
  <c r="E507" i="22"/>
  <c r="B288" i="26" s="1"/>
  <c r="E508" i="22"/>
  <c r="B289" i="26" s="1"/>
  <c r="E509" i="22"/>
  <c r="B290" i="26" s="1"/>
  <c r="E510" i="22"/>
  <c r="B291" i="26" s="1"/>
  <c r="E511" i="22"/>
  <c r="B292" i="26" s="1"/>
  <c r="E512" i="22"/>
  <c r="B293" i="26" s="1"/>
  <c r="E513" i="22"/>
  <c r="B294" i="26" s="1"/>
  <c r="E514" i="22"/>
  <c r="B295" i="26" s="1"/>
  <c r="E515" i="22"/>
  <c r="B296" i="26" s="1"/>
  <c r="E516" i="22"/>
  <c r="B297" i="26" s="1"/>
  <c r="E517" i="22"/>
  <c r="B298" i="26" s="1"/>
  <c r="E518" i="22"/>
  <c r="B299" i="26" s="1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645" i="22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4" i="22"/>
  <c r="E675" i="22"/>
  <c r="E676" i="22"/>
  <c r="E677" i="22"/>
  <c r="E678" i="22"/>
  <c r="E679" i="22"/>
  <c r="E680" i="22"/>
  <c r="E681" i="22"/>
  <c r="E682" i="22"/>
  <c r="E683" i="22"/>
  <c r="E684" i="22"/>
  <c r="E685" i="22"/>
  <c r="E686" i="22"/>
  <c r="E687" i="22"/>
  <c r="E688" i="22"/>
  <c r="E689" i="22"/>
  <c r="E690" i="22"/>
  <c r="E691" i="22"/>
  <c r="E692" i="22"/>
  <c r="E693" i="22"/>
  <c r="E694" i="22"/>
  <c r="E695" i="22"/>
  <c r="E696" i="22"/>
  <c r="E697" i="22"/>
  <c r="E698" i="22"/>
  <c r="E699" i="22"/>
  <c r="E700" i="22"/>
  <c r="E701" i="22"/>
  <c r="E702" i="22"/>
  <c r="E703" i="22"/>
  <c r="E704" i="22"/>
  <c r="E705" i="22"/>
  <c r="E706" i="22"/>
  <c r="E707" i="22"/>
  <c r="E708" i="22"/>
  <c r="E709" i="22"/>
  <c r="E710" i="22"/>
  <c r="E711" i="22"/>
  <c r="E712" i="22"/>
  <c r="E713" i="22"/>
  <c r="E714" i="22"/>
  <c r="E715" i="22"/>
  <c r="E716" i="22"/>
  <c r="E717" i="22"/>
  <c r="E718" i="22"/>
  <c r="E719" i="22"/>
  <c r="E720" i="22"/>
  <c r="E721" i="22"/>
  <c r="E722" i="22"/>
  <c r="E723" i="22"/>
  <c r="E724" i="22"/>
  <c r="E725" i="22"/>
  <c r="E726" i="22"/>
  <c r="E727" i="22"/>
  <c r="E728" i="22"/>
  <c r="E729" i="22"/>
  <c r="E730" i="22"/>
  <c r="E731" i="22"/>
  <c r="E732" i="22"/>
  <c r="E733" i="22"/>
  <c r="E734" i="22"/>
  <c r="E735" i="22"/>
  <c r="E736" i="22"/>
  <c r="E737" i="22"/>
  <c r="E738" i="22"/>
  <c r="E739" i="22"/>
  <c r="E740" i="22"/>
  <c r="E741" i="22"/>
  <c r="E742" i="22"/>
  <c r="E743" i="22"/>
  <c r="E744" i="22"/>
  <c r="E745" i="22"/>
  <c r="E746" i="22"/>
  <c r="E747" i="22"/>
  <c r="E748" i="22"/>
  <c r="E749" i="22"/>
  <c r="E750" i="22"/>
  <c r="E751" i="22"/>
  <c r="E752" i="22"/>
  <c r="E753" i="22"/>
  <c r="E754" i="22"/>
  <c r="E755" i="22"/>
  <c r="E756" i="22"/>
  <c r="E757" i="22"/>
  <c r="E758" i="22"/>
  <c r="E759" i="22"/>
  <c r="E760" i="22"/>
  <c r="E761" i="22"/>
  <c r="E762" i="22"/>
  <c r="E763" i="22"/>
  <c r="E764" i="22"/>
  <c r="E765" i="22"/>
  <c r="E766" i="22"/>
  <c r="E767" i="22"/>
  <c r="E768" i="22"/>
  <c r="E769" i="22"/>
  <c r="E770" i="22"/>
  <c r="E771" i="22"/>
  <c r="E772" i="22"/>
  <c r="E773" i="22"/>
  <c r="E774" i="22"/>
  <c r="E775" i="22"/>
  <c r="E776" i="22"/>
  <c r="E777" i="22"/>
  <c r="E778" i="22"/>
  <c r="E779" i="22"/>
  <c r="E780" i="22"/>
  <c r="E781" i="22"/>
  <c r="E782" i="22"/>
  <c r="E783" i="22"/>
  <c r="E784" i="22"/>
  <c r="E785" i="22"/>
  <c r="E786" i="22"/>
  <c r="E787" i="22"/>
  <c r="E788" i="22"/>
  <c r="E789" i="22"/>
  <c r="E790" i="22"/>
  <c r="E791" i="22"/>
  <c r="E792" i="22"/>
  <c r="E793" i="22"/>
  <c r="E794" i="22"/>
  <c r="E795" i="22"/>
  <c r="E796" i="22"/>
  <c r="E797" i="22"/>
  <c r="E798" i="22"/>
  <c r="E799" i="22"/>
  <c r="E800" i="22"/>
  <c r="E801" i="22"/>
  <c r="E802" i="22"/>
  <c r="E803" i="22"/>
  <c r="E804" i="22"/>
  <c r="E805" i="22"/>
  <c r="E806" i="22"/>
  <c r="E807" i="22"/>
  <c r="E808" i="22"/>
  <c r="E809" i="22"/>
  <c r="E810" i="22"/>
  <c r="E811" i="22"/>
  <c r="E812" i="22"/>
  <c r="E813" i="22"/>
  <c r="E814" i="22"/>
  <c r="E815" i="22"/>
  <c r="E816" i="22"/>
  <c r="E817" i="22"/>
  <c r="E818" i="22"/>
  <c r="E819" i="22"/>
  <c r="E820" i="22"/>
  <c r="E821" i="22"/>
  <c r="E822" i="22"/>
  <c r="E823" i="22"/>
  <c r="E824" i="22"/>
  <c r="E825" i="22"/>
  <c r="E826" i="22"/>
  <c r="E827" i="22"/>
  <c r="E828" i="22"/>
  <c r="E829" i="22"/>
  <c r="E830" i="22"/>
  <c r="E831" i="22"/>
  <c r="E832" i="22"/>
  <c r="E833" i="22"/>
  <c r="E834" i="22"/>
  <c r="E835" i="22"/>
  <c r="E836" i="22"/>
  <c r="E837" i="22"/>
  <c r="E838" i="22"/>
  <c r="E839" i="22"/>
  <c r="E840" i="22"/>
  <c r="E841" i="22"/>
  <c r="E842" i="22"/>
  <c r="E843" i="22"/>
  <c r="E844" i="22"/>
  <c r="E845" i="22"/>
  <c r="E846" i="22"/>
  <c r="E847" i="22"/>
  <c r="E848" i="22"/>
  <c r="E849" i="22"/>
  <c r="E850" i="22"/>
  <c r="E851" i="22"/>
  <c r="E852" i="22"/>
  <c r="E853" i="22"/>
  <c r="E854" i="22"/>
  <c r="E855" i="22"/>
  <c r="E856" i="22"/>
  <c r="E857" i="22"/>
  <c r="E858" i="22"/>
  <c r="E859" i="22"/>
  <c r="E860" i="22"/>
  <c r="E861" i="22"/>
  <c r="E862" i="22"/>
  <c r="E863" i="22"/>
  <c r="E864" i="22"/>
  <c r="E865" i="22"/>
  <c r="E866" i="22"/>
  <c r="E867" i="22"/>
  <c r="E868" i="22"/>
  <c r="E869" i="22"/>
  <c r="E870" i="22"/>
  <c r="E871" i="22"/>
  <c r="E872" i="22"/>
  <c r="E873" i="22"/>
  <c r="E874" i="22"/>
  <c r="E875" i="22"/>
  <c r="E876" i="22"/>
  <c r="E877" i="22"/>
  <c r="E878" i="22"/>
  <c r="E879" i="22"/>
  <c r="E880" i="22"/>
  <c r="E881" i="22"/>
  <c r="E882" i="22"/>
  <c r="E883" i="22"/>
  <c r="E884" i="22"/>
  <c r="E885" i="22"/>
  <c r="E886" i="22"/>
  <c r="E887" i="22"/>
  <c r="E888" i="22"/>
  <c r="E889" i="22"/>
  <c r="E890" i="22"/>
  <c r="E891" i="22"/>
  <c r="E892" i="22"/>
  <c r="E893" i="22"/>
  <c r="E894" i="22"/>
  <c r="E895" i="22"/>
  <c r="E896" i="22"/>
  <c r="E897" i="22"/>
  <c r="E898" i="22"/>
  <c r="E899" i="22"/>
  <c r="E900" i="22"/>
  <c r="E901" i="22"/>
  <c r="E902" i="22"/>
  <c r="E903" i="22"/>
  <c r="E904" i="22"/>
  <c r="E905" i="22"/>
  <c r="E906" i="22"/>
  <c r="E907" i="22"/>
  <c r="E908" i="22"/>
  <c r="E909" i="22"/>
  <c r="E910" i="22"/>
  <c r="E911" i="22"/>
  <c r="E912" i="22"/>
  <c r="E913" i="22"/>
  <c r="E914" i="22"/>
  <c r="E915" i="22"/>
  <c r="E916" i="22"/>
  <c r="E917" i="22"/>
  <c r="E918" i="22"/>
  <c r="E919" i="22"/>
  <c r="E920" i="22"/>
  <c r="E921" i="22"/>
  <c r="E922" i="22"/>
  <c r="E923" i="22"/>
  <c r="E924" i="22"/>
  <c r="E925" i="22"/>
  <c r="E926" i="22"/>
  <c r="E927" i="22"/>
  <c r="E928" i="22"/>
  <c r="E929" i="22"/>
  <c r="E930" i="22"/>
  <c r="E931" i="22"/>
  <c r="E932" i="22"/>
  <c r="E933" i="22"/>
  <c r="E934" i="22"/>
  <c r="E935" i="22"/>
  <c r="E936" i="22"/>
  <c r="E937" i="22"/>
  <c r="E938" i="22"/>
  <c r="E939" i="22"/>
  <c r="E940" i="22"/>
  <c r="E941" i="22"/>
  <c r="E942" i="22"/>
  <c r="E943" i="22"/>
  <c r="E944" i="22"/>
  <c r="E945" i="22"/>
  <c r="E946" i="22"/>
  <c r="E947" i="22"/>
  <c r="E948" i="22"/>
  <c r="E949" i="22"/>
  <c r="E950" i="22"/>
  <c r="E951" i="22"/>
  <c r="E952" i="22"/>
  <c r="E953" i="22"/>
  <c r="E954" i="22"/>
  <c r="E955" i="22"/>
  <c r="E956" i="22"/>
  <c r="E957" i="22"/>
  <c r="E958" i="22"/>
  <c r="E959" i="22"/>
  <c r="E960" i="22"/>
  <c r="E961" i="22"/>
  <c r="E962" i="22"/>
  <c r="E963" i="22"/>
  <c r="E964" i="22"/>
  <c r="E965" i="22"/>
  <c r="E966" i="22"/>
  <c r="E967" i="22"/>
  <c r="E968" i="22"/>
  <c r="E969" i="22"/>
  <c r="E970" i="22"/>
  <c r="E971" i="22"/>
  <c r="E972" i="22"/>
  <c r="E973" i="22"/>
  <c r="E974" i="22"/>
  <c r="E975" i="22"/>
  <c r="E976" i="22"/>
  <c r="E977" i="22"/>
  <c r="E978" i="22"/>
  <c r="E979" i="22"/>
  <c r="E980" i="22"/>
  <c r="E981" i="22"/>
  <c r="E982" i="22"/>
  <c r="E983" i="22"/>
  <c r="E984" i="22"/>
  <c r="E985" i="22"/>
  <c r="E986" i="22"/>
  <c r="E987" i="22"/>
  <c r="E988" i="22"/>
  <c r="E989" i="22"/>
  <c r="E990" i="22"/>
  <c r="E991" i="22"/>
  <c r="E4" i="22"/>
  <c r="H278" i="26"/>
  <c r="H277" i="26"/>
  <c r="I12" i="30"/>
  <c r="A14" i="30"/>
  <c r="A16" i="30"/>
  <c r="C4" i="22"/>
  <c r="H4" i="22"/>
  <c r="K4" i="22"/>
  <c r="O4" i="22"/>
  <c r="C5" i="22"/>
  <c r="H5" i="22"/>
  <c r="K5" i="22"/>
  <c r="O5" i="22"/>
  <c r="O6" i="22" s="1"/>
  <c r="O7" i="22" s="1"/>
  <c r="C6" i="22"/>
  <c r="H6" i="22"/>
  <c r="K6" i="22"/>
  <c r="C7" i="22"/>
  <c r="H7" i="22"/>
  <c r="K7" i="22"/>
  <c r="C8" i="22"/>
  <c r="H8" i="22"/>
  <c r="K8" i="22"/>
  <c r="C9" i="22"/>
  <c r="H9" i="22"/>
  <c r="K9" i="22"/>
  <c r="C10" i="22"/>
  <c r="H10" i="22"/>
  <c r="K10" i="22"/>
  <c r="C11" i="22"/>
  <c r="H11" i="22"/>
  <c r="K11" i="22"/>
  <c r="C12" i="22"/>
  <c r="H12" i="22"/>
  <c r="K12" i="22"/>
  <c r="C13" i="22"/>
  <c r="H13" i="22"/>
  <c r="K13" i="22"/>
  <c r="C14" i="22"/>
  <c r="H14" i="22"/>
  <c r="K14" i="22"/>
  <c r="C15" i="22"/>
  <c r="H15" i="22"/>
  <c r="K15" i="22"/>
  <c r="C16" i="22"/>
  <c r="H16" i="22"/>
  <c r="K16" i="22"/>
  <c r="C17" i="22"/>
  <c r="H17" i="22"/>
  <c r="K17" i="22"/>
  <c r="C18" i="22"/>
  <c r="H18" i="22"/>
  <c r="K18" i="22"/>
  <c r="C19" i="22"/>
  <c r="H19" i="22"/>
  <c r="K19" i="22"/>
  <c r="C20" i="22"/>
  <c r="H20" i="22"/>
  <c r="K20" i="22"/>
  <c r="C21" i="22"/>
  <c r="H21" i="22"/>
  <c r="K21" i="22"/>
  <c r="C22" i="22"/>
  <c r="H22" i="22"/>
  <c r="K22" i="22"/>
  <c r="C23" i="22"/>
  <c r="H23" i="22"/>
  <c r="K23" i="22"/>
  <c r="C24" i="22"/>
  <c r="H24" i="22"/>
  <c r="K24" i="22"/>
  <c r="C25" i="22"/>
  <c r="H25" i="22"/>
  <c r="K25" i="22"/>
  <c r="C26" i="22"/>
  <c r="H26" i="22"/>
  <c r="K26" i="22"/>
  <c r="C27" i="22"/>
  <c r="H27" i="22"/>
  <c r="K27" i="22"/>
  <c r="C28" i="22"/>
  <c r="H28" i="22"/>
  <c r="K28" i="22"/>
  <c r="C29" i="22"/>
  <c r="H29" i="22"/>
  <c r="K29" i="22"/>
  <c r="C30" i="22"/>
  <c r="H30" i="22"/>
  <c r="K30" i="22"/>
  <c r="C31" i="22"/>
  <c r="H31" i="22"/>
  <c r="K31" i="22"/>
  <c r="C32" i="22"/>
  <c r="H32" i="22"/>
  <c r="K32" i="22"/>
  <c r="C33" i="22"/>
  <c r="H33" i="22"/>
  <c r="K33" i="22"/>
  <c r="C34" i="22"/>
  <c r="H34" i="22"/>
  <c r="K34" i="22"/>
  <c r="C35" i="22"/>
  <c r="H35" i="22"/>
  <c r="K35" i="22"/>
  <c r="C36" i="22"/>
  <c r="H36" i="22"/>
  <c r="K36" i="22"/>
  <c r="C37" i="22"/>
  <c r="H37" i="22"/>
  <c r="K37" i="22"/>
  <c r="C38" i="22"/>
  <c r="H38" i="22"/>
  <c r="K38" i="22"/>
  <c r="C39" i="22"/>
  <c r="H39" i="22"/>
  <c r="K39" i="22"/>
  <c r="C40" i="22"/>
  <c r="H40" i="22"/>
  <c r="K40" i="22"/>
  <c r="C41" i="22"/>
  <c r="H41" i="22"/>
  <c r="K41" i="22"/>
  <c r="C42" i="22"/>
  <c r="H42" i="22"/>
  <c r="K42" i="22"/>
  <c r="C43" i="22"/>
  <c r="H43" i="22"/>
  <c r="K43" i="22"/>
  <c r="C44" i="22"/>
  <c r="H44" i="22"/>
  <c r="K44" i="22"/>
  <c r="C45" i="22"/>
  <c r="H45" i="22"/>
  <c r="K45" i="22"/>
  <c r="C46" i="22"/>
  <c r="H46" i="22"/>
  <c r="K46" i="22"/>
  <c r="C47" i="22"/>
  <c r="H47" i="22"/>
  <c r="K47" i="22"/>
  <c r="C48" i="22"/>
  <c r="H48" i="22"/>
  <c r="K48" i="22"/>
  <c r="C49" i="22"/>
  <c r="H49" i="22"/>
  <c r="K49" i="22"/>
  <c r="C50" i="22"/>
  <c r="H50" i="22"/>
  <c r="K50" i="22"/>
  <c r="C51" i="22"/>
  <c r="H51" i="22"/>
  <c r="K51" i="22"/>
  <c r="C52" i="22"/>
  <c r="H52" i="22"/>
  <c r="K52" i="22"/>
  <c r="C53" i="22"/>
  <c r="H53" i="22"/>
  <c r="K53" i="22"/>
  <c r="C54" i="22"/>
  <c r="H54" i="22"/>
  <c r="K54" i="22"/>
  <c r="C55" i="22"/>
  <c r="H55" i="22"/>
  <c r="K55" i="22"/>
  <c r="C56" i="22"/>
  <c r="H56" i="22"/>
  <c r="K56" i="22"/>
  <c r="C57" i="22"/>
  <c r="H57" i="22"/>
  <c r="K57" i="22"/>
  <c r="C58" i="22"/>
  <c r="H58" i="22"/>
  <c r="K58" i="22"/>
  <c r="C59" i="22"/>
  <c r="H59" i="22"/>
  <c r="K59" i="22"/>
  <c r="C60" i="22"/>
  <c r="H60" i="22"/>
  <c r="K60" i="22"/>
  <c r="C61" i="22"/>
  <c r="H61" i="22"/>
  <c r="K61" i="22"/>
  <c r="C62" i="22"/>
  <c r="H62" i="22"/>
  <c r="K62" i="22"/>
  <c r="C63" i="22"/>
  <c r="H63" i="22"/>
  <c r="K63" i="22"/>
  <c r="C64" i="22"/>
  <c r="H64" i="22"/>
  <c r="K64" i="22"/>
  <c r="C65" i="22"/>
  <c r="H65" i="22"/>
  <c r="K65" i="22"/>
  <c r="C66" i="22"/>
  <c r="H66" i="22"/>
  <c r="K66" i="22"/>
  <c r="C67" i="22"/>
  <c r="H67" i="22"/>
  <c r="K67" i="22"/>
  <c r="C68" i="22"/>
  <c r="H68" i="22"/>
  <c r="K68" i="22"/>
  <c r="C69" i="22"/>
  <c r="H69" i="22"/>
  <c r="K69" i="22"/>
  <c r="C70" i="22"/>
  <c r="H70" i="22"/>
  <c r="K70" i="22"/>
  <c r="C71" i="22"/>
  <c r="H71" i="22"/>
  <c r="K71" i="22"/>
  <c r="C72" i="22"/>
  <c r="H72" i="22"/>
  <c r="K72" i="22"/>
  <c r="C73" i="22"/>
  <c r="H73" i="22"/>
  <c r="K73" i="22"/>
  <c r="C74" i="22"/>
  <c r="H74" i="22"/>
  <c r="K74" i="22"/>
  <c r="C75" i="22"/>
  <c r="H75" i="22"/>
  <c r="K75" i="22"/>
  <c r="C76" i="22"/>
  <c r="H76" i="22"/>
  <c r="K76" i="22"/>
  <c r="C77" i="22"/>
  <c r="H77" i="22"/>
  <c r="K77" i="22"/>
  <c r="C78" i="22"/>
  <c r="H78" i="22"/>
  <c r="K78" i="22"/>
  <c r="C79" i="22"/>
  <c r="H79" i="22"/>
  <c r="K79" i="22"/>
  <c r="C80" i="22"/>
  <c r="H80" i="22"/>
  <c r="K80" i="22"/>
  <c r="C81" i="22"/>
  <c r="H81" i="22"/>
  <c r="K81" i="22"/>
  <c r="C82" i="22"/>
  <c r="H82" i="22"/>
  <c r="K82" i="22"/>
  <c r="C83" i="22"/>
  <c r="H83" i="22"/>
  <c r="K83" i="22"/>
  <c r="C84" i="22"/>
  <c r="H84" i="22"/>
  <c r="K84" i="22"/>
  <c r="C85" i="22"/>
  <c r="H85" i="22"/>
  <c r="K85" i="22"/>
  <c r="C86" i="22"/>
  <c r="H86" i="22"/>
  <c r="K86" i="22"/>
  <c r="C87" i="22"/>
  <c r="H87" i="22"/>
  <c r="K87" i="22"/>
  <c r="C88" i="22"/>
  <c r="H88" i="22"/>
  <c r="K88" i="22"/>
  <c r="C89" i="22"/>
  <c r="H89" i="22"/>
  <c r="K89" i="22"/>
  <c r="C90" i="22"/>
  <c r="H90" i="22"/>
  <c r="K90" i="22"/>
  <c r="C91" i="22"/>
  <c r="H91" i="22"/>
  <c r="K91" i="22"/>
  <c r="C92" i="22"/>
  <c r="H92" i="22"/>
  <c r="K92" i="22"/>
  <c r="C93" i="22"/>
  <c r="H93" i="22"/>
  <c r="K93" i="22"/>
  <c r="C94" i="22"/>
  <c r="H94" i="22"/>
  <c r="K94" i="22"/>
  <c r="C95" i="22"/>
  <c r="H95" i="22"/>
  <c r="K95" i="22"/>
  <c r="C96" i="22"/>
  <c r="H96" i="22"/>
  <c r="K96" i="22"/>
  <c r="C97" i="22"/>
  <c r="H97" i="22"/>
  <c r="K97" i="22"/>
  <c r="C98" i="22"/>
  <c r="H98" i="22"/>
  <c r="K98" i="22"/>
  <c r="C99" i="22"/>
  <c r="H99" i="22"/>
  <c r="K99" i="22"/>
  <c r="C100" i="22"/>
  <c r="H100" i="22"/>
  <c r="K100" i="22"/>
  <c r="C101" i="22"/>
  <c r="H101" i="22"/>
  <c r="K101" i="22"/>
  <c r="C102" i="22"/>
  <c r="H102" i="22"/>
  <c r="K102" i="22"/>
  <c r="C103" i="22"/>
  <c r="H103" i="22"/>
  <c r="K103" i="22"/>
  <c r="C104" i="22"/>
  <c r="H104" i="22"/>
  <c r="K104" i="22"/>
  <c r="C105" i="22"/>
  <c r="H105" i="22"/>
  <c r="K105" i="22"/>
  <c r="C106" i="22"/>
  <c r="H106" i="22"/>
  <c r="K106" i="22"/>
  <c r="C107" i="22"/>
  <c r="H107" i="22"/>
  <c r="K107" i="22"/>
  <c r="C108" i="22"/>
  <c r="H108" i="22"/>
  <c r="K108" i="22"/>
  <c r="C109" i="22"/>
  <c r="H109" i="22"/>
  <c r="K109" i="22"/>
  <c r="C110" i="22"/>
  <c r="H110" i="22"/>
  <c r="K110" i="22"/>
  <c r="C111" i="22"/>
  <c r="H111" i="22"/>
  <c r="K111" i="22"/>
  <c r="C112" i="22"/>
  <c r="H112" i="22"/>
  <c r="K112" i="22"/>
  <c r="C113" i="22"/>
  <c r="H113" i="22"/>
  <c r="K113" i="22"/>
  <c r="C114" i="22"/>
  <c r="H114" i="22"/>
  <c r="K114" i="22"/>
  <c r="C115" i="22"/>
  <c r="H115" i="22"/>
  <c r="K115" i="22"/>
  <c r="C116" i="22"/>
  <c r="H116" i="22"/>
  <c r="K116" i="22"/>
  <c r="C117" i="22"/>
  <c r="H117" i="22"/>
  <c r="K117" i="22"/>
  <c r="C118" i="22"/>
  <c r="H118" i="22"/>
  <c r="K118" i="22"/>
  <c r="C119" i="22"/>
  <c r="H119" i="22"/>
  <c r="K119" i="22"/>
  <c r="C120" i="22"/>
  <c r="H120" i="22"/>
  <c r="K120" i="22"/>
  <c r="C121" i="22"/>
  <c r="H121" i="22"/>
  <c r="K121" i="22"/>
  <c r="C122" i="22"/>
  <c r="H122" i="22"/>
  <c r="K122" i="22"/>
  <c r="C123" i="22"/>
  <c r="H123" i="22"/>
  <c r="K123" i="22"/>
  <c r="C124" i="22"/>
  <c r="H124" i="22"/>
  <c r="K124" i="22"/>
  <c r="C125" i="22"/>
  <c r="H125" i="22"/>
  <c r="K125" i="22"/>
  <c r="C126" i="22"/>
  <c r="H126" i="22"/>
  <c r="K126" i="22"/>
  <c r="C127" i="22"/>
  <c r="H127" i="22"/>
  <c r="K127" i="22"/>
  <c r="C128" i="22"/>
  <c r="H128" i="22"/>
  <c r="K128" i="22"/>
  <c r="C129" i="22"/>
  <c r="H129" i="22"/>
  <c r="K129" i="22"/>
  <c r="C130" i="22"/>
  <c r="H130" i="22"/>
  <c r="K130" i="22"/>
  <c r="C131" i="22"/>
  <c r="H131" i="22"/>
  <c r="K131" i="22"/>
  <c r="C132" i="22"/>
  <c r="H132" i="22"/>
  <c r="K132" i="22"/>
  <c r="C133" i="22"/>
  <c r="H133" i="22"/>
  <c r="K133" i="22"/>
  <c r="C134" i="22"/>
  <c r="H134" i="22"/>
  <c r="K134" i="22"/>
  <c r="C135" i="22"/>
  <c r="H135" i="22"/>
  <c r="K135" i="22"/>
  <c r="C136" i="22"/>
  <c r="H136" i="22"/>
  <c r="K136" i="22"/>
  <c r="C137" i="22"/>
  <c r="H137" i="22"/>
  <c r="K137" i="22"/>
  <c r="C138" i="22"/>
  <c r="H138" i="22"/>
  <c r="K138" i="22"/>
  <c r="C139" i="22"/>
  <c r="H139" i="22"/>
  <c r="K139" i="22"/>
  <c r="C140" i="22"/>
  <c r="H140" i="22"/>
  <c r="K140" i="22"/>
  <c r="C141" i="22"/>
  <c r="H141" i="22"/>
  <c r="K141" i="22"/>
  <c r="C142" i="22"/>
  <c r="H142" i="22"/>
  <c r="K142" i="22"/>
  <c r="C143" i="22"/>
  <c r="H143" i="22"/>
  <c r="K143" i="22"/>
  <c r="C144" i="22"/>
  <c r="H144" i="22"/>
  <c r="K144" i="22"/>
  <c r="C145" i="22"/>
  <c r="H145" i="22"/>
  <c r="K145" i="22"/>
  <c r="C146" i="22"/>
  <c r="H146" i="22"/>
  <c r="K146" i="22"/>
  <c r="C147" i="22"/>
  <c r="H147" i="22"/>
  <c r="K147" i="22"/>
  <c r="C148" i="22"/>
  <c r="H148" i="22"/>
  <c r="K148" i="22"/>
  <c r="C149" i="22"/>
  <c r="H149" i="22"/>
  <c r="K149" i="22"/>
  <c r="C150" i="22"/>
  <c r="H150" i="22"/>
  <c r="K150" i="22"/>
  <c r="C151" i="22"/>
  <c r="H151" i="22"/>
  <c r="K151" i="22"/>
  <c r="C152" i="22"/>
  <c r="H152" i="22"/>
  <c r="K152" i="22"/>
  <c r="C153" i="22"/>
  <c r="H153" i="22"/>
  <c r="K153" i="22"/>
  <c r="C154" i="22"/>
  <c r="H154" i="22"/>
  <c r="K154" i="22"/>
  <c r="C155" i="22"/>
  <c r="H155" i="22"/>
  <c r="K155" i="22"/>
  <c r="C156" i="22"/>
  <c r="H156" i="22"/>
  <c r="K156" i="22"/>
  <c r="C157" i="22"/>
  <c r="H157" i="22"/>
  <c r="K157" i="22"/>
  <c r="C158" i="22"/>
  <c r="H158" i="22"/>
  <c r="K158" i="22"/>
  <c r="C159" i="22"/>
  <c r="H159" i="22"/>
  <c r="K159" i="22"/>
  <c r="C160" i="22"/>
  <c r="H160" i="22"/>
  <c r="K160" i="22"/>
  <c r="C161" i="22"/>
  <c r="H161" i="22"/>
  <c r="K161" i="22"/>
  <c r="C162" i="22"/>
  <c r="H162" i="22"/>
  <c r="K162" i="22"/>
  <c r="C163" i="22"/>
  <c r="H163" i="22"/>
  <c r="K163" i="22"/>
  <c r="C164" i="22"/>
  <c r="H164" i="22"/>
  <c r="K164" i="22"/>
  <c r="C165" i="22"/>
  <c r="H165" i="22"/>
  <c r="K165" i="22"/>
  <c r="C166" i="22"/>
  <c r="H166" i="22"/>
  <c r="K166" i="22"/>
  <c r="C167" i="22"/>
  <c r="H167" i="22"/>
  <c r="K167" i="22"/>
  <c r="C168" i="22"/>
  <c r="H168" i="22"/>
  <c r="K168" i="22"/>
  <c r="C169" i="22"/>
  <c r="H169" i="22"/>
  <c r="K169" i="22"/>
  <c r="C170" i="22"/>
  <c r="H170" i="22"/>
  <c r="K170" i="22"/>
  <c r="C171" i="22"/>
  <c r="H171" i="22"/>
  <c r="K171" i="22"/>
  <c r="C172" i="22"/>
  <c r="H172" i="22"/>
  <c r="K172" i="22"/>
  <c r="C173" i="22"/>
  <c r="H173" i="22"/>
  <c r="K173" i="22"/>
  <c r="C174" i="22"/>
  <c r="H174" i="22"/>
  <c r="K174" i="22"/>
  <c r="C175" i="22"/>
  <c r="H175" i="22"/>
  <c r="K175" i="22"/>
  <c r="C176" i="22"/>
  <c r="H176" i="22"/>
  <c r="K176" i="22"/>
  <c r="C177" i="22"/>
  <c r="H177" i="22"/>
  <c r="K177" i="22"/>
  <c r="C178" i="22"/>
  <c r="H178" i="22"/>
  <c r="K178" i="22"/>
  <c r="C179" i="22"/>
  <c r="H179" i="22"/>
  <c r="K179" i="22"/>
  <c r="C180" i="22"/>
  <c r="H180" i="22"/>
  <c r="K180" i="22"/>
  <c r="C181" i="22"/>
  <c r="H181" i="22"/>
  <c r="K181" i="22"/>
  <c r="C182" i="22"/>
  <c r="H182" i="22"/>
  <c r="K182" i="22"/>
  <c r="C183" i="22"/>
  <c r="H183" i="22"/>
  <c r="K183" i="22"/>
  <c r="C184" i="22"/>
  <c r="H184" i="22"/>
  <c r="K184" i="22"/>
  <c r="C185" i="22"/>
  <c r="H185" i="22"/>
  <c r="K185" i="22"/>
  <c r="C186" i="22"/>
  <c r="H186" i="22"/>
  <c r="K186" i="22"/>
  <c r="C187" i="22"/>
  <c r="H187" i="22"/>
  <c r="K187" i="22"/>
  <c r="C188" i="22"/>
  <c r="H188" i="22"/>
  <c r="K188" i="22"/>
  <c r="C189" i="22"/>
  <c r="H189" i="22"/>
  <c r="K189" i="22"/>
  <c r="C190" i="22"/>
  <c r="H190" i="22"/>
  <c r="K190" i="22"/>
  <c r="C191" i="22"/>
  <c r="H191" i="22"/>
  <c r="K191" i="22"/>
  <c r="C192" i="22"/>
  <c r="H192" i="22"/>
  <c r="K192" i="22"/>
  <c r="C193" i="22"/>
  <c r="H193" i="22"/>
  <c r="K193" i="22"/>
  <c r="C194" i="22"/>
  <c r="H194" i="22"/>
  <c r="K194" i="22"/>
  <c r="C195" i="22"/>
  <c r="H195" i="22"/>
  <c r="K195" i="22"/>
  <c r="C196" i="22"/>
  <c r="H196" i="22"/>
  <c r="K196" i="22"/>
  <c r="C197" i="22"/>
  <c r="H197" i="22"/>
  <c r="K197" i="22"/>
  <c r="C198" i="22"/>
  <c r="H198" i="22"/>
  <c r="K198" i="22"/>
  <c r="C199" i="22"/>
  <c r="H199" i="22"/>
  <c r="K199" i="22"/>
  <c r="C200" i="22"/>
  <c r="H200" i="22"/>
  <c r="K200" i="22"/>
  <c r="C201" i="22"/>
  <c r="H201" i="22"/>
  <c r="K201" i="22"/>
  <c r="C202" i="22"/>
  <c r="H202" i="22"/>
  <c r="K202" i="22"/>
  <c r="C203" i="22"/>
  <c r="H203" i="22"/>
  <c r="K203" i="22"/>
  <c r="C204" i="22"/>
  <c r="H204" i="22"/>
  <c r="K204" i="22"/>
  <c r="C205" i="22"/>
  <c r="H205" i="22"/>
  <c r="K205" i="22"/>
  <c r="C206" i="22"/>
  <c r="H206" i="22"/>
  <c r="K206" i="22"/>
  <c r="C207" i="22"/>
  <c r="H207" i="22"/>
  <c r="K207" i="22"/>
  <c r="C208" i="22"/>
  <c r="H208" i="22"/>
  <c r="K208" i="22"/>
  <c r="C209" i="22"/>
  <c r="H209" i="22"/>
  <c r="K209" i="22"/>
  <c r="C210" i="22"/>
  <c r="H210" i="22"/>
  <c r="K210" i="22"/>
  <c r="C211" i="22"/>
  <c r="H211" i="22"/>
  <c r="K211" i="22"/>
  <c r="C212" i="22"/>
  <c r="H212" i="22"/>
  <c r="K212" i="22"/>
  <c r="C213" i="22"/>
  <c r="H213" i="22"/>
  <c r="K213" i="22"/>
  <c r="C214" i="22"/>
  <c r="H214" i="22"/>
  <c r="K214" i="22"/>
  <c r="C215" i="22"/>
  <c r="H215" i="22"/>
  <c r="K215" i="22"/>
  <c r="C216" i="22"/>
  <c r="H216" i="22"/>
  <c r="K216" i="22"/>
  <c r="C217" i="22"/>
  <c r="H217" i="22"/>
  <c r="K217" i="22"/>
  <c r="C218" i="22"/>
  <c r="H218" i="22"/>
  <c r="K218" i="22"/>
  <c r="C219" i="22"/>
  <c r="H219" i="22"/>
  <c r="K219" i="22"/>
  <c r="C220" i="22"/>
  <c r="H220" i="22"/>
  <c r="K220" i="22"/>
  <c r="C221" i="22"/>
  <c r="H221" i="22"/>
  <c r="K221" i="22"/>
  <c r="C222" i="22"/>
  <c r="H222" i="22"/>
  <c r="K222" i="22"/>
  <c r="C223" i="22"/>
  <c r="H223" i="22"/>
  <c r="K223" i="22"/>
  <c r="C224" i="22"/>
  <c r="H224" i="22"/>
  <c r="K224" i="22"/>
  <c r="C225" i="22"/>
  <c r="H225" i="22"/>
  <c r="K225" i="22"/>
  <c r="C226" i="22"/>
  <c r="H226" i="22"/>
  <c r="K226" i="22"/>
  <c r="C227" i="22"/>
  <c r="H227" i="22"/>
  <c r="K227" i="22"/>
  <c r="C228" i="22"/>
  <c r="H228" i="22"/>
  <c r="K228" i="22"/>
  <c r="C229" i="22"/>
  <c r="H229" i="22"/>
  <c r="K229" i="22"/>
  <c r="C230" i="22"/>
  <c r="H230" i="22"/>
  <c r="K230" i="22"/>
  <c r="C11" i="26" s="1"/>
  <c r="C231" i="22"/>
  <c r="H231" i="22"/>
  <c r="C12" i="28" s="1"/>
  <c r="K231" i="22"/>
  <c r="C12" i="26" s="1"/>
  <c r="C232" i="22"/>
  <c r="H232" i="22"/>
  <c r="C13" i="28" s="1"/>
  <c r="K232" i="22"/>
  <c r="C13" i="26" s="1"/>
  <c r="C233" i="22"/>
  <c r="H233" i="22"/>
  <c r="C14" i="28" s="1"/>
  <c r="K233" i="22"/>
  <c r="C14" i="26" s="1"/>
  <c r="C234" i="22"/>
  <c r="H234" i="22"/>
  <c r="C15" i="28" s="1"/>
  <c r="K234" i="22"/>
  <c r="C15" i="26" s="1"/>
  <c r="C235" i="22"/>
  <c r="H235" i="22"/>
  <c r="C16" i="28" s="1"/>
  <c r="K235" i="22"/>
  <c r="C236" i="22"/>
  <c r="H236" i="22"/>
  <c r="C17" i="28" s="1"/>
  <c r="K236" i="22"/>
  <c r="C237" i="22"/>
  <c r="H237" i="22"/>
  <c r="C18" i="28" s="1"/>
  <c r="K237" i="22"/>
  <c r="C18" i="26" s="1"/>
  <c r="C238" i="22"/>
  <c r="H238" i="22"/>
  <c r="C19" i="28" s="1"/>
  <c r="K238" i="22"/>
  <c r="C19" i="26" s="1"/>
  <c r="C239" i="22"/>
  <c r="H239" i="22"/>
  <c r="C20" i="28" s="1"/>
  <c r="K239" i="22"/>
  <c r="C20" i="26" s="1"/>
  <c r="C240" i="22"/>
  <c r="H240" i="22"/>
  <c r="K240" i="22"/>
  <c r="C21" i="26" s="1"/>
  <c r="C241" i="22"/>
  <c r="H241" i="22"/>
  <c r="C22" i="28" s="1"/>
  <c r="K241" i="22"/>
  <c r="C22" i="26" s="1"/>
  <c r="C242" i="22"/>
  <c r="H242" i="22"/>
  <c r="C23" i="28" s="1"/>
  <c r="K242" i="22"/>
  <c r="C23" i="26" s="1"/>
  <c r="C243" i="22"/>
  <c r="H243" i="22"/>
  <c r="C24" i="28" s="1"/>
  <c r="K243" i="22"/>
  <c r="C24" i="26" s="1"/>
  <c r="C244" i="22"/>
  <c r="H244" i="22"/>
  <c r="C25" i="28" s="1"/>
  <c r="K244" i="22"/>
  <c r="C25" i="26" s="1"/>
  <c r="C245" i="22"/>
  <c r="H245" i="22"/>
  <c r="C26" i="28" s="1"/>
  <c r="K245" i="22"/>
  <c r="C26" i="26" s="1"/>
  <c r="C246" i="22"/>
  <c r="H246" i="22"/>
  <c r="C27" i="28" s="1"/>
  <c r="K246" i="22"/>
  <c r="C27" i="26" s="1"/>
  <c r="C247" i="22"/>
  <c r="H247" i="22"/>
  <c r="C28" i="28" s="1"/>
  <c r="K247" i="22"/>
  <c r="C28" i="26" s="1"/>
  <c r="C248" i="22"/>
  <c r="H248" i="22"/>
  <c r="K248" i="22"/>
  <c r="C29" i="26" s="1"/>
  <c r="C249" i="22"/>
  <c r="H249" i="22"/>
  <c r="K249" i="22"/>
  <c r="C30" i="26" s="1"/>
  <c r="C250" i="22"/>
  <c r="H250" i="22"/>
  <c r="C31" i="28" s="1"/>
  <c r="K250" i="22"/>
  <c r="C31" i="26" s="1"/>
  <c r="C251" i="22"/>
  <c r="H251" i="22"/>
  <c r="C32" i="28" s="1"/>
  <c r="K251" i="22"/>
  <c r="C32" i="26" s="1"/>
  <c r="C252" i="22"/>
  <c r="H252" i="22"/>
  <c r="C33" i="28" s="1"/>
  <c r="K252" i="22"/>
  <c r="C33" i="26" s="1"/>
  <c r="C253" i="22"/>
  <c r="H253" i="22"/>
  <c r="C34" i="28" s="1"/>
  <c r="K253" i="22"/>
  <c r="C34" i="26" s="1"/>
  <c r="C254" i="22"/>
  <c r="H254" i="22"/>
  <c r="C35" i="28" s="1"/>
  <c r="K254" i="22"/>
  <c r="C35" i="26" s="1"/>
  <c r="C255" i="22"/>
  <c r="H255" i="22"/>
  <c r="K255" i="22"/>
  <c r="C36" i="26" s="1"/>
  <c r="C256" i="22"/>
  <c r="H256" i="22"/>
  <c r="C37" i="28" s="1"/>
  <c r="K256" i="22"/>
  <c r="C37" i="26" s="1"/>
  <c r="C257" i="22"/>
  <c r="H257" i="22"/>
  <c r="C38" i="28" s="1"/>
  <c r="K257" i="22"/>
  <c r="C38" i="26" s="1"/>
  <c r="C258" i="22"/>
  <c r="H258" i="22"/>
  <c r="C39" i="28" s="1"/>
  <c r="K258" i="22"/>
  <c r="C39" i="26" s="1"/>
  <c r="C259" i="22"/>
  <c r="H259" i="22"/>
  <c r="C40" i="28" s="1"/>
  <c r="K259" i="22"/>
  <c r="C40" i="26" s="1"/>
  <c r="C260" i="22"/>
  <c r="H260" i="22"/>
  <c r="C41" i="28" s="1"/>
  <c r="K260" i="22"/>
  <c r="C41" i="26" s="1"/>
  <c r="C261" i="22"/>
  <c r="H261" i="22"/>
  <c r="C42" i="28" s="1"/>
  <c r="K261" i="22"/>
  <c r="C42" i="26" s="1"/>
  <c r="C262" i="22"/>
  <c r="H262" i="22"/>
  <c r="C43" i="28" s="1"/>
  <c r="K262" i="22"/>
  <c r="C43" i="26" s="1"/>
  <c r="C263" i="22"/>
  <c r="H263" i="22"/>
  <c r="C44" i="28" s="1"/>
  <c r="K263" i="22"/>
  <c r="C44" i="26" s="1"/>
  <c r="C264" i="22"/>
  <c r="H264" i="22"/>
  <c r="C45" i="28" s="1"/>
  <c r="K264" i="22"/>
  <c r="C45" i="26" s="1"/>
  <c r="C265" i="22"/>
  <c r="H265" i="22"/>
  <c r="C46" i="28" s="1"/>
  <c r="K265" i="22"/>
  <c r="C46" i="26" s="1"/>
  <c r="C266" i="22"/>
  <c r="H266" i="22"/>
  <c r="C47" i="28" s="1"/>
  <c r="K266" i="22"/>
  <c r="C47" i="26" s="1"/>
  <c r="C267" i="22"/>
  <c r="H267" i="22"/>
  <c r="C48" i="28" s="1"/>
  <c r="K267" i="22"/>
  <c r="C268" i="22"/>
  <c r="H268" i="22"/>
  <c r="C49" i="28" s="1"/>
  <c r="K268" i="22"/>
  <c r="C49" i="26" s="1"/>
  <c r="C269" i="22"/>
  <c r="H269" i="22"/>
  <c r="C50" i="28" s="1"/>
  <c r="K269" i="22"/>
  <c r="C50" i="26" s="1"/>
  <c r="C270" i="22"/>
  <c r="H270" i="22"/>
  <c r="C51" i="28" s="1"/>
  <c r="K270" i="22"/>
  <c r="C51" i="26" s="1"/>
  <c r="C271" i="22"/>
  <c r="H271" i="22"/>
  <c r="C52" i="28" s="1"/>
  <c r="K271" i="22"/>
  <c r="C52" i="26" s="1"/>
  <c r="C272" i="22"/>
  <c r="H272" i="22"/>
  <c r="C53" i="28" s="1"/>
  <c r="K272" i="22"/>
  <c r="C53" i="26" s="1"/>
  <c r="C273" i="22"/>
  <c r="H273" i="22"/>
  <c r="C54" i="28" s="1"/>
  <c r="K273" i="22"/>
  <c r="C54" i="26" s="1"/>
  <c r="C274" i="22"/>
  <c r="H274" i="22"/>
  <c r="C55" i="28" s="1"/>
  <c r="K274" i="22"/>
  <c r="C55" i="26" s="1"/>
  <c r="C275" i="22"/>
  <c r="H275" i="22"/>
  <c r="C56" i="28" s="1"/>
  <c r="K275" i="22"/>
  <c r="C56" i="26" s="1"/>
  <c r="C276" i="22"/>
  <c r="H276" i="22"/>
  <c r="C57" i="28" s="1"/>
  <c r="K276" i="22"/>
  <c r="C57" i="26" s="1"/>
  <c r="C277" i="22"/>
  <c r="H277" i="22"/>
  <c r="C58" i="28" s="1"/>
  <c r="K277" i="22"/>
  <c r="C58" i="26" s="1"/>
  <c r="C278" i="22"/>
  <c r="H278" i="22"/>
  <c r="C59" i="28" s="1"/>
  <c r="K278" i="22"/>
  <c r="C59" i="26" s="1"/>
  <c r="C279" i="22"/>
  <c r="H279" i="22"/>
  <c r="C60" i="28" s="1"/>
  <c r="K279" i="22"/>
  <c r="C60" i="26" s="1"/>
  <c r="C280" i="22"/>
  <c r="H280" i="22"/>
  <c r="C61" i="28" s="1"/>
  <c r="K280" i="22"/>
  <c r="C61" i="26" s="1"/>
  <c r="C281" i="22"/>
  <c r="H281" i="22"/>
  <c r="K281" i="22"/>
  <c r="C62" i="26" s="1"/>
  <c r="C282" i="22"/>
  <c r="H282" i="22"/>
  <c r="C63" i="28" s="1"/>
  <c r="K282" i="22"/>
  <c r="C283" i="22"/>
  <c r="H283" i="22"/>
  <c r="C64" i="28" s="1"/>
  <c r="K283" i="22"/>
  <c r="C64" i="26" s="1"/>
  <c r="C284" i="22"/>
  <c r="H284" i="22"/>
  <c r="C65" i="28" s="1"/>
  <c r="K284" i="22"/>
  <c r="C65" i="26" s="1"/>
  <c r="C285" i="22"/>
  <c r="H285" i="22"/>
  <c r="C66" i="28" s="1"/>
  <c r="K285" i="22"/>
  <c r="C66" i="26" s="1"/>
  <c r="C286" i="22"/>
  <c r="H286" i="22"/>
  <c r="C67" i="28" s="1"/>
  <c r="K286" i="22"/>
  <c r="C67" i="26" s="1"/>
  <c r="C287" i="22"/>
  <c r="H287" i="22"/>
  <c r="C68" i="28" s="1"/>
  <c r="K287" i="22"/>
  <c r="C68" i="26" s="1"/>
  <c r="C288" i="22"/>
  <c r="H288" i="22"/>
  <c r="C69" i="28" s="1"/>
  <c r="K288" i="22"/>
  <c r="C69" i="26" s="1"/>
  <c r="C289" i="22"/>
  <c r="H289" i="22"/>
  <c r="K289" i="22"/>
  <c r="C70" i="26" s="1"/>
  <c r="C290" i="22"/>
  <c r="H290" i="22"/>
  <c r="C71" i="28" s="1"/>
  <c r="K290" i="22"/>
  <c r="C71" i="26" s="1"/>
  <c r="C291" i="22"/>
  <c r="H291" i="22"/>
  <c r="C72" i="28" s="1"/>
  <c r="K291" i="22"/>
  <c r="C72" i="26" s="1"/>
  <c r="C292" i="22"/>
  <c r="H292" i="22"/>
  <c r="C73" i="28" s="1"/>
  <c r="K292" i="22"/>
  <c r="C73" i="26" s="1"/>
  <c r="C293" i="22"/>
  <c r="H293" i="22"/>
  <c r="C74" i="28" s="1"/>
  <c r="K293" i="22"/>
  <c r="C74" i="26" s="1"/>
  <c r="C294" i="22"/>
  <c r="H294" i="22"/>
  <c r="C75" i="28" s="1"/>
  <c r="K294" i="22"/>
  <c r="C75" i="26" s="1"/>
  <c r="C295" i="22"/>
  <c r="H295" i="22"/>
  <c r="K295" i="22"/>
  <c r="C76" i="26" s="1"/>
  <c r="C296" i="22"/>
  <c r="H296" i="22"/>
  <c r="K296" i="22"/>
  <c r="C77" i="26" s="1"/>
  <c r="C297" i="22"/>
  <c r="H297" i="22"/>
  <c r="C78" i="28" s="1"/>
  <c r="K297" i="22"/>
  <c r="C78" i="26" s="1"/>
  <c r="C298" i="22"/>
  <c r="H298" i="22"/>
  <c r="C79" i="28" s="1"/>
  <c r="K298" i="22"/>
  <c r="C79" i="26" s="1"/>
  <c r="C299" i="22"/>
  <c r="H299" i="22"/>
  <c r="C80" i="28" s="1"/>
  <c r="K299" i="22"/>
  <c r="C80" i="26" s="1"/>
  <c r="C300" i="22"/>
  <c r="H300" i="22"/>
  <c r="C81" i="28" s="1"/>
  <c r="K300" i="22"/>
  <c r="C81" i="26" s="1"/>
  <c r="C301" i="22"/>
  <c r="H301" i="22"/>
  <c r="C82" i="28" s="1"/>
  <c r="K301" i="22"/>
  <c r="C82" i="26" s="1"/>
  <c r="C302" i="22"/>
  <c r="H302" i="22"/>
  <c r="C83" i="28" s="1"/>
  <c r="K302" i="22"/>
  <c r="C83" i="26" s="1"/>
  <c r="C303" i="22"/>
  <c r="H303" i="22"/>
  <c r="C84" i="28" s="1"/>
  <c r="K303" i="22"/>
  <c r="C84" i="26" s="1"/>
  <c r="C304" i="22"/>
  <c r="H304" i="22"/>
  <c r="C85" i="28" s="1"/>
  <c r="K304" i="22"/>
  <c r="C85" i="26" s="1"/>
  <c r="C305" i="22"/>
  <c r="H305" i="22"/>
  <c r="C86" i="28" s="1"/>
  <c r="K305" i="22"/>
  <c r="C86" i="26" s="1"/>
  <c r="C306" i="22"/>
  <c r="H306" i="22"/>
  <c r="C87" i="28" s="1"/>
  <c r="K306" i="22"/>
  <c r="C87" i="26" s="1"/>
  <c r="C307" i="22"/>
  <c r="H307" i="22"/>
  <c r="C88" i="28" s="1"/>
  <c r="K307" i="22"/>
  <c r="C88" i="26" s="1"/>
  <c r="C308" i="22"/>
  <c r="H308" i="22"/>
  <c r="C89" i="28" s="1"/>
  <c r="K308" i="22"/>
  <c r="C89" i="26" s="1"/>
  <c r="C309" i="22"/>
  <c r="H309" i="22"/>
  <c r="C90" i="28" s="1"/>
  <c r="K309" i="22"/>
  <c r="C90" i="26" s="1"/>
  <c r="C310" i="22"/>
  <c r="H310" i="22"/>
  <c r="C91" i="28" s="1"/>
  <c r="K310" i="22"/>
  <c r="C91" i="26" s="1"/>
  <c r="C311" i="22"/>
  <c r="H311" i="22"/>
  <c r="C92" i="28" s="1"/>
  <c r="K311" i="22"/>
  <c r="C92" i="26" s="1"/>
  <c r="C312" i="22"/>
  <c r="H312" i="22"/>
  <c r="C93" i="28" s="1"/>
  <c r="K312" i="22"/>
  <c r="C93" i="26" s="1"/>
  <c r="C313" i="22"/>
  <c r="H313" i="22"/>
  <c r="C94" i="28" s="1"/>
  <c r="K313" i="22"/>
  <c r="C94" i="26" s="1"/>
  <c r="C314" i="22"/>
  <c r="H314" i="22"/>
  <c r="C95" i="28" s="1"/>
  <c r="K314" i="22"/>
  <c r="C95" i="26" s="1"/>
  <c r="C315" i="22"/>
  <c r="H315" i="22"/>
  <c r="C96" i="28" s="1"/>
  <c r="K315" i="22"/>
  <c r="C96" i="26" s="1"/>
  <c r="C316" i="22"/>
  <c r="H316" i="22"/>
  <c r="C97" i="28" s="1"/>
  <c r="K316" i="22"/>
  <c r="C97" i="26" s="1"/>
  <c r="C317" i="22"/>
  <c r="H317" i="22"/>
  <c r="C98" i="28" s="1"/>
  <c r="K317" i="22"/>
  <c r="C98" i="26" s="1"/>
  <c r="C318" i="22"/>
  <c r="H318" i="22"/>
  <c r="C99" i="28" s="1"/>
  <c r="K318" i="22"/>
  <c r="C99" i="26" s="1"/>
  <c r="C319" i="22"/>
  <c r="H319" i="22"/>
  <c r="K319" i="22"/>
  <c r="C100" i="26" s="1"/>
  <c r="C320" i="22"/>
  <c r="H320" i="22"/>
  <c r="C101" i="28" s="1"/>
  <c r="K320" i="22"/>
  <c r="C101" i="26" s="1"/>
  <c r="C321" i="22"/>
  <c r="H321" i="22"/>
  <c r="C102" i="28" s="1"/>
  <c r="K321" i="22"/>
  <c r="C102" i="26" s="1"/>
  <c r="C322" i="22"/>
  <c r="H322" i="22"/>
  <c r="C103" i="28" s="1"/>
  <c r="K322" i="22"/>
  <c r="C323" i="22"/>
  <c r="H323" i="22"/>
  <c r="C104" i="28" s="1"/>
  <c r="K323" i="22"/>
  <c r="C324" i="22"/>
  <c r="H324" i="22"/>
  <c r="K324" i="22"/>
  <c r="C105" i="26" s="1"/>
  <c r="C325" i="22"/>
  <c r="H325" i="22"/>
  <c r="C106" i="28" s="1"/>
  <c r="K325" i="22"/>
  <c r="C106" i="26" s="1"/>
  <c r="C326" i="22"/>
  <c r="H326" i="22"/>
  <c r="C107" i="28" s="1"/>
  <c r="K326" i="22"/>
  <c r="C107" i="26" s="1"/>
  <c r="C327" i="22"/>
  <c r="H327" i="22"/>
  <c r="C108" i="28" s="1"/>
  <c r="K327" i="22"/>
  <c r="C108" i="26" s="1"/>
  <c r="C328" i="22"/>
  <c r="H328" i="22"/>
  <c r="K328" i="22"/>
  <c r="C109" i="26" s="1"/>
  <c r="C329" i="22"/>
  <c r="H329" i="22"/>
  <c r="K329" i="22"/>
  <c r="C110" i="26" s="1"/>
  <c r="C330" i="22"/>
  <c r="H330" i="22"/>
  <c r="C111" i="28" s="1"/>
  <c r="K330" i="22"/>
  <c r="C111" i="26" s="1"/>
  <c r="C331" i="22"/>
  <c r="H331" i="22"/>
  <c r="C112" i="28" s="1"/>
  <c r="K331" i="22"/>
  <c r="C112" i="26" s="1"/>
  <c r="C332" i="22"/>
  <c r="H332" i="22"/>
  <c r="C113" i="28" s="1"/>
  <c r="K332" i="22"/>
  <c r="C113" i="26" s="1"/>
  <c r="C333" i="22"/>
  <c r="H333" i="22"/>
  <c r="C114" i="28" s="1"/>
  <c r="K333" i="22"/>
  <c r="C114" i="26" s="1"/>
  <c r="C334" i="22"/>
  <c r="H334" i="22"/>
  <c r="C115" i="28" s="1"/>
  <c r="K334" i="22"/>
  <c r="C115" i="26" s="1"/>
  <c r="C335" i="22"/>
  <c r="H335" i="22"/>
  <c r="C116" i="28" s="1"/>
  <c r="K335" i="22"/>
  <c r="C116" i="26" s="1"/>
  <c r="C336" i="22"/>
  <c r="H336" i="22"/>
  <c r="C117" i="28" s="1"/>
  <c r="K336" i="22"/>
  <c r="C117" i="26" s="1"/>
  <c r="C337" i="22"/>
  <c r="H337" i="22"/>
  <c r="K337" i="22"/>
  <c r="C118" i="26" s="1"/>
  <c r="C338" i="22"/>
  <c r="H338" i="22"/>
  <c r="C119" i="28" s="1"/>
  <c r="K338" i="22"/>
  <c r="C119" i="26" s="1"/>
  <c r="C339" i="22"/>
  <c r="H339" i="22"/>
  <c r="C120" i="28" s="1"/>
  <c r="K339" i="22"/>
  <c r="C120" i="26" s="1"/>
  <c r="C340" i="22"/>
  <c r="H340" i="22"/>
  <c r="C121" i="28" s="1"/>
  <c r="K340" i="22"/>
  <c r="C121" i="26" s="1"/>
  <c r="C341" i="22"/>
  <c r="H341" i="22"/>
  <c r="K341" i="22"/>
  <c r="C122" i="26" s="1"/>
  <c r="C342" i="22"/>
  <c r="H342" i="22"/>
  <c r="C123" i="28" s="1"/>
  <c r="K342" i="22"/>
  <c r="C123" i="26" s="1"/>
  <c r="C343" i="22"/>
  <c r="H343" i="22"/>
  <c r="C124" i="28" s="1"/>
  <c r="K343" i="22"/>
  <c r="C124" i="26" s="1"/>
  <c r="C344" i="22"/>
  <c r="H344" i="22"/>
  <c r="K344" i="22"/>
  <c r="C125" i="26" s="1"/>
  <c r="C345" i="22"/>
  <c r="H345" i="22"/>
  <c r="K345" i="22"/>
  <c r="C126" i="26" s="1"/>
  <c r="C346" i="22"/>
  <c r="H346" i="22"/>
  <c r="K346" i="22"/>
  <c r="C127" i="26" s="1"/>
  <c r="C347" i="22"/>
  <c r="H347" i="22"/>
  <c r="C128" i="28" s="1"/>
  <c r="K347" i="22"/>
  <c r="C128" i="26" s="1"/>
  <c r="C348" i="22"/>
  <c r="H348" i="22"/>
  <c r="C129" i="28" s="1"/>
  <c r="K348" i="22"/>
  <c r="C129" i="26" s="1"/>
  <c r="C349" i="22"/>
  <c r="H349" i="22"/>
  <c r="C130" i="28" s="1"/>
  <c r="K349" i="22"/>
  <c r="C130" i="26" s="1"/>
  <c r="C350" i="22"/>
  <c r="H350" i="22"/>
  <c r="C131" i="28" s="1"/>
  <c r="K350" i="22"/>
  <c r="C131" i="26" s="1"/>
  <c r="C351" i="22"/>
  <c r="H351" i="22"/>
  <c r="C132" i="28" s="1"/>
  <c r="K351" i="22"/>
  <c r="C132" i="26" s="1"/>
  <c r="C352" i="22"/>
  <c r="H352" i="22"/>
  <c r="C133" i="28" s="1"/>
  <c r="K352" i="22"/>
  <c r="C133" i="26" s="1"/>
  <c r="C353" i="22"/>
  <c r="H353" i="22"/>
  <c r="K353" i="22"/>
  <c r="C134" i="26" s="1"/>
  <c r="C354" i="22"/>
  <c r="H354" i="22"/>
  <c r="C135" i="28" s="1"/>
  <c r="K354" i="22"/>
  <c r="C355" i="22"/>
  <c r="H355" i="22"/>
  <c r="C136" i="28" s="1"/>
  <c r="K355" i="22"/>
  <c r="C136" i="26" s="1"/>
  <c r="C356" i="22"/>
  <c r="H356" i="22"/>
  <c r="C137" i="28" s="1"/>
  <c r="K356" i="22"/>
  <c r="C137" i="26" s="1"/>
  <c r="C357" i="22"/>
  <c r="H357" i="22"/>
  <c r="K357" i="22"/>
  <c r="C138" i="26" s="1"/>
  <c r="C358" i="22"/>
  <c r="H358" i="22"/>
  <c r="C139" i="28" s="1"/>
  <c r="K358" i="22"/>
  <c r="C139" i="26" s="1"/>
  <c r="C359" i="22"/>
  <c r="H359" i="22"/>
  <c r="C140" i="28" s="1"/>
  <c r="K359" i="22"/>
  <c r="C140" i="26" s="1"/>
  <c r="C360" i="22"/>
  <c r="H360" i="22"/>
  <c r="K360" i="22"/>
  <c r="C141" i="26" s="1"/>
  <c r="C361" i="22"/>
  <c r="H361" i="22"/>
  <c r="K361" i="22"/>
  <c r="C142" i="26" s="1"/>
  <c r="C362" i="22"/>
  <c r="H362" i="22"/>
  <c r="C143" i="28" s="1"/>
  <c r="K362" i="22"/>
  <c r="C143" i="26" s="1"/>
  <c r="C363" i="22"/>
  <c r="H363" i="22"/>
  <c r="C144" i="28" s="1"/>
  <c r="K363" i="22"/>
  <c r="C364" i="22"/>
  <c r="H364" i="22"/>
  <c r="C145" i="28" s="1"/>
  <c r="K364" i="22"/>
  <c r="C365" i="22"/>
  <c r="H365" i="22"/>
  <c r="C146" i="28" s="1"/>
  <c r="K365" i="22"/>
  <c r="C146" i="26" s="1"/>
  <c r="C366" i="22"/>
  <c r="H366" i="22"/>
  <c r="C147" i="28" s="1"/>
  <c r="K366" i="22"/>
  <c r="C147" i="26" s="1"/>
  <c r="C367" i="22"/>
  <c r="H367" i="22"/>
  <c r="C148" i="28" s="1"/>
  <c r="K367" i="22"/>
  <c r="C148" i="26" s="1"/>
  <c r="C368" i="22"/>
  <c r="H368" i="22"/>
  <c r="C149" i="28" s="1"/>
  <c r="K368" i="22"/>
  <c r="C149" i="26" s="1"/>
  <c r="C369" i="22"/>
  <c r="H369" i="22"/>
  <c r="K369" i="22"/>
  <c r="C150" i="26" s="1"/>
  <c r="C370" i="22"/>
  <c r="H370" i="22"/>
  <c r="C151" i="28" s="1"/>
  <c r="K370" i="22"/>
  <c r="C151" i="26" s="1"/>
  <c r="C371" i="22"/>
  <c r="H371" i="22"/>
  <c r="C152" i="28" s="1"/>
  <c r="K371" i="22"/>
  <c r="C152" i="26" s="1"/>
  <c r="C372" i="22"/>
  <c r="H372" i="22"/>
  <c r="C153" i="28" s="1"/>
  <c r="K372" i="22"/>
  <c r="C153" i="26" s="1"/>
  <c r="C373" i="22"/>
  <c r="H373" i="22"/>
  <c r="K373" i="22"/>
  <c r="C154" i="26" s="1"/>
  <c r="C374" i="22"/>
  <c r="H374" i="22"/>
  <c r="C155" i="28" s="1"/>
  <c r="K374" i="22"/>
  <c r="C155" i="26" s="1"/>
  <c r="C375" i="22"/>
  <c r="H375" i="22"/>
  <c r="C156" i="28" s="1"/>
  <c r="K375" i="22"/>
  <c r="C156" i="26" s="1"/>
  <c r="C376" i="22"/>
  <c r="H376" i="22"/>
  <c r="K376" i="22"/>
  <c r="C157" i="26" s="1"/>
  <c r="C377" i="22"/>
  <c r="H377" i="22"/>
  <c r="K377" i="22"/>
  <c r="C158" i="26" s="1"/>
  <c r="C378" i="22"/>
  <c r="H378" i="22"/>
  <c r="C159" i="28" s="1"/>
  <c r="K378" i="22"/>
  <c r="C159" i="26" s="1"/>
  <c r="C379" i="22"/>
  <c r="H379" i="22"/>
  <c r="C160" i="28" s="1"/>
  <c r="K379" i="22"/>
  <c r="C160" i="26" s="1"/>
  <c r="C380" i="22"/>
  <c r="H380" i="22"/>
  <c r="C161" i="28" s="1"/>
  <c r="K380" i="22"/>
  <c r="C161" i="26" s="1"/>
  <c r="C381" i="22"/>
  <c r="H381" i="22"/>
  <c r="C162" i="28" s="1"/>
  <c r="K381" i="22"/>
  <c r="C162" i="26" s="1"/>
  <c r="C382" i="22"/>
  <c r="H382" i="22"/>
  <c r="C163" i="28" s="1"/>
  <c r="K382" i="22"/>
  <c r="C163" i="26" s="1"/>
  <c r="C383" i="22"/>
  <c r="H383" i="22"/>
  <c r="C164" i="28" s="1"/>
  <c r="K383" i="22"/>
  <c r="C164" i="26" s="1"/>
  <c r="C384" i="22"/>
  <c r="H384" i="22"/>
  <c r="C165" i="28" s="1"/>
  <c r="K384" i="22"/>
  <c r="C165" i="26" s="1"/>
  <c r="C385" i="22"/>
  <c r="H385" i="22"/>
  <c r="C166" i="28" s="1"/>
  <c r="K385" i="22"/>
  <c r="C166" i="26" s="1"/>
  <c r="C386" i="22"/>
  <c r="H386" i="22"/>
  <c r="C167" i="28" s="1"/>
  <c r="K386" i="22"/>
  <c r="C167" i="26" s="1"/>
  <c r="C387" i="22"/>
  <c r="H387" i="22"/>
  <c r="C168" i="28" s="1"/>
  <c r="K387" i="22"/>
  <c r="C168" i="26" s="1"/>
  <c r="C388" i="22"/>
  <c r="H388" i="22"/>
  <c r="C169" i="28" s="1"/>
  <c r="K388" i="22"/>
  <c r="C169" i="26" s="1"/>
  <c r="C389" i="22"/>
  <c r="H389" i="22"/>
  <c r="K389" i="22"/>
  <c r="C170" i="26" s="1"/>
  <c r="C390" i="22"/>
  <c r="H390" i="22"/>
  <c r="C171" i="28" s="1"/>
  <c r="K390" i="22"/>
  <c r="C171" i="26" s="1"/>
  <c r="C391" i="22"/>
  <c r="H391" i="22"/>
  <c r="C172" i="28" s="1"/>
  <c r="K391" i="22"/>
  <c r="C172" i="26" s="1"/>
  <c r="C392" i="22"/>
  <c r="H392" i="22"/>
  <c r="K392" i="22"/>
  <c r="C173" i="26" s="1"/>
  <c r="C393" i="22"/>
  <c r="H393" i="22"/>
  <c r="K393" i="22"/>
  <c r="C174" i="26" s="1"/>
  <c r="C394" i="22"/>
  <c r="H394" i="22"/>
  <c r="C175" i="28" s="1"/>
  <c r="K394" i="22"/>
  <c r="C175" i="26" s="1"/>
  <c r="C395" i="22"/>
  <c r="H395" i="22"/>
  <c r="C176" i="28" s="1"/>
  <c r="K395" i="22"/>
  <c r="C396" i="22"/>
  <c r="H396" i="22"/>
  <c r="C177" i="28" s="1"/>
  <c r="K396" i="22"/>
  <c r="C177" i="26" s="1"/>
  <c r="C397" i="22"/>
  <c r="H397" i="22"/>
  <c r="C178" i="28" s="1"/>
  <c r="K397" i="22"/>
  <c r="C178" i="26" s="1"/>
  <c r="C398" i="22"/>
  <c r="H398" i="22"/>
  <c r="C179" i="28" s="1"/>
  <c r="K398" i="22"/>
  <c r="C179" i="26" s="1"/>
  <c r="C399" i="22"/>
  <c r="H399" i="22"/>
  <c r="C180" i="28" s="1"/>
  <c r="K399" i="22"/>
  <c r="C180" i="26" s="1"/>
  <c r="C400" i="22"/>
  <c r="H400" i="22"/>
  <c r="C181" i="28" s="1"/>
  <c r="K400" i="22"/>
  <c r="C181" i="26" s="1"/>
  <c r="C401" i="22"/>
  <c r="H401" i="22"/>
  <c r="K401" i="22"/>
  <c r="C182" i="26" s="1"/>
  <c r="C402" i="22"/>
  <c r="H402" i="22"/>
  <c r="C183" i="28" s="1"/>
  <c r="K402" i="22"/>
  <c r="C183" i="26" s="1"/>
  <c r="C403" i="22"/>
  <c r="H403" i="22"/>
  <c r="C184" i="28" s="1"/>
  <c r="K403" i="22"/>
  <c r="C184" i="26" s="1"/>
  <c r="C404" i="22"/>
  <c r="H404" i="22"/>
  <c r="C185" i="28" s="1"/>
  <c r="K404" i="22"/>
  <c r="C185" i="26" s="1"/>
  <c r="C405" i="22"/>
  <c r="H405" i="22"/>
  <c r="K405" i="22"/>
  <c r="C186" i="26" s="1"/>
  <c r="C406" i="22"/>
  <c r="H406" i="22"/>
  <c r="C187" i="28" s="1"/>
  <c r="K406" i="22"/>
  <c r="C187" i="26" s="1"/>
  <c r="C407" i="22"/>
  <c r="H407" i="22"/>
  <c r="C188" i="28" s="1"/>
  <c r="K407" i="22"/>
  <c r="C188" i="26" s="1"/>
  <c r="C408" i="22"/>
  <c r="H408" i="22"/>
  <c r="K408" i="22"/>
  <c r="C189" i="26" s="1"/>
  <c r="C409" i="22"/>
  <c r="H409" i="22"/>
  <c r="K409" i="22"/>
  <c r="C190" i="26" s="1"/>
  <c r="C410" i="22"/>
  <c r="H410" i="22"/>
  <c r="C191" i="28" s="1"/>
  <c r="K410" i="22"/>
  <c r="C411" i="22"/>
  <c r="H411" i="22"/>
  <c r="C192" i="28" s="1"/>
  <c r="K411" i="22"/>
  <c r="C192" i="26" s="1"/>
  <c r="C412" i="22"/>
  <c r="H412" i="22"/>
  <c r="C193" i="28" s="1"/>
  <c r="K412" i="22"/>
  <c r="C193" i="26" s="1"/>
  <c r="C413" i="22"/>
  <c r="H413" i="22"/>
  <c r="C194" i="28" s="1"/>
  <c r="K413" i="22"/>
  <c r="C194" i="26" s="1"/>
  <c r="C414" i="22"/>
  <c r="H414" i="22"/>
  <c r="C195" i="28" s="1"/>
  <c r="K414" i="22"/>
  <c r="C195" i="26" s="1"/>
  <c r="C415" i="22"/>
  <c r="H415" i="22"/>
  <c r="C196" i="28" s="1"/>
  <c r="K415" i="22"/>
  <c r="C196" i="26" s="1"/>
  <c r="C416" i="22"/>
  <c r="H416" i="22"/>
  <c r="C197" i="28" s="1"/>
  <c r="K416" i="22"/>
  <c r="C197" i="26" s="1"/>
  <c r="C417" i="22"/>
  <c r="H417" i="22"/>
  <c r="C198" i="28" s="1"/>
  <c r="K417" i="22"/>
  <c r="C198" i="26" s="1"/>
  <c r="C418" i="22"/>
  <c r="H418" i="22"/>
  <c r="C199" i="28" s="1"/>
  <c r="K418" i="22"/>
  <c r="C199" i="26" s="1"/>
  <c r="C419" i="22"/>
  <c r="H419" i="22"/>
  <c r="C200" i="28" s="1"/>
  <c r="K419" i="22"/>
  <c r="C200" i="26" s="1"/>
  <c r="C420" i="22"/>
  <c r="H420" i="22"/>
  <c r="C201" i="28" s="1"/>
  <c r="K420" i="22"/>
  <c r="C201" i="26" s="1"/>
  <c r="C421" i="22"/>
  <c r="H421" i="22"/>
  <c r="K421" i="22"/>
  <c r="C202" i="26" s="1"/>
  <c r="C422" i="22"/>
  <c r="H422" i="22"/>
  <c r="C203" i="28" s="1"/>
  <c r="K422" i="22"/>
  <c r="C203" i="26" s="1"/>
  <c r="C423" i="22"/>
  <c r="H423" i="22"/>
  <c r="C204" i="28" s="1"/>
  <c r="K423" i="22"/>
  <c r="C204" i="26" s="1"/>
  <c r="C424" i="22"/>
  <c r="H424" i="22"/>
  <c r="K424" i="22"/>
  <c r="C205" i="26" s="1"/>
  <c r="C425" i="22"/>
  <c r="H425" i="22"/>
  <c r="K425" i="22"/>
  <c r="C206" i="26" s="1"/>
  <c r="C426" i="22"/>
  <c r="H426" i="22"/>
  <c r="C207" i="28" s="1"/>
  <c r="K426" i="22"/>
  <c r="C207" i="26" s="1"/>
  <c r="C427" i="22"/>
  <c r="H427" i="22"/>
  <c r="C208" i="28" s="1"/>
  <c r="K427" i="22"/>
  <c r="C208" i="26" s="1"/>
  <c r="C428" i="22"/>
  <c r="H428" i="22"/>
  <c r="C209" i="28" s="1"/>
  <c r="K428" i="22"/>
  <c r="C209" i="26" s="1"/>
  <c r="C429" i="22"/>
  <c r="H429" i="22"/>
  <c r="C210" i="28" s="1"/>
  <c r="K429" i="22"/>
  <c r="C210" i="26" s="1"/>
  <c r="C430" i="22"/>
  <c r="H430" i="22"/>
  <c r="C211" i="28" s="1"/>
  <c r="K430" i="22"/>
  <c r="C211" i="26" s="1"/>
  <c r="C431" i="22"/>
  <c r="H431" i="22"/>
  <c r="C212" i="28" s="1"/>
  <c r="K431" i="22"/>
  <c r="C212" i="26" s="1"/>
  <c r="C432" i="22"/>
  <c r="H432" i="22"/>
  <c r="C213" i="28" s="1"/>
  <c r="K432" i="22"/>
  <c r="C213" i="26" s="1"/>
  <c r="C433" i="22"/>
  <c r="H433" i="22"/>
  <c r="C214" i="28" s="1"/>
  <c r="K433" i="22"/>
  <c r="C214" i="26" s="1"/>
  <c r="C434" i="22"/>
  <c r="H434" i="22"/>
  <c r="C215" i="28" s="1"/>
  <c r="K434" i="22"/>
  <c r="C215" i="26" s="1"/>
  <c r="C435" i="22"/>
  <c r="H435" i="22"/>
  <c r="C216" i="28" s="1"/>
  <c r="K435" i="22"/>
  <c r="C216" i="26" s="1"/>
  <c r="C436" i="22"/>
  <c r="H436" i="22"/>
  <c r="C217" i="28" s="1"/>
  <c r="K436" i="22"/>
  <c r="C217" i="26" s="1"/>
  <c r="C437" i="22"/>
  <c r="H437" i="22"/>
  <c r="K437" i="22"/>
  <c r="C218" i="26" s="1"/>
  <c r="C438" i="22"/>
  <c r="H438" i="22"/>
  <c r="C219" i="28" s="1"/>
  <c r="K438" i="22"/>
  <c r="C219" i="26" s="1"/>
  <c r="C439" i="22"/>
  <c r="H439" i="22"/>
  <c r="C220" i="28" s="1"/>
  <c r="K439" i="22"/>
  <c r="C220" i="26" s="1"/>
  <c r="C440" i="22"/>
  <c r="H440" i="22"/>
  <c r="K440" i="22"/>
  <c r="C221" i="26" s="1"/>
  <c r="C441" i="22"/>
  <c r="H441" i="22"/>
  <c r="K441" i="22"/>
  <c r="C222" i="26" s="1"/>
  <c r="C442" i="22"/>
  <c r="H442" i="22"/>
  <c r="C223" i="28" s="1"/>
  <c r="K442" i="22"/>
  <c r="C223" i="26" s="1"/>
  <c r="C443" i="22"/>
  <c r="H443" i="22"/>
  <c r="C224" i="28" s="1"/>
  <c r="K443" i="22"/>
  <c r="C224" i="26" s="1"/>
  <c r="C444" i="22"/>
  <c r="H444" i="22"/>
  <c r="C225" i="28" s="1"/>
  <c r="K444" i="22"/>
  <c r="C225" i="26" s="1"/>
  <c r="C445" i="22"/>
  <c r="H445" i="22"/>
  <c r="C226" i="28" s="1"/>
  <c r="K445" i="22"/>
  <c r="C226" i="26" s="1"/>
  <c r="C446" i="22"/>
  <c r="H446" i="22"/>
  <c r="C227" i="28" s="1"/>
  <c r="K446" i="22"/>
  <c r="C227" i="26" s="1"/>
  <c r="C447" i="22"/>
  <c r="H447" i="22"/>
  <c r="C228" i="28" s="1"/>
  <c r="K447" i="22"/>
  <c r="C228" i="26" s="1"/>
  <c r="C448" i="22"/>
  <c r="H448" i="22"/>
  <c r="C229" i="28" s="1"/>
  <c r="K448" i="22"/>
  <c r="C229" i="26" s="1"/>
  <c r="C449" i="22"/>
  <c r="H449" i="22"/>
  <c r="C230" i="28" s="1"/>
  <c r="K449" i="22"/>
  <c r="C230" i="26" s="1"/>
  <c r="C450" i="22"/>
  <c r="H450" i="22"/>
  <c r="C231" i="28" s="1"/>
  <c r="K450" i="22"/>
  <c r="C451" i="22"/>
  <c r="H451" i="22"/>
  <c r="C232" i="28" s="1"/>
  <c r="K451" i="22"/>
  <c r="C452" i="22"/>
  <c r="H452" i="22"/>
  <c r="C233" i="28" s="1"/>
  <c r="K452" i="22"/>
  <c r="C233" i="26" s="1"/>
  <c r="C453" i="22"/>
  <c r="H453" i="22"/>
  <c r="K453" i="22"/>
  <c r="C234" i="26" s="1"/>
  <c r="C454" i="22"/>
  <c r="H454" i="22"/>
  <c r="C235" i="28" s="1"/>
  <c r="K454" i="22"/>
  <c r="C235" i="26" s="1"/>
  <c r="C455" i="22"/>
  <c r="H455" i="22"/>
  <c r="C236" i="28" s="1"/>
  <c r="K455" i="22"/>
  <c r="C236" i="26" s="1"/>
  <c r="C456" i="22"/>
  <c r="H456" i="22"/>
  <c r="K456" i="22"/>
  <c r="C237" i="26" s="1"/>
  <c r="C457" i="22"/>
  <c r="H457" i="22"/>
  <c r="K457" i="22"/>
  <c r="C238" i="26" s="1"/>
  <c r="C458" i="22"/>
  <c r="H458" i="22"/>
  <c r="C239" i="28" s="1"/>
  <c r="K458" i="22"/>
  <c r="C239" i="26" s="1"/>
  <c r="C459" i="22"/>
  <c r="H459" i="22"/>
  <c r="C240" i="28" s="1"/>
  <c r="K459" i="22"/>
  <c r="C240" i="26" s="1"/>
  <c r="C460" i="22"/>
  <c r="H460" i="22"/>
  <c r="C241" i="28" s="1"/>
  <c r="K460" i="22"/>
  <c r="C241" i="26" s="1"/>
  <c r="C461" i="22"/>
  <c r="H461" i="22"/>
  <c r="C242" i="28" s="1"/>
  <c r="K461" i="22"/>
  <c r="C242" i="26" s="1"/>
  <c r="C462" i="22"/>
  <c r="H462" i="22"/>
  <c r="C243" i="28" s="1"/>
  <c r="K462" i="22"/>
  <c r="C243" i="26" s="1"/>
  <c r="C463" i="22"/>
  <c r="H463" i="22"/>
  <c r="C244" i="28" s="1"/>
  <c r="K463" i="22"/>
  <c r="C244" i="26" s="1"/>
  <c r="C464" i="22"/>
  <c r="H464" i="22"/>
  <c r="C245" i="28" s="1"/>
  <c r="K464" i="22"/>
  <c r="C245" i="26" s="1"/>
  <c r="C465" i="22"/>
  <c r="H465" i="22"/>
  <c r="C246" i="28" s="1"/>
  <c r="K465" i="22"/>
  <c r="C246" i="26" s="1"/>
  <c r="C466" i="22"/>
  <c r="H466" i="22"/>
  <c r="C247" i="28" s="1"/>
  <c r="K466" i="22"/>
  <c r="C247" i="26" s="1"/>
  <c r="C467" i="22"/>
  <c r="H467" i="22"/>
  <c r="C248" i="28" s="1"/>
  <c r="K467" i="22"/>
  <c r="C248" i="26" s="1"/>
  <c r="C468" i="22"/>
  <c r="H468" i="22"/>
  <c r="C249" i="28" s="1"/>
  <c r="K468" i="22"/>
  <c r="C249" i="26" s="1"/>
  <c r="C469" i="22"/>
  <c r="H469" i="22"/>
  <c r="K469" i="22"/>
  <c r="C250" i="26" s="1"/>
  <c r="C470" i="22"/>
  <c r="H470" i="22"/>
  <c r="C251" i="28" s="1"/>
  <c r="K470" i="22"/>
  <c r="C251" i="26" s="1"/>
  <c r="C471" i="22"/>
  <c r="H471" i="22"/>
  <c r="C252" i="28" s="1"/>
  <c r="K471" i="22"/>
  <c r="C252" i="26" s="1"/>
  <c r="C472" i="22"/>
  <c r="H472" i="22"/>
  <c r="K472" i="22"/>
  <c r="C253" i="26" s="1"/>
  <c r="C473" i="22"/>
  <c r="H473" i="22"/>
  <c r="K473" i="22"/>
  <c r="C254" i="26" s="1"/>
  <c r="C474" i="22"/>
  <c r="H474" i="22"/>
  <c r="C255" i="28" s="1"/>
  <c r="K474" i="22"/>
  <c r="C255" i="26" s="1"/>
  <c r="C475" i="22"/>
  <c r="H475" i="22"/>
  <c r="C256" i="28" s="1"/>
  <c r="K475" i="22"/>
  <c r="C256" i="26" s="1"/>
  <c r="C476" i="22"/>
  <c r="H476" i="22"/>
  <c r="C257" i="28" s="1"/>
  <c r="K476" i="22"/>
  <c r="C257" i="26" s="1"/>
  <c r="C477" i="22"/>
  <c r="H477" i="22"/>
  <c r="C258" i="28" s="1"/>
  <c r="K477" i="22"/>
  <c r="C258" i="26" s="1"/>
  <c r="C478" i="22"/>
  <c r="H478" i="22"/>
  <c r="C259" i="28" s="1"/>
  <c r="K478" i="22"/>
  <c r="C259" i="26" s="1"/>
  <c r="C479" i="22"/>
  <c r="H479" i="22"/>
  <c r="C260" i="28" s="1"/>
  <c r="K479" i="22"/>
  <c r="C260" i="26" s="1"/>
  <c r="C480" i="22"/>
  <c r="H480" i="22"/>
  <c r="C261" i="28" s="1"/>
  <c r="K480" i="22"/>
  <c r="C261" i="26" s="1"/>
  <c r="C481" i="22"/>
  <c r="H481" i="22"/>
  <c r="C262" i="28" s="1"/>
  <c r="K481" i="22"/>
  <c r="C262" i="26" s="1"/>
  <c r="C482" i="22"/>
  <c r="H482" i="22"/>
  <c r="C263" i="28" s="1"/>
  <c r="K482" i="22"/>
  <c r="C483" i="22"/>
  <c r="H483" i="22"/>
  <c r="C264" i="28" s="1"/>
  <c r="K483" i="22"/>
  <c r="C264" i="26" s="1"/>
  <c r="C484" i="22"/>
  <c r="H484" i="22"/>
  <c r="C265" i="28" s="1"/>
  <c r="K484" i="22"/>
  <c r="C265" i="26" s="1"/>
  <c r="C485" i="22"/>
  <c r="H485" i="22"/>
  <c r="K485" i="22"/>
  <c r="C266" i="26" s="1"/>
  <c r="C486" i="22"/>
  <c r="H486" i="22"/>
  <c r="C267" i="28" s="1"/>
  <c r="K486" i="22"/>
  <c r="C267" i="26" s="1"/>
  <c r="C487" i="22"/>
  <c r="H487" i="22"/>
  <c r="C268" i="28" s="1"/>
  <c r="K487" i="22"/>
  <c r="C268" i="26" s="1"/>
  <c r="C488" i="22"/>
  <c r="H488" i="22"/>
  <c r="K488" i="22"/>
  <c r="C269" i="26" s="1"/>
  <c r="C489" i="22"/>
  <c r="H489" i="22"/>
  <c r="K489" i="22"/>
  <c r="C270" i="26" s="1"/>
  <c r="C490" i="22"/>
  <c r="H490" i="22"/>
  <c r="C271" i="28" s="1"/>
  <c r="K490" i="22"/>
  <c r="C271" i="26" s="1"/>
  <c r="C491" i="22"/>
  <c r="H491" i="22"/>
  <c r="C272" i="28" s="1"/>
  <c r="K491" i="22"/>
  <c r="C492" i="22"/>
  <c r="H492" i="22"/>
  <c r="C273" i="28" s="1"/>
  <c r="K492" i="22"/>
  <c r="C493" i="22"/>
  <c r="H493" i="22"/>
  <c r="C274" i="28" s="1"/>
  <c r="K493" i="22"/>
  <c r="C274" i="26" s="1"/>
  <c r="C494" i="22"/>
  <c r="H494" i="22"/>
  <c r="C275" i="28" s="1"/>
  <c r="K494" i="22"/>
  <c r="C275" i="26" s="1"/>
  <c r="C495" i="22"/>
  <c r="H495" i="22"/>
  <c r="C276" i="28" s="1"/>
  <c r="K495" i="22"/>
  <c r="C276" i="26" s="1"/>
  <c r="C496" i="22"/>
  <c r="H496" i="22"/>
  <c r="C277" i="28" s="1"/>
  <c r="K496" i="22"/>
  <c r="C277" i="26" s="1"/>
  <c r="C497" i="22"/>
  <c r="H497" i="22"/>
  <c r="K497" i="22"/>
  <c r="C278" i="26" s="1"/>
  <c r="C498" i="22"/>
  <c r="H498" i="22"/>
  <c r="K498" i="22"/>
  <c r="C279" i="26" s="1"/>
  <c r="C499" i="22"/>
  <c r="H499" i="22"/>
  <c r="C280" i="28" s="1"/>
  <c r="K499" i="22"/>
  <c r="C280" i="26" s="1"/>
  <c r="C500" i="22"/>
  <c r="H500" i="22"/>
  <c r="C281" i="28" s="1"/>
  <c r="K500" i="22"/>
  <c r="C281" i="26" s="1"/>
  <c r="C501" i="22"/>
  <c r="H501" i="22"/>
  <c r="C282" i="28" s="1"/>
  <c r="K501" i="22"/>
  <c r="C282" i="26" s="1"/>
  <c r="C502" i="22"/>
  <c r="H502" i="22"/>
  <c r="C283" i="28" s="1"/>
  <c r="K502" i="22"/>
  <c r="C283" i="26" s="1"/>
  <c r="C503" i="22"/>
  <c r="H503" i="22"/>
  <c r="K503" i="22"/>
  <c r="C284" i="26" s="1"/>
  <c r="C504" i="22"/>
  <c r="H504" i="22"/>
  <c r="C285" i="28" s="1"/>
  <c r="K504" i="22"/>
  <c r="C285" i="26" s="1"/>
  <c r="C505" i="22"/>
  <c r="H505" i="22"/>
  <c r="C286" i="28" s="1"/>
  <c r="K505" i="22"/>
  <c r="C286" i="26" s="1"/>
  <c r="C506" i="22"/>
  <c r="H506" i="22"/>
  <c r="K506" i="22"/>
  <c r="C287" i="26" s="1"/>
  <c r="C507" i="22"/>
  <c r="H507" i="22"/>
  <c r="K507" i="22"/>
  <c r="C288" i="26" s="1"/>
  <c r="C508" i="22"/>
  <c r="H508" i="22"/>
  <c r="K508" i="22"/>
  <c r="C289" i="26" s="1"/>
  <c r="C509" i="22"/>
  <c r="H509" i="22"/>
  <c r="C290" i="28" s="1"/>
  <c r="K509" i="22"/>
  <c r="C290" i="26" s="1"/>
  <c r="C510" i="22"/>
  <c r="H510" i="22"/>
  <c r="C291" i="28" s="1"/>
  <c r="K510" i="22"/>
  <c r="C291" i="26" s="1"/>
  <c r="C511" i="22"/>
  <c r="H511" i="22"/>
  <c r="C292" i="28" s="1"/>
  <c r="K511" i="22"/>
  <c r="C292" i="26" s="1"/>
  <c r="C512" i="22"/>
  <c r="H512" i="22"/>
  <c r="C293" i="28" s="1"/>
  <c r="K512" i="22"/>
  <c r="C293" i="26" s="1"/>
  <c r="C513" i="22"/>
  <c r="H513" i="22"/>
  <c r="C294" i="28" s="1"/>
  <c r="K513" i="22"/>
  <c r="C294" i="26" s="1"/>
  <c r="C514" i="22"/>
  <c r="H514" i="22"/>
  <c r="C295" i="28" s="1"/>
  <c r="K514" i="22"/>
  <c r="C295" i="26" s="1"/>
  <c r="C515" i="22"/>
  <c r="H515" i="22"/>
  <c r="C296" i="28" s="1"/>
  <c r="K515" i="22"/>
  <c r="C296" i="26" s="1"/>
  <c r="C516" i="22"/>
  <c r="H516" i="22"/>
  <c r="C297" i="28" s="1"/>
  <c r="K516" i="22"/>
  <c r="C297" i="26" s="1"/>
  <c r="C517" i="22"/>
  <c r="H517" i="22"/>
  <c r="C298" i="28" s="1"/>
  <c r="K517" i="22"/>
  <c r="C298" i="26" s="1"/>
  <c r="C518" i="22"/>
  <c r="H518" i="22"/>
  <c r="C299" i="28" s="1"/>
  <c r="K518" i="22"/>
  <c r="C299" i="26" s="1"/>
  <c r="C519" i="22"/>
  <c r="H519" i="22"/>
  <c r="K519" i="22"/>
  <c r="C520" i="22"/>
  <c r="H520" i="22"/>
  <c r="K520" i="22"/>
  <c r="C521" i="22"/>
  <c r="H521" i="22"/>
  <c r="K521" i="22"/>
  <c r="C522" i="22"/>
  <c r="H522" i="22"/>
  <c r="K522" i="22"/>
  <c r="C523" i="22"/>
  <c r="H523" i="22"/>
  <c r="K523" i="22"/>
  <c r="C524" i="22"/>
  <c r="H524" i="22"/>
  <c r="K524" i="22"/>
  <c r="C525" i="22"/>
  <c r="H525" i="22"/>
  <c r="K525" i="22"/>
  <c r="C526" i="22"/>
  <c r="H526" i="22"/>
  <c r="K526" i="22"/>
  <c r="C527" i="22"/>
  <c r="H527" i="22"/>
  <c r="K527" i="22"/>
  <c r="C528" i="22"/>
  <c r="H528" i="22"/>
  <c r="K528" i="22"/>
  <c r="C529" i="22"/>
  <c r="H529" i="22"/>
  <c r="K529" i="22"/>
  <c r="C530" i="22"/>
  <c r="H530" i="22"/>
  <c r="K530" i="22"/>
  <c r="C531" i="22"/>
  <c r="H531" i="22"/>
  <c r="K531" i="22"/>
  <c r="C532" i="22"/>
  <c r="H532" i="22"/>
  <c r="K532" i="22"/>
  <c r="C533" i="22"/>
  <c r="H533" i="22"/>
  <c r="K533" i="22"/>
  <c r="C534" i="22"/>
  <c r="H534" i="22"/>
  <c r="K534" i="22"/>
  <c r="C535" i="22"/>
  <c r="H535" i="22"/>
  <c r="K535" i="22"/>
  <c r="C536" i="22"/>
  <c r="H536" i="22"/>
  <c r="K536" i="22"/>
  <c r="C537" i="22"/>
  <c r="H537" i="22"/>
  <c r="K537" i="22"/>
  <c r="C538" i="22"/>
  <c r="H538" i="22"/>
  <c r="K538" i="22"/>
  <c r="C539" i="22"/>
  <c r="H539" i="22"/>
  <c r="K539" i="22"/>
  <c r="C540" i="22"/>
  <c r="H540" i="22"/>
  <c r="K540" i="22"/>
  <c r="C541" i="22"/>
  <c r="H541" i="22"/>
  <c r="K541" i="22"/>
  <c r="C542" i="22"/>
  <c r="H542" i="22"/>
  <c r="K542" i="22"/>
  <c r="C543" i="22"/>
  <c r="H543" i="22"/>
  <c r="K543" i="22"/>
  <c r="C544" i="22"/>
  <c r="H544" i="22"/>
  <c r="K544" i="22"/>
  <c r="C545" i="22"/>
  <c r="H545" i="22"/>
  <c r="K545" i="22"/>
  <c r="C546" i="22"/>
  <c r="H546" i="22"/>
  <c r="K546" i="22"/>
  <c r="C547" i="22"/>
  <c r="H547" i="22"/>
  <c r="K547" i="22"/>
  <c r="C548" i="22"/>
  <c r="H548" i="22"/>
  <c r="K548" i="22"/>
  <c r="C549" i="22"/>
  <c r="H549" i="22"/>
  <c r="K549" i="22"/>
  <c r="C550" i="22"/>
  <c r="H550" i="22"/>
  <c r="K550" i="22"/>
  <c r="C551" i="22"/>
  <c r="H551" i="22"/>
  <c r="K551" i="22"/>
  <c r="C552" i="22"/>
  <c r="H552" i="22"/>
  <c r="K552" i="22"/>
  <c r="C553" i="22"/>
  <c r="H553" i="22"/>
  <c r="K553" i="22"/>
  <c r="C554" i="22"/>
  <c r="H554" i="22"/>
  <c r="K554" i="22"/>
  <c r="C555" i="22"/>
  <c r="H555" i="22"/>
  <c r="K555" i="22"/>
  <c r="C556" i="22"/>
  <c r="H556" i="22"/>
  <c r="K556" i="22"/>
  <c r="C557" i="22"/>
  <c r="H557" i="22"/>
  <c r="K557" i="22"/>
  <c r="C558" i="22"/>
  <c r="H558" i="22"/>
  <c r="K558" i="22"/>
  <c r="C559" i="22"/>
  <c r="H559" i="22"/>
  <c r="K559" i="22"/>
  <c r="C560" i="22"/>
  <c r="H560" i="22"/>
  <c r="K560" i="22"/>
  <c r="C561" i="22"/>
  <c r="H561" i="22"/>
  <c r="K561" i="22"/>
  <c r="C562" i="22"/>
  <c r="H562" i="22"/>
  <c r="K562" i="22"/>
  <c r="C563" i="22"/>
  <c r="H563" i="22"/>
  <c r="K563" i="22"/>
  <c r="C564" i="22"/>
  <c r="H564" i="22"/>
  <c r="K564" i="22"/>
  <c r="C565" i="22"/>
  <c r="H565" i="22"/>
  <c r="K565" i="22"/>
  <c r="C566" i="22"/>
  <c r="H566" i="22"/>
  <c r="K566" i="22"/>
  <c r="C567" i="22"/>
  <c r="H567" i="22"/>
  <c r="K567" i="22"/>
  <c r="C568" i="22"/>
  <c r="H568" i="22"/>
  <c r="K568" i="22"/>
  <c r="C569" i="22"/>
  <c r="H569" i="22"/>
  <c r="K569" i="22"/>
  <c r="C570" i="22"/>
  <c r="H570" i="22"/>
  <c r="K570" i="22"/>
  <c r="C571" i="22"/>
  <c r="H571" i="22"/>
  <c r="K571" i="22"/>
  <c r="C572" i="22"/>
  <c r="H572" i="22"/>
  <c r="K572" i="22"/>
  <c r="C573" i="22"/>
  <c r="H573" i="22"/>
  <c r="K573" i="22"/>
  <c r="C574" i="22"/>
  <c r="H574" i="22"/>
  <c r="K574" i="22"/>
  <c r="C575" i="22"/>
  <c r="H575" i="22"/>
  <c r="K575" i="22"/>
  <c r="C576" i="22"/>
  <c r="H576" i="22"/>
  <c r="K576" i="22"/>
  <c r="C577" i="22"/>
  <c r="H577" i="22"/>
  <c r="K577" i="22"/>
  <c r="C578" i="22"/>
  <c r="H578" i="22"/>
  <c r="K578" i="22"/>
  <c r="C579" i="22"/>
  <c r="H579" i="22"/>
  <c r="K579" i="22"/>
  <c r="C580" i="22"/>
  <c r="H580" i="22"/>
  <c r="K580" i="22"/>
  <c r="C581" i="22"/>
  <c r="H581" i="22"/>
  <c r="K581" i="22"/>
  <c r="C582" i="22"/>
  <c r="H582" i="22"/>
  <c r="K582" i="22"/>
  <c r="C583" i="22"/>
  <c r="H583" i="22"/>
  <c r="K583" i="22"/>
  <c r="C584" i="22"/>
  <c r="H584" i="22"/>
  <c r="K584" i="22"/>
  <c r="C585" i="22"/>
  <c r="H585" i="22"/>
  <c r="K585" i="22"/>
  <c r="C586" i="22"/>
  <c r="H586" i="22"/>
  <c r="K586" i="22"/>
  <c r="C587" i="22"/>
  <c r="H587" i="22"/>
  <c r="K587" i="22"/>
  <c r="C588" i="22"/>
  <c r="H588" i="22"/>
  <c r="K588" i="22"/>
  <c r="C589" i="22"/>
  <c r="H589" i="22"/>
  <c r="K589" i="22"/>
  <c r="C590" i="22"/>
  <c r="H590" i="22"/>
  <c r="K590" i="22"/>
  <c r="C591" i="22"/>
  <c r="H591" i="22"/>
  <c r="K591" i="22"/>
  <c r="C592" i="22"/>
  <c r="H592" i="22"/>
  <c r="K592" i="22"/>
  <c r="C593" i="22"/>
  <c r="H593" i="22"/>
  <c r="K593" i="22"/>
  <c r="C594" i="22"/>
  <c r="H594" i="22"/>
  <c r="K594" i="22"/>
  <c r="C595" i="22"/>
  <c r="H595" i="22"/>
  <c r="K595" i="22"/>
  <c r="C596" i="22"/>
  <c r="H596" i="22"/>
  <c r="K596" i="22"/>
  <c r="C597" i="22"/>
  <c r="H597" i="22"/>
  <c r="K597" i="22"/>
  <c r="C598" i="22"/>
  <c r="H598" i="22"/>
  <c r="K598" i="22"/>
  <c r="C599" i="22"/>
  <c r="H599" i="22"/>
  <c r="K599" i="22"/>
  <c r="C600" i="22"/>
  <c r="H600" i="22"/>
  <c r="K600" i="22"/>
  <c r="C601" i="22"/>
  <c r="H601" i="22"/>
  <c r="K601" i="22"/>
  <c r="C602" i="22"/>
  <c r="H602" i="22"/>
  <c r="K602" i="22"/>
  <c r="C603" i="22"/>
  <c r="H603" i="22"/>
  <c r="K603" i="22"/>
  <c r="C604" i="22"/>
  <c r="H604" i="22"/>
  <c r="K604" i="22"/>
  <c r="C605" i="22"/>
  <c r="H605" i="22"/>
  <c r="K605" i="22"/>
  <c r="C606" i="22"/>
  <c r="H606" i="22"/>
  <c r="K606" i="22"/>
  <c r="C607" i="22"/>
  <c r="H607" i="22"/>
  <c r="K607" i="22"/>
  <c r="C608" i="22"/>
  <c r="H608" i="22"/>
  <c r="K608" i="22"/>
  <c r="C609" i="22"/>
  <c r="H609" i="22"/>
  <c r="K609" i="22"/>
  <c r="C610" i="22"/>
  <c r="H610" i="22"/>
  <c r="K610" i="22"/>
  <c r="C611" i="22"/>
  <c r="H611" i="22"/>
  <c r="K611" i="22"/>
  <c r="C612" i="22"/>
  <c r="H612" i="22"/>
  <c r="K612" i="22"/>
  <c r="C613" i="22"/>
  <c r="H613" i="22"/>
  <c r="K613" i="22"/>
  <c r="C614" i="22"/>
  <c r="H614" i="22"/>
  <c r="K614" i="22"/>
  <c r="C615" i="22"/>
  <c r="H615" i="22"/>
  <c r="K615" i="22"/>
  <c r="C616" i="22"/>
  <c r="H616" i="22"/>
  <c r="K616" i="22"/>
  <c r="C617" i="22"/>
  <c r="H617" i="22"/>
  <c r="K617" i="22"/>
  <c r="C618" i="22"/>
  <c r="H618" i="22"/>
  <c r="K618" i="22"/>
  <c r="C619" i="22"/>
  <c r="H619" i="22"/>
  <c r="K619" i="22"/>
  <c r="C620" i="22"/>
  <c r="H620" i="22"/>
  <c r="K620" i="22"/>
  <c r="C621" i="22"/>
  <c r="H621" i="22"/>
  <c r="K621" i="22"/>
  <c r="C622" i="22"/>
  <c r="H622" i="22"/>
  <c r="K622" i="22"/>
  <c r="C623" i="22"/>
  <c r="H623" i="22"/>
  <c r="K623" i="22"/>
  <c r="C624" i="22"/>
  <c r="H624" i="22"/>
  <c r="K624" i="22"/>
  <c r="C625" i="22"/>
  <c r="H625" i="22"/>
  <c r="K625" i="22"/>
  <c r="C626" i="22"/>
  <c r="H626" i="22"/>
  <c r="K626" i="22"/>
  <c r="C627" i="22"/>
  <c r="H627" i="22"/>
  <c r="K627" i="22"/>
  <c r="C628" i="22"/>
  <c r="H628" i="22"/>
  <c r="K628" i="22"/>
  <c r="C629" i="22"/>
  <c r="H629" i="22"/>
  <c r="K629" i="22"/>
  <c r="C630" i="22"/>
  <c r="H630" i="22"/>
  <c r="K630" i="22"/>
  <c r="C631" i="22"/>
  <c r="H631" i="22"/>
  <c r="K631" i="22"/>
  <c r="C632" i="22"/>
  <c r="H632" i="22"/>
  <c r="K632" i="22"/>
  <c r="C633" i="22"/>
  <c r="H633" i="22"/>
  <c r="K633" i="22"/>
  <c r="C634" i="22"/>
  <c r="H634" i="22"/>
  <c r="K634" i="22"/>
  <c r="C635" i="22"/>
  <c r="H635" i="22"/>
  <c r="K635" i="22"/>
  <c r="C636" i="22"/>
  <c r="H636" i="22"/>
  <c r="K636" i="22"/>
  <c r="C637" i="22"/>
  <c r="H637" i="22"/>
  <c r="K637" i="22"/>
  <c r="C638" i="22"/>
  <c r="H638" i="22"/>
  <c r="K638" i="22"/>
  <c r="C639" i="22"/>
  <c r="H639" i="22"/>
  <c r="K639" i="22"/>
  <c r="C640" i="22"/>
  <c r="H640" i="22"/>
  <c r="K640" i="22"/>
  <c r="C641" i="22"/>
  <c r="H641" i="22"/>
  <c r="K641" i="22"/>
  <c r="C642" i="22"/>
  <c r="H642" i="22"/>
  <c r="K642" i="22"/>
  <c r="C643" i="22"/>
  <c r="H643" i="22"/>
  <c r="K643" i="22"/>
  <c r="C644" i="22"/>
  <c r="H644" i="22"/>
  <c r="K644" i="22"/>
  <c r="C645" i="22"/>
  <c r="H645" i="22"/>
  <c r="K645" i="22"/>
  <c r="C646" i="22"/>
  <c r="H646" i="22"/>
  <c r="K646" i="22"/>
  <c r="C647" i="22"/>
  <c r="H647" i="22"/>
  <c r="K647" i="22"/>
  <c r="C648" i="22"/>
  <c r="H648" i="22"/>
  <c r="K648" i="22"/>
  <c r="C649" i="22"/>
  <c r="H649" i="22"/>
  <c r="K649" i="22"/>
  <c r="C650" i="22"/>
  <c r="H650" i="22"/>
  <c r="K650" i="22"/>
  <c r="C651" i="22"/>
  <c r="H651" i="22"/>
  <c r="K651" i="22"/>
  <c r="C652" i="22"/>
  <c r="H652" i="22"/>
  <c r="K652" i="22"/>
  <c r="C653" i="22"/>
  <c r="H653" i="22"/>
  <c r="K653" i="22"/>
  <c r="C654" i="22"/>
  <c r="H654" i="22"/>
  <c r="K654" i="22"/>
  <c r="C655" i="22"/>
  <c r="H655" i="22"/>
  <c r="K655" i="22"/>
  <c r="C656" i="22"/>
  <c r="K656" i="22"/>
  <c r="C657" i="22"/>
  <c r="K657" i="22"/>
  <c r="C658" i="22"/>
  <c r="K658" i="22"/>
  <c r="C659" i="22"/>
  <c r="K659" i="22"/>
  <c r="C660" i="22"/>
  <c r="K660" i="22"/>
  <c r="C661" i="22"/>
  <c r="K661" i="22"/>
  <c r="C662" i="22"/>
  <c r="K662" i="22"/>
  <c r="C663" i="22"/>
  <c r="K663" i="22"/>
  <c r="C664" i="22"/>
  <c r="K664" i="22"/>
  <c r="C665" i="22"/>
  <c r="K665" i="22"/>
  <c r="C666" i="22"/>
  <c r="K666" i="22"/>
  <c r="C667" i="22"/>
  <c r="K667" i="22"/>
  <c r="C668" i="22"/>
  <c r="K668" i="22"/>
  <c r="C669" i="22"/>
  <c r="K669" i="22"/>
  <c r="C670" i="22"/>
  <c r="K670" i="22"/>
  <c r="C671" i="22"/>
  <c r="K671" i="22"/>
  <c r="C672" i="22"/>
  <c r="K672" i="22"/>
  <c r="C673" i="22"/>
  <c r="K673" i="22"/>
  <c r="C674" i="22"/>
  <c r="K674" i="22"/>
  <c r="C675" i="22"/>
  <c r="K675" i="22"/>
  <c r="C676" i="22"/>
  <c r="K676" i="22"/>
  <c r="C677" i="22"/>
  <c r="K677" i="22"/>
  <c r="C678" i="22"/>
  <c r="K678" i="22"/>
  <c r="C679" i="22"/>
  <c r="K679" i="22"/>
  <c r="C680" i="22"/>
  <c r="K680" i="22"/>
  <c r="C681" i="22"/>
  <c r="K681" i="22"/>
  <c r="C682" i="22"/>
  <c r="K682" i="22"/>
  <c r="C683" i="22"/>
  <c r="K683" i="22"/>
  <c r="C684" i="22"/>
  <c r="K684" i="22"/>
  <c r="C685" i="22"/>
  <c r="K685" i="22"/>
  <c r="C686" i="22"/>
  <c r="K686" i="22"/>
  <c r="C687" i="22"/>
  <c r="K687" i="22"/>
  <c r="C688" i="22"/>
  <c r="K688" i="22"/>
  <c r="C689" i="22"/>
  <c r="K689" i="22"/>
  <c r="C690" i="22"/>
  <c r="K690" i="22"/>
  <c r="C691" i="22"/>
  <c r="K691" i="22"/>
  <c r="C692" i="22"/>
  <c r="K692" i="22"/>
  <c r="C693" i="22"/>
  <c r="K693" i="22"/>
  <c r="C694" i="22"/>
  <c r="K694" i="22"/>
  <c r="C695" i="22"/>
  <c r="K695" i="22"/>
  <c r="C696" i="22"/>
  <c r="K696" i="22"/>
  <c r="C697" i="22"/>
  <c r="K697" i="22"/>
  <c r="C698" i="22"/>
  <c r="K698" i="22"/>
  <c r="C699" i="22"/>
  <c r="K699" i="22"/>
  <c r="C700" i="22"/>
  <c r="K700" i="22"/>
  <c r="C701" i="22"/>
  <c r="K701" i="22"/>
  <c r="C702" i="22"/>
  <c r="K702" i="22"/>
  <c r="C703" i="22"/>
  <c r="K703" i="22"/>
  <c r="C704" i="22"/>
  <c r="K704" i="22"/>
  <c r="C705" i="22"/>
  <c r="K705" i="22"/>
  <c r="C706" i="22"/>
  <c r="K706" i="22"/>
  <c r="C707" i="22"/>
  <c r="K707" i="22"/>
  <c r="C708" i="22"/>
  <c r="K708" i="22"/>
  <c r="C709" i="22"/>
  <c r="K709" i="22"/>
  <c r="C710" i="22"/>
  <c r="K710" i="22"/>
  <c r="C711" i="22"/>
  <c r="K711" i="22"/>
  <c r="C712" i="22"/>
  <c r="K712" i="22"/>
  <c r="C713" i="22"/>
  <c r="K713" i="22"/>
  <c r="C714" i="22"/>
  <c r="K714" i="22"/>
  <c r="C715" i="22"/>
  <c r="K715" i="22"/>
  <c r="C716" i="22"/>
  <c r="K716" i="22"/>
  <c r="C717" i="22"/>
  <c r="K717" i="22"/>
  <c r="C718" i="22"/>
  <c r="K718" i="22"/>
  <c r="C719" i="22"/>
  <c r="K719" i="22"/>
  <c r="C720" i="22"/>
  <c r="K720" i="22"/>
  <c r="C721" i="22"/>
  <c r="K721" i="22"/>
  <c r="C722" i="22"/>
  <c r="K722" i="22"/>
  <c r="C723" i="22"/>
  <c r="K723" i="22"/>
  <c r="C724" i="22"/>
  <c r="K724" i="22"/>
  <c r="C725" i="22"/>
  <c r="K725" i="22"/>
  <c r="C726" i="22"/>
  <c r="K726" i="22"/>
  <c r="C727" i="22"/>
  <c r="K727" i="22"/>
  <c r="C728" i="22"/>
  <c r="K728" i="22"/>
  <c r="C729" i="22"/>
  <c r="K729" i="22"/>
  <c r="C730" i="22"/>
  <c r="K730" i="22"/>
  <c r="C731" i="22"/>
  <c r="K731" i="22"/>
  <c r="C732" i="22"/>
  <c r="K732" i="22"/>
  <c r="C733" i="22"/>
  <c r="K733" i="22"/>
  <c r="C734" i="22"/>
  <c r="K734" i="22"/>
  <c r="C735" i="22"/>
  <c r="K735" i="22"/>
  <c r="C736" i="22"/>
  <c r="K736" i="22"/>
  <c r="C737" i="22"/>
  <c r="K737" i="22"/>
  <c r="C738" i="22"/>
  <c r="K738" i="22"/>
  <c r="C739" i="22"/>
  <c r="K739" i="22"/>
  <c r="C740" i="22"/>
  <c r="K740" i="22"/>
  <c r="C741" i="22"/>
  <c r="K741" i="22"/>
  <c r="C742" i="22"/>
  <c r="K742" i="22"/>
  <c r="C743" i="22"/>
  <c r="K743" i="22"/>
  <c r="C744" i="22"/>
  <c r="K744" i="22"/>
  <c r="C745" i="22"/>
  <c r="K745" i="22"/>
  <c r="C746" i="22"/>
  <c r="K746" i="22"/>
  <c r="C747" i="22"/>
  <c r="K747" i="22"/>
  <c r="C748" i="22"/>
  <c r="K748" i="22"/>
  <c r="C749" i="22"/>
  <c r="K749" i="22"/>
  <c r="C750" i="22"/>
  <c r="K750" i="22"/>
  <c r="C751" i="22"/>
  <c r="K751" i="22"/>
  <c r="C752" i="22"/>
  <c r="K752" i="22"/>
  <c r="C753" i="22"/>
  <c r="K753" i="22"/>
  <c r="C754" i="22"/>
  <c r="K754" i="22"/>
  <c r="C755" i="22"/>
  <c r="K755" i="22"/>
  <c r="C756" i="22"/>
  <c r="K756" i="22"/>
  <c r="C757" i="22"/>
  <c r="K757" i="22"/>
  <c r="C758" i="22"/>
  <c r="K758" i="22"/>
  <c r="C759" i="22"/>
  <c r="K759" i="22"/>
  <c r="C760" i="22"/>
  <c r="K760" i="22"/>
  <c r="C761" i="22"/>
  <c r="K761" i="22"/>
  <c r="C762" i="22"/>
  <c r="K762" i="22"/>
  <c r="C763" i="22"/>
  <c r="K763" i="22"/>
  <c r="C764" i="22"/>
  <c r="K764" i="22"/>
  <c r="C765" i="22"/>
  <c r="K765" i="22"/>
  <c r="C766" i="22"/>
  <c r="K766" i="22"/>
  <c r="C767" i="22"/>
  <c r="K767" i="22"/>
  <c r="C768" i="22"/>
  <c r="K768" i="22"/>
  <c r="C769" i="22"/>
  <c r="K769" i="22"/>
  <c r="C770" i="22"/>
  <c r="K770" i="22"/>
  <c r="C771" i="22"/>
  <c r="K771" i="22"/>
  <c r="C772" i="22"/>
  <c r="K772" i="22"/>
  <c r="C773" i="22"/>
  <c r="K773" i="22"/>
  <c r="C774" i="22"/>
  <c r="K774" i="22"/>
  <c r="C775" i="22"/>
  <c r="K775" i="22"/>
  <c r="C776" i="22"/>
  <c r="K776" i="22"/>
  <c r="C777" i="22"/>
  <c r="K777" i="22"/>
  <c r="C778" i="22"/>
  <c r="K778" i="22"/>
  <c r="C779" i="22"/>
  <c r="K779" i="22"/>
  <c r="C780" i="22"/>
  <c r="K780" i="22"/>
  <c r="C781" i="22"/>
  <c r="K781" i="22"/>
  <c r="C782" i="22"/>
  <c r="K782" i="22"/>
  <c r="C783" i="22"/>
  <c r="K783" i="22"/>
  <c r="C784" i="22"/>
  <c r="K784" i="22"/>
  <c r="C785" i="22"/>
  <c r="K785" i="22"/>
  <c r="C786" i="22"/>
  <c r="K786" i="22"/>
  <c r="C787" i="22"/>
  <c r="K787" i="22"/>
  <c r="C788" i="22"/>
  <c r="K788" i="22"/>
  <c r="C789" i="22"/>
  <c r="K789" i="22"/>
  <c r="C790" i="22"/>
  <c r="K790" i="22"/>
  <c r="C791" i="22"/>
  <c r="K791" i="22"/>
  <c r="C792" i="22"/>
  <c r="K792" i="22"/>
  <c r="C793" i="22"/>
  <c r="K793" i="22"/>
  <c r="C794" i="22"/>
  <c r="K794" i="22"/>
  <c r="C795" i="22"/>
  <c r="K795" i="22"/>
  <c r="C796" i="22"/>
  <c r="K796" i="22"/>
  <c r="C797" i="22"/>
  <c r="K797" i="22"/>
  <c r="C798" i="22"/>
  <c r="K798" i="22"/>
  <c r="C799" i="22"/>
  <c r="K799" i="22"/>
  <c r="C800" i="22"/>
  <c r="K800" i="22"/>
  <c r="C801" i="22"/>
  <c r="K801" i="22"/>
  <c r="C802" i="22"/>
  <c r="K802" i="22"/>
  <c r="C803" i="22"/>
  <c r="K803" i="22"/>
  <c r="C804" i="22"/>
  <c r="K804" i="22"/>
  <c r="C805" i="22"/>
  <c r="K805" i="22"/>
  <c r="C806" i="22"/>
  <c r="K806" i="22"/>
  <c r="C807" i="22"/>
  <c r="K807" i="22"/>
  <c r="C808" i="22"/>
  <c r="K808" i="22"/>
  <c r="C809" i="22"/>
  <c r="K809" i="22"/>
  <c r="C810" i="22"/>
  <c r="K810" i="22"/>
  <c r="C811" i="22"/>
  <c r="K811" i="22"/>
  <c r="C812" i="22"/>
  <c r="K812" i="22"/>
  <c r="C813" i="22"/>
  <c r="K813" i="22"/>
  <c r="C814" i="22"/>
  <c r="K814" i="22"/>
  <c r="C815" i="22"/>
  <c r="K815" i="22"/>
  <c r="C816" i="22"/>
  <c r="K816" i="22"/>
  <c r="C817" i="22"/>
  <c r="K817" i="22"/>
  <c r="C818" i="22"/>
  <c r="K818" i="22"/>
  <c r="C819" i="22"/>
  <c r="K819" i="22"/>
  <c r="C820" i="22"/>
  <c r="K820" i="22"/>
  <c r="C821" i="22"/>
  <c r="K821" i="22"/>
  <c r="C822" i="22"/>
  <c r="K822" i="22"/>
  <c r="C823" i="22"/>
  <c r="K823" i="22"/>
  <c r="C824" i="22"/>
  <c r="K824" i="22"/>
  <c r="C825" i="22"/>
  <c r="K825" i="22"/>
  <c r="C826" i="22"/>
  <c r="K826" i="22"/>
  <c r="C827" i="22"/>
  <c r="K827" i="22"/>
  <c r="C828" i="22"/>
  <c r="K828" i="22"/>
  <c r="C829" i="22"/>
  <c r="K829" i="22"/>
  <c r="C830" i="22"/>
  <c r="K830" i="22"/>
  <c r="C831" i="22"/>
  <c r="K831" i="22"/>
  <c r="C832" i="22"/>
  <c r="K832" i="22"/>
  <c r="C833" i="22"/>
  <c r="K833" i="22"/>
  <c r="C834" i="22"/>
  <c r="K834" i="22"/>
  <c r="C835" i="22"/>
  <c r="K835" i="22"/>
  <c r="C836" i="22"/>
  <c r="K836" i="22"/>
  <c r="C837" i="22"/>
  <c r="K837" i="22"/>
  <c r="C838" i="22"/>
  <c r="K838" i="22"/>
  <c r="C839" i="22"/>
  <c r="K839" i="22"/>
  <c r="C840" i="22"/>
  <c r="K840" i="22"/>
  <c r="C841" i="22"/>
  <c r="K841" i="22"/>
  <c r="C842" i="22"/>
  <c r="K842" i="22"/>
  <c r="C843" i="22"/>
  <c r="K843" i="22"/>
  <c r="C844" i="22"/>
  <c r="K844" i="22"/>
  <c r="C845" i="22"/>
  <c r="K845" i="22"/>
  <c r="C846" i="22"/>
  <c r="K846" i="22"/>
  <c r="C847" i="22"/>
  <c r="K847" i="22"/>
  <c r="C848" i="22"/>
  <c r="K848" i="22"/>
  <c r="C849" i="22"/>
  <c r="K849" i="22"/>
  <c r="C850" i="22"/>
  <c r="K850" i="22"/>
  <c r="C851" i="22"/>
  <c r="K851" i="22"/>
  <c r="C852" i="22"/>
  <c r="K852" i="22"/>
  <c r="C853" i="22"/>
  <c r="K853" i="22"/>
  <c r="C854" i="22"/>
  <c r="K854" i="22"/>
  <c r="C855" i="22"/>
  <c r="K855" i="22"/>
  <c r="C856" i="22"/>
  <c r="K856" i="22"/>
  <c r="C857" i="22"/>
  <c r="K857" i="22"/>
  <c r="C858" i="22"/>
  <c r="K858" i="22"/>
  <c r="C859" i="22"/>
  <c r="K859" i="22"/>
  <c r="C860" i="22"/>
  <c r="K860" i="22"/>
  <c r="C861" i="22"/>
  <c r="K861" i="22"/>
  <c r="C862" i="22"/>
  <c r="K862" i="22"/>
  <c r="C863" i="22"/>
  <c r="K863" i="22"/>
  <c r="C864" i="22"/>
  <c r="K864" i="22"/>
  <c r="C865" i="22"/>
  <c r="K865" i="22"/>
  <c r="C866" i="22"/>
  <c r="K866" i="22"/>
  <c r="C867" i="22"/>
  <c r="K867" i="22"/>
  <c r="C868" i="22"/>
  <c r="K868" i="22"/>
  <c r="C869" i="22"/>
  <c r="K869" i="22"/>
  <c r="C870" i="22"/>
  <c r="K870" i="22"/>
  <c r="C871" i="22"/>
  <c r="K871" i="22"/>
  <c r="C872" i="22"/>
  <c r="K872" i="22"/>
  <c r="C873" i="22"/>
  <c r="K873" i="22"/>
  <c r="C874" i="22"/>
  <c r="K874" i="22"/>
  <c r="C875" i="22"/>
  <c r="K875" i="22"/>
  <c r="C876" i="22"/>
  <c r="K876" i="22"/>
  <c r="C877" i="22"/>
  <c r="K877" i="22"/>
  <c r="C878" i="22"/>
  <c r="K878" i="22"/>
  <c r="C879" i="22"/>
  <c r="K879" i="22"/>
  <c r="C880" i="22"/>
  <c r="K880" i="22"/>
  <c r="C881" i="22"/>
  <c r="K881" i="22"/>
  <c r="C882" i="22"/>
  <c r="K882" i="22"/>
  <c r="C883" i="22"/>
  <c r="K883" i="22"/>
  <c r="C884" i="22"/>
  <c r="K884" i="22"/>
  <c r="C885" i="22"/>
  <c r="K885" i="22"/>
  <c r="C886" i="22"/>
  <c r="K886" i="22"/>
  <c r="C887" i="22"/>
  <c r="K887" i="22"/>
  <c r="C888" i="22"/>
  <c r="K888" i="22"/>
  <c r="C889" i="22"/>
  <c r="K889" i="22"/>
  <c r="C890" i="22"/>
  <c r="K890" i="22"/>
  <c r="C891" i="22"/>
  <c r="K891" i="22"/>
  <c r="C892" i="22"/>
  <c r="K892" i="22"/>
  <c r="C893" i="22"/>
  <c r="K893" i="22"/>
  <c r="C894" i="22"/>
  <c r="K894" i="22"/>
  <c r="C895" i="22"/>
  <c r="K895" i="22"/>
  <c r="C896" i="22"/>
  <c r="K896" i="22"/>
  <c r="C897" i="22"/>
  <c r="K897" i="22"/>
  <c r="C898" i="22"/>
  <c r="K898" i="22"/>
  <c r="C899" i="22"/>
  <c r="K899" i="22"/>
  <c r="C900" i="22"/>
  <c r="K900" i="22"/>
  <c r="C901" i="22"/>
  <c r="K901" i="22"/>
  <c r="C902" i="22"/>
  <c r="K902" i="22"/>
  <c r="C903" i="22"/>
  <c r="K903" i="22"/>
  <c r="C904" i="22"/>
  <c r="K904" i="22"/>
  <c r="C905" i="22"/>
  <c r="K905" i="22"/>
  <c r="C906" i="22"/>
  <c r="K906" i="22"/>
  <c r="C907" i="22"/>
  <c r="K907" i="22"/>
  <c r="C908" i="22"/>
  <c r="K908" i="22"/>
  <c r="C909" i="22"/>
  <c r="K909" i="22"/>
  <c r="C910" i="22"/>
  <c r="K910" i="22"/>
  <c r="C911" i="22"/>
  <c r="K911" i="22"/>
  <c r="C912" i="22"/>
  <c r="K912" i="22"/>
  <c r="C913" i="22"/>
  <c r="K913" i="22"/>
  <c r="C914" i="22"/>
  <c r="K914" i="22"/>
  <c r="C915" i="22"/>
  <c r="K915" i="22"/>
  <c r="C916" i="22"/>
  <c r="K916" i="22"/>
  <c r="C917" i="22"/>
  <c r="K917" i="22"/>
  <c r="C918" i="22"/>
  <c r="K918" i="22"/>
  <c r="C919" i="22"/>
  <c r="K919" i="22"/>
  <c r="C920" i="22"/>
  <c r="K920" i="22"/>
  <c r="C921" i="22"/>
  <c r="K921" i="22"/>
  <c r="C922" i="22"/>
  <c r="K922" i="22"/>
  <c r="C923" i="22"/>
  <c r="K923" i="22"/>
  <c r="C924" i="22"/>
  <c r="K924" i="22"/>
  <c r="C925" i="22"/>
  <c r="K925" i="22"/>
  <c r="C926" i="22"/>
  <c r="K926" i="22"/>
  <c r="C927" i="22"/>
  <c r="K927" i="22"/>
  <c r="C928" i="22"/>
  <c r="K928" i="22"/>
  <c r="C929" i="22"/>
  <c r="K929" i="22"/>
  <c r="C930" i="22"/>
  <c r="K930" i="22"/>
  <c r="C931" i="22"/>
  <c r="K931" i="22"/>
  <c r="C932" i="22"/>
  <c r="K932" i="22"/>
  <c r="C933" i="22"/>
  <c r="K933" i="22"/>
  <c r="C934" i="22"/>
  <c r="K934" i="22"/>
  <c r="C935" i="22"/>
  <c r="K935" i="22"/>
  <c r="C936" i="22"/>
  <c r="K936" i="22"/>
  <c r="C937" i="22"/>
  <c r="K937" i="22"/>
  <c r="C938" i="22"/>
  <c r="K938" i="22"/>
  <c r="C939" i="22"/>
  <c r="K939" i="22"/>
  <c r="C940" i="22"/>
  <c r="K940" i="22"/>
  <c r="C941" i="22"/>
  <c r="K941" i="22"/>
  <c r="C942" i="22"/>
  <c r="K942" i="22"/>
  <c r="C943" i="22"/>
  <c r="K943" i="22"/>
  <c r="C944" i="22"/>
  <c r="K944" i="22"/>
  <c r="C945" i="22"/>
  <c r="K945" i="22"/>
  <c r="C946" i="22"/>
  <c r="K946" i="22"/>
  <c r="C947" i="22"/>
  <c r="K947" i="22"/>
  <c r="C948" i="22"/>
  <c r="K948" i="22"/>
  <c r="C949" i="22"/>
  <c r="K949" i="22"/>
  <c r="C950" i="22"/>
  <c r="K950" i="22"/>
  <c r="C951" i="22"/>
  <c r="K951" i="22"/>
  <c r="C952" i="22"/>
  <c r="K952" i="22"/>
  <c r="C953" i="22"/>
  <c r="K953" i="22"/>
  <c r="C954" i="22"/>
  <c r="K954" i="22"/>
  <c r="C955" i="22"/>
  <c r="K955" i="22"/>
  <c r="C956" i="22"/>
  <c r="K956" i="22"/>
  <c r="C957" i="22"/>
  <c r="K957" i="22"/>
  <c r="C958" i="22"/>
  <c r="K958" i="22"/>
  <c r="C959" i="22"/>
  <c r="K959" i="22"/>
  <c r="C960" i="22"/>
  <c r="K960" i="22"/>
  <c r="C961" i="22"/>
  <c r="K961" i="22"/>
  <c r="C962" i="22"/>
  <c r="K962" i="22"/>
  <c r="C963" i="22"/>
  <c r="K963" i="22"/>
  <c r="C964" i="22"/>
  <c r="K964" i="22"/>
  <c r="C965" i="22"/>
  <c r="K965" i="22"/>
  <c r="C966" i="22"/>
  <c r="K966" i="22"/>
  <c r="C967" i="22"/>
  <c r="K967" i="22"/>
  <c r="C968" i="22"/>
  <c r="K968" i="22"/>
  <c r="C969" i="22"/>
  <c r="K969" i="22"/>
  <c r="C970" i="22"/>
  <c r="K970" i="22"/>
  <c r="C971" i="22"/>
  <c r="K971" i="22"/>
  <c r="C972" i="22"/>
  <c r="K972" i="22"/>
  <c r="C973" i="22"/>
  <c r="K973" i="22"/>
  <c r="C974" i="22"/>
  <c r="K974" i="22"/>
  <c r="C975" i="22"/>
  <c r="K975" i="22"/>
  <c r="C976" i="22"/>
  <c r="K976" i="22"/>
  <c r="C977" i="22"/>
  <c r="K977" i="22"/>
  <c r="C978" i="22"/>
  <c r="K978" i="22"/>
  <c r="C979" i="22"/>
  <c r="K979" i="22"/>
  <c r="C980" i="22"/>
  <c r="K980" i="22"/>
  <c r="C981" i="22"/>
  <c r="K981" i="22"/>
  <c r="C982" i="22"/>
  <c r="K982" i="22"/>
  <c r="C983" i="22"/>
  <c r="K983" i="22"/>
  <c r="C984" i="22"/>
  <c r="K984" i="22"/>
  <c r="C985" i="22"/>
  <c r="K985" i="22"/>
  <c r="C986" i="22"/>
  <c r="K986" i="22"/>
  <c r="C987" i="22"/>
  <c r="K987" i="22"/>
  <c r="C988" i="22"/>
  <c r="K988" i="22"/>
  <c r="C989" i="22"/>
  <c r="K989" i="22"/>
  <c r="C990" i="22"/>
  <c r="K990" i="22"/>
  <c r="C991" i="22"/>
  <c r="C127" i="28" l="1"/>
  <c r="B261" i="26"/>
  <c r="B261" i="28"/>
  <c r="B229" i="26"/>
  <c r="B229" i="28"/>
  <c r="B197" i="26"/>
  <c r="B197" i="28"/>
  <c r="B165" i="26"/>
  <c r="B165" i="28"/>
  <c r="B133" i="26"/>
  <c r="B133" i="28"/>
  <c r="B101" i="26"/>
  <c r="B101" i="28"/>
  <c r="B61" i="26"/>
  <c r="B61" i="28"/>
  <c r="B37" i="26"/>
  <c r="B37" i="28"/>
  <c r="C76" i="28"/>
  <c r="B268" i="26"/>
  <c r="B268" i="28"/>
  <c r="B260" i="26"/>
  <c r="B260" i="28"/>
  <c r="B252" i="26"/>
  <c r="B252" i="28"/>
  <c r="B244" i="26"/>
  <c r="B244" i="28"/>
  <c r="B236" i="26"/>
  <c r="B236" i="28"/>
  <c r="B228" i="26"/>
  <c r="B228" i="28"/>
  <c r="B220" i="26"/>
  <c r="B220" i="28"/>
  <c r="B212" i="26"/>
  <c r="B212" i="28"/>
  <c r="B204" i="26"/>
  <c r="B204" i="28"/>
  <c r="B196" i="26"/>
  <c r="B196" i="28"/>
  <c r="B188" i="26"/>
  <c r="B188" i="28"/>
  <c r="B180" i="26"/>
  <c r="B180" i="28"/>
  <c r="B172" i="26"/>
  <c r="B172" i="28"/>
  <c r="B164" i="26"/>
  <c r="B164" i="28"/>
  <c r="B156" i="26"/>
  <c r="B156" i="28"/>
  <c r="B148" i="26"/>
  <c r="B148" i="28"/>
  <c r="B140" i="26"/>
  <c r="B140" i="28"/>
  <c r="B132" i="26"/>
  <c r="B132" i="28"/>
  <c r="B124" i="26"/>
  <c r="B124" i="28"/>
  <c r="B116" i="26"/>
  <c r="B116" i="28"/>
  <c r="B108" i="26"/>
  <c r="B108" i="28"/>
  <c r="B100" i="26"/>
  <c r="B100" i="28"/>
  <c r="B92" i="26"/>
  <c r="B92" i="28"/>
  <c r="B84" i="26"/>
  <c r="B84" i="28"/>
  <c r="B76" i="26"/>
  <c r="B76" i="28"/>
  <c r="B68" i="26"/>
  <c r="B68" i="28"/>
  <c r="B60" i="26"/>
  <c r="B60" i="28"/>
  <c r="B52" i="26"/>
  <c r="B52" i="28"/>
  <c r="B44" i="26"/>
  <c r="B44" i="28"/>
  <c r="B36" i="26"/>
  <c r="B36" i="28"/>
  <c r="B28" i="26"/>
  <c r="B28" i="28"/>
  <c r="B20" i="26"/>
  <c r="B20" i="28"/>
  <c r="B12" i="26"/>
  <c r="B12" i="28"/>
  <c r="B297" i="28"/>
  <c r="B289" i="28"/>
  <c r="B273" i="28"/>
  <c r="B263" i="28"/>
  <c r="B251" i="28"/>
  <c r="B238" i="28"/>
  <c r="B222" i="28"/>
  <c r="B206" i="28"/>
  <c r="B190" i="28"/>
  <c r="B174" i="28"/>
  <c r="B158" i="28"/>
  <c r="B142" i="28"/>
  <c r="B126" i="28"/>
  <c r="B110" i="28"/>
  <c r="B94" i="28"/>
  <c r="B78" i="28"/>
  <c r="B62" i="28"/>
  <c r="B46" i="28"/>
  <c r="B30" i="28"/>
  <c r="B14" i="28"/>
  <c r="C287" i="28"/>
  <c r="C269" i="28"/>
  <c r="C253" i="28"/>
  <c r="C237" i="28"/>
  <c r="C221" i="28"/>
  <c r="C205" i="28"/>
  <c r="C189" i="28"/>
  <c r="C173" i="28"/>
  <c r="C157" i="28"/>
  <c r="C141" i="28"/>
  <c r="C125" i="28"/>
  <c r="C109" i="28"/>
  <c r="C70" i="28"/>
  <c r="C29" i="28"/>
  <c r="B193" i="26"/>
  <c r="B152" i="26"/>
  <c r="B65" i="26"/>
  <c r="B24" i="26"/>
  <c r="B253" i="26"/>
  <c r="B253" i="28"/>
  <c r="B221" i="26"/>
  <c r="B221" i="28"/>
  <c r="B173" i="26"/>
  <c r="B173" i="28"/>
  <c r="B141" i="26"/>
  <c r="B141" i="28"/>
  <c r="B109" i="26"/>
  <c r="B109" i="28"/>
  <c r="B77" i="26"/>
  <c r="B77" i="28"/>
  <c r="B29" i="26"/>
  <c r="B29" i="28"/>
  <c r="B219" i="28"/>
  <c r="B155" i="28"/>
  <c r="B107" i="28"/>
  <c r="B43" i="28"/>
  <c r="B250" i="26"/>
  <c r="B250" i="28"/>
  <c r="B242" i="26"/>
  <c r="B242" i="28"/>
  <c r="B234" i="26"/>
  <c r="B234" i="28"/>
  <c r="B226" i="26"/>
  <c r="B226" i="28"/>
  <c r="B218" i="26"/>
  <c r="B218" i="28"/>
  <c r="B210" i="26"/>
  <c r="B210" i="28"/>
  <c r="B202" i="26"/>
  <c r="B202" i="28"/>
  <c r="B194" i="26"/>
  <c r="B194" i="28"/>
  <c r="B186" i="26"/>
  <c r="B186" i="28"/>
  <c r="B178" i="26"/>
  <c r="B178" i="28"/>
  <c r="B170" i="26"/>
  <c r="B170" i="28"/>
  <c r="B162" i="26"/>
  <c r="B162" i="28"/>
  <c r="B154" i="26"/>
  <c r="B154" i="28"/>
  <c r="B146" i="26"/>
  <c r="B146" i="28"/>
  <c r="B138" i="26"/>
  <c r="B138" i="28"/>
  <c r="B130" i="26"/>
  <c r="B130" i="28"/>
  <c r="B122" i="26"/>
  <c r="B122" i="28"/>
  <c r="B114" i="26"/>
  <c r="B114" i="28"/>
  <c r="B106" i="26"/>
  <c r="B106" i="28"/>
  <c r="B98" i="26"/>
  <c r="B98" i="28"/>
  <c r="B90" i="26"/>
  <c r="B90" i="28"/>
  <c r="B82" i="26"/>
  <c r="B82" i="28"/>
  <c r="B74" i="26"/>
  <c r="B74" i="28"/>
  <c r="B66" i="26"/>
  <c r="B66" i="28"/>
  <c r="B58" i="26"/>
  <c r="B58" i="28"/>
  <c r="B50" i="26"/>
  <c r="B50" i="28"/>
  <c r="B42" i="26"/>
  <c r="B42" i="28"/>
  <c r="B34" i="26"/>
  <c r="B34" i="28"/>
  <c r="B26" i="26"/>
  <c r="B26" i="28"/>
  <c r="B18" i="26"/>
  <c r="B18" i="28"/>
  <c r="B295" i="28"/>
  <c r="B279" i="28"/>
  <c r="B271" i="28"/>
  <c r="B259" i="28"/>
  <c r="B248" i="28"/>
  <c r="B232" i="28"/>
  <c r="B216" i="28"/>
  <c r="B184" i="28"/>
  <c r="B168" i="28"/>
  <c r="B136" i="28"/>
  <c r="B120" i="28"/>
  <c r="B104" i="28"/>
  <c r="B88" i="28"/>
  <c r="B56" i="28"/>
  <c r="B40" i="28"/>
  <c r="C100" i="28"/>
  <c r="B177" i="26"/>
  <c r="B49" i="26"/>
  <c r="B187" i="28"/>
  <c r="B139" i="28"/>
  <c r="B91" i="28"/>
  <c r="B59" i="28"/>
  <c r="C284" i="28"/>
  <c r="C62" i="28"/>
  <c r="B233" i="28"/>
  <c r="B233" i="26"/>
  <c r="B225" i="28"/>
  <c r="B225" i="26"/>
  <c r="B209" i="28"/>
  <c r="B209" i="26"/>
  <c r="B201" i="26"/>
  <c r="B201" i="28"/>
  <c r="B169" i="28"/>
  <c r="B169" i="26"/>
  <c r="B161" i="28"/>
  <c r="B161" i="26"/>
  <c r="B145" i="28"/>
  <c r="B145" i="26"/>
  <c r="B137" i="26"/>
  <c r="B137" i="28"/>
  <c r="B105" i="28"/>
  <c r="B105" i="26"/>
  <c r="B97" i="28"/>
  <c r="B97" i="26"/>
  <c r="B81" i="28"/>
  <c r="B81" i="26"/>
  <c r="B73" i="26"/>
  <c r="B73" i="28"/>
  <c r="B41" i="28"/>
  <c r="B41" i="26"/>
  <c r="B33" i="28"/>
  <c r="B33" i="26"/>
  <c r="B17" i="28"/>
  <c r="B17" i="26"/>
  <c r="B294" i="28"/>
  <c r="B286" i="28"/>
  <c r="B278" i="28"/>
  <c r="B270" i="28"/>
  <c r="B258" i="28"/>
  <c r="B247" i="28"/>
  <c r="B215" i="28"/>
  <c r="B183" i="28"/>
  <c r="B167" i="28"/>
  <c r="B151" i="28"/>
  <c r="B135" i="28"/>
  <c r="B119" i="28"/>
  <c r="B87" i="28"/>
  <c r="B55" i="28"/>
  <c r="B39" i="28"/>
  <c r="B23" i="28"/>
  <c r="C182" i="28"/>
  <c r="C150" i="28"/>
  <c r="C134" i="28"/>
  <c r="C118" i="28"/>
  <c r="B217" i="26"/>
  <c r="B89" i="26"/>
  <c r="B245" i="26"/>
  <c r="B245" i="28"/>
  <c r="B213" i="26"/>
  <c r="B213" i="28"/>
  <c r="B181" i="26"/>
  <c r="B181" i="28"/>
  <c r="B149" i="26"/>
  <c r="B149" i="28"/>
  <c r="B117" i="26"/>
  <c r="B117" i="28"/>
  <c r="B85" i="26"/>
  <c r="B85" i="28"/>
  <c r="B53" i="26"/>
  <c r="B53" i="28"/>
  <c r="B21" i="26"/>
  <c r="B21" i="28"/>
  <c r="B235" i="28"/>
  <c r="B171" i="28"/>
  <c r="B75" i="28"/>
  <c r="B293" i="28"/>
  <c r="B285" i="28"/>
  <c r="B277" i="28"/>
  <c r="B267" i="28"/>
  <c r="B257" i="28"/>
  <c r="B246" i="28"/>
  <c r="B230" i="28"/>
  <c r="B214" i="28"/>
  <c r="B198" i="28"/>
  <c r="B182" i="28"/>
  <c r="B166" i="28"/>
  <c r="B150" i="28"/>
  <c r="B134" i="28"/>
  <c r="B118" i="28"/>
  <c r="B102" i="28"/>
  <c r="B86" i="28"/>
  <c r="B70" i="28"/>
  <c r="B54" i="28"/>
  <c r="B38" i="28"/>
  <c r="B22" i="28"/>
  <c r="B129" i="26"/>
  <c r="B269" i="26"/>
  <c r="B269" i="28"/>
  <c r="B237" i="26"/>
  <c r="B237" i="28"/>
  <c r="B205" i="26"/>
  <c r="B205" i="28"/>
  <c r="B189" i="26"/>
  <c r="B189" i="28"/>
  <c r="B157" i="26"/>
  <c r="B157" i="28"/>
  <c r="B125" i="26"/>
  <c r="B125" i="28"/>
  <c r="B93" i="26"/>
  <c r="B93" i="28"/>
  <c r="B69" i="26"/>
  <c r="B69" i="28"/>
  <c r="B45" i="26"/>
  <c r="B45" i="28"/>
  <c r="B13" i="26"/>
  <c r="B2" i="26" s="1"/>
  <c r="B13" i="28"/>
  <c r="B254" i="28"/>
  <c r="B262" i="28"/>
  <c r="B203" i="28"/>
  <c r="B123" i="28"/>
  <c r="B27" i="28"/>
  <c r="B11" i="28"/>
  <c r="B2" i="28" s="1"/>
  <c r="B292" i="28"/>
  <c r="B284" i="28"/>
  <c r="B276" i="28"/>
  <c r="B266" i="28"/>
  <c r="B256" i="28"/>
  <c r="B243" i="28"/>
  <c r="B227" i="28"/>
  <c r="B211" i="28"/>
  <c r="B195" i="28"/>
  <c r="B179" i="28"/>
  <c r="B163" i="28"/>
  <c r="B147" i="28"/>
  <c r="B131" i="28"/>
  <c r="B115" i="28"/>
  <c r="B99" i="28"/>
  <c r="B83" i="28"/>
  <c r="B67" i="28"/>
  <c r="B51" i="28"/>
  <c r="B35" i="28"/>
  <c r="B19" i="28"/>
  <c r="B121" i="26"/>
  <c r="C279" i="28"/>
  <c r="C278" i="28"/>
  <c r="B4" i="26"/>
  <c r="B3" i="28"/>
  <c r="B4" i="28"/>
  <c r="B5" i="28" l="1"/>
  <c r="B5" i="26"/>
  <c r="B3" i="26"/>
  <c r="D279" i="26" s="1"/>
  <c r="E279" i="26" s="1"/>
  <c r="F279" i="26" s="1"/>
  <c r="D282" i="28"/>
  <c r="D276" i="28"/>
  <c r="D278" i="28"/>
  <c r="D277" i="28"/>
  <c r="D279" i="28"/>
  <c r="D280" i="28"/>
  <c r="D281" i="28"/>
  <c r="D277" i="26" l="1"/>
  <c r="C13" i="30" s="1"/>
  <c r="D282" i="26"/>
  <c r="D280" i="26"/>
  <c r="D278" i="26"/>
  <c r="D281" i="26"/>
  <c r="D276" i="26"/>
  <c r="C12" i="30" s="1"/>
  <c r="C15" i="30"/>
  <c r="B17" i="30"/>
  <c r="E281" i="28"/>
  <c r="F281" i="28" s="1"/>
  <c r="B14" i="30"/>
  <c r="E278" i="28"/>
  <c r="F278" i="28" s="1"/>
  <c r="E278" i="26"/>
  <c r="F278" i="26" s="1"/>
  <c r="C14" i="30"/>
  <c r="B12" i="30"/>
  <c r="F276" i="28"/>
  <c r="B16" i="30"/>
  <c r="E280" i="28"/>
  <c r="F280" i="28" s="1"/>
  <c r="B15" i="30"/>
  <c r="E279" i="28"/>
  <c r="F279" i="28" s="1"/>
  <c r="C18" i="30"/>
  <c r="E282" i="26"/>
  <c r="F282" i="26" s="1"/>
  <c r="C16" i="30"/>
  <c r="E280" i="26"/>
  <c r="F280" i="26" s="1"/>
  <c r="E282" i="28"/>
  <c r="F282" i="28" s="1"/>
  <c r="B18" i="30"/>
  <c r="E277" i="26"/>
  <c r="F277" i="26" s="1"/>
  <c r="B13" i="30"/>
  <c r="D13" i="30" s="1"/>
  <c r="E277" i="28"/>
  <c r="F277" i="28" s="1"/>
  <c r="E281" i="26"/>
  <c r="F281" i="26" s="1"/>
  <c r="C17" i="30"/>
  <c r="G276" i="26"/>
  <c r="G277" i="26" s="1"/>
  <c r="G278" i="26" s="1"/>
  <c r="G279" i="26" s="1"/>
  <c r="G280" i="26" s="1"/>
  <c r="G281" i="26" s="1"/>
  <c r="G282" i="26" s="1"/>
  <c r="D15" i="30" l="1"/>
  <c r="E276" i="26"/>
  <c r="F276" i="26" s="1"/>
  <c r="D12" i="30"/>
  <c r="F16" i="30"/>
  <c r="F12" i="30"/>
  <c r="F17" i="30"/>
  <c r="F14" i="30"/>
  <c r="F13" i="30"/>
  <c r="H13" i="30" s="1"/>
  <c r="F15" i="30"/>
  <c r="F18" i="30"/>
  <c r="H18" i="30" s="1"/>
  <c r="D14" i="30"/>
  <c r="D18" i="30"/>
  <c r="G15" i="30"/>
  <c r="G18" i="30"/>
  <c r="G12" i="30"/>
  <c r="G16" i="30"/>
  <c r="G14" i="30"/>
  <c r="G17" i="30"/>
  <c r="G13" i="30"/>
  <c r="D16" i="30"/>
  <c r="D17" i="30"/>
  <c r="H15" i="30" l="1"/>
  <c r="H14" i="30"/>
  <c r="H17" i="30"/>
  <c r="H12" i="30"/>
  <c r="H16" i="30"/>
</calcChain>
</file>

<file path=xl/sharedStrings.xml><?xml version="1.0" encoding="utf-8"?>
<sst xmlns="http://schemas.openxmlformats.org/spreadsheetml/2006/main" count="1217" uniqueCount="1117">
  <si>
    <t>Date</t>
  </si>
  <si>
    <t>End date for estimation window</t>
  </si>
  <si>
    <t>Start date for estimation window</t>
  </si>
  <si>
    <t>Start date for event window</t>
  </si>
  <si>
    <t>End date for event window</t>
  </si>
  <si>
    <t>Start date for post-event window</t>
  </si>
  <si>
    <t>End date for post-event window</t>
  </si>
  <si>
    <r>
      <t>T</t>
    </r>
    <r>
      <rPr>
        <vertAlign val="subscript"/>
        <sz val="10"/>
        <rFont val="Arial"/>
        <family val="2"/>
      </rPr>
      <t>0</t>
    </r>
  </si>
  <si>
    <r>
      <t>T</t>
    </r>
    <r>
      <rPr>
        <vertAlign val="subscript"/>
        <sz val="10"/>
        <rFont val="Arial"/>
        <family val="2"/>
      </rPr>
      <t>1</t>
    </r>
  </si>
  <si>
    <r>
      <t>T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+ 1</t>
    </r>
  </si>
  <si>
    <r>
      <t>T</t>
    </r>
    <r>
      <rPr>
        <vertAlign val="subscript"/>
        <sz val="10"/>
        <rFont val="Arial"/>
        <family val="2"/>
      </rPr>
      <t>2</t>
    </r>
  </si>
  <si>
    <r>
      <t>T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+ 1</t>
    </r>
  </si>
  <si>
    <r>
      <t>T</t>
    </r>
    <r>
      <rPr>
        <vertAlign val="subscript"/>
        <sz val="10"/>
        <rFont val="Arial"/>
        <family val="2"/>
      </rPr>
      <t>3</t>
    </r>
  </si>
  <si>
    <t>Event
date</t>
  </si>
  <si>
    <t>THE EVENT STUDY TIME LINE</t>
  </si>
  <si>
    <t>R-squared</t>
  </si>
  <si>
    <t>NYSE</t>
  </si>
  <si>
    <t>Px Last</t>
  </si>
  <si>
    <t>Return</t>
  </si>
  <si>
    <t>Px Volume</t>
  </si>
  <si>
    <t>First Day</t>
  </si>
  <si>
    <t>Last Day</t>
  </si>
  <si>
    <t>Drop Down</t>
  </si>
  <si>
    <t>Intercept</t>
  </si>
  <si>
    <t>Slope</t>
  </si>
  <si>
    <t>Steyx</t>
  </si>
  <si>
    <t>Days in estimation
window</t>
  </si>
  <si>
    <t>EVENT WINDOW</t>
  </si>
  <si>
    <t>Cumulative abnormal return</t>
  </si>
  <si>
    <t>x-axis for chart</t>
  </si>
  <si>
    <t>26jan05</t>
  </si>
  <si>
    <t>27jan05</t>
  </si>
  <si>
    <t>28jan05</t>
  </si>
  <si>
    <t>31jan05</t>
  </si>
  <si>
    <t>1feb05</t>
  </si>
  <si>
    <t>2feb05</t>
  </si>
  <si>
    <t>Abnormal return (AR)</t>
  </si>
  <si>
    <t>AR
t-test</t>
  </si>
  <si>
    <t>AR
signicant?</t>
  </si>
  <si>
    <t>Column for x-axis on graph</t>
  </si>
  <si>
    <t>Sum</t>
  </si>
  <si>
    <t>Shares outstanding (thousands)</t>
  </si>
  <si>
    <t>Abnormal returns (AR)</t>
  </si>
  <si>
    <t>650.30</t>
  </si>
  <si>
    <t>630.85</t>
  </si>
  <si>
    <t>640.25</t>
  </si>
  <si>
    <t>647.85</t>
  </si>
  <si>
    <t>654.00</t>
  </si>
  <si>
    <t>641.90</t>
  </si>
  <si>
    <t>638.55</t>
  </si>
  <si>
    <t>646.25</t>
  </si>
  <si>
    <t>664.95</t>
  </si>
  <si>
    <t>664.35</t>
  </si>
  <si>
    <t>667.45</t>
  </si>
  <si>
    <t>660.30</t>
  </si>
  <si>
    <t>655.90</t>
  </si>
  <si>
    <t>655.95</t>
  </si>
  <si>
    <t>676.65</t>
  </si>
  <si>
    <t>676.75</t>
  </si>
  <si>
    <t>677.45</t>
  </si>
  <si>
    <t>685.05</t>
  </si>
  <si>
    <t>687.50</t>
  </si>
  <si>
    <t>682.50</t>
  </si>
  <si>
    <t>681.40</t>
  </si>
  <si>
    <t>690.40</t>
  </si>
  <si>
    <t>714.65</t>
  </si>
  <si>
    <t>702.45</t>
  </si>
  <si>
    <t>697.65</t>
  </si>
  <si>
    <t>702.85</t>
  </si>
  <si>
    <t>700.90</t>
  </si>
  <si>
    <t>693.55</t>
  </si>
  <si>
    <t>701.35</t>
  </si>
  <si>
    <t>704.80</t>
  </si>
  <si>
    <t>702.65</t>
  </si>
  <si>
    <t>701.20</t>
  </si>
  <si>
    <t>688.30</t>
  </si>
  <si>
    <t>680.70</t>
  </si>
  <si>
    <t>682.70</t>
  </si>
  <si>
    <t>694.45</t>
  </si>
  <si>
    <t>691.05</t>
  </si>
  <si>
    <t>698.80</t>
  </si>
  <si>
    <t>699.75</t>
  </si>
  <si>
    <t>713.65</t>
  </si>
  <si>
    <t>719.05</t>
  </si>
  <si>
    <t>719.90</t>
  </si>
  <si>
    <t>725.15</t>
  </si>
  <si>
    <t>724.30</t>
  </si>
  <si>
    <t>721.15</t>
  </si>
  <si>
    <t>716.90</t>
  </si>
  <si>
    <t>720.95</t>
  </si>
  <si>
    <t>720.25</t>
  </si>
  <si>
    <t>707.40</t>
  </si>
  <si>
    <t>707.45</t>
  </si>
  <si>
    <t>714.35</t>
  </si>
  <si>
    <t>727.20</t>
  </si>
  <si>
    <t>720.15</t>
  </si>
  <si>
    <t>710.00</t>
  </si>
  <si>
    <t>711.85</t>
  </si>
  <si>
    <t>703.35</t>
  </si>
  <si>
    <t>717.00</t>
  </si>
  <si>
    <t>722.95</t>
  </si>
  <si>
    <t>730.00</t>
  </si>
  <si>
    <t>717.15</t>
  </si>
  <si>
    <t>709.50</t>
  </si>
  <si>
    <t>700.85</t>
  </si>
  <si>
    <t>692.35</t>
  </si>
  <si>
    <t>700.20</t>
  </si>
  <si>
    <t>697.10</t>
  </si>
  <si>
    <t>689.50</t>
  </si>
  <si>
    <t>702.20</t>
  </si>
  <si>
    <t>703.40</t>
  </si>
  <si>
    <t>713.30</t>
  </si>
  <si>
    <t>708.60</t>
  </si>
  <si>
    <t>709.95</t>
  </si>
  <si>
    <t>727.30</t>
  </si>
  <si>
    <t>745.45</t>
  </si>
  <si>
    <t>747.45</t>
  </si>
  <si>
    <t>745.85</t>
  </si>
  <si>
    <t>755.50</t>
  </si>
  <si>
    <t>759.30</t>
  </si>
  <si>
    <t>841.70</t>
  </si>
  <si>
    <t>829.40</t>
  </si>
  <si>
    <t>835.00</t>
  </si>
  <si>
    <t>798.70</t>
  </si>
  <si>
    <t>802.05</t>
  </si>
  <si>
    <t>803.90</t>
  </si>
  <si>
    <t>800.95</t>
  </si>
  <si>
    <t>785.95</t>
  </si>
  <si>
    <t>782.10</t>
  </si>
  <si>
    <t>780.15</t>
  </si>
  <si>
    <t>786.55</t>
  </si>
  <si>
    <t>780.90</t>
  </si>
  <si>
    <t>771.45</t>
  </si>
  <si>
    <t>776.60</t>
  </si>
  <si>
    <t>773.30</t>
  </si>
  <si>
    <t>764.05</t>
  </si>
  <si>
    <t>761.30</t>
  </si>
  <si>
    <t>762.90</t>
  </si>
  <si>
    <t>752.00</t>
  </si>
  <si>
    <t>751.85</t>
  </si>
  <si>
    <t>760.20</t>
  </si>
  <si>
    <t>751.05</t>
  </si>
  <si>
    <t>722.20</t>
  </si>
  <si>
    <t>718.40</t>
  </si>
  <si>
    <t>727.70</t>
  </si>
  <si>
    <t>722.40</t>
  </si>
  <si>
    <t>716.30</t>
  </si>
  <si>
    <t>709.55</t>
  </si>
  <si>
    <t>734.65</t>
  </si>
  <si>
    <t>753.40</t>
  </si>
  <si>
    <t>755.00</t>
  </si>
  <si>
    <t>758.00</t>
  </si>
  <si>
    <t>754.00</t>
  </si>
  <si>
    <t>758.65</t>
  </si>
  <si>
    <t>752.25</t>
  </si>
  <si>
    <t>741.15</t>
  </si>
  <si>
    <t>728.30</t>
  </si>
  <si>
    <t>720.35</t>
  </si>
  <si>
    <t>732.80</t>
  </si>
  <si>
    <t>731.30</t>
  </si>
  <si>
    <t>727.10</t>
  </si>
  <si>
    <t>736.00</t>
  </si>
  <si>
    <t>735.80</t>
  </si>
  <si>
    <t>735.70</t>
  </si>
  <si>
    <t>740.15</t>
  </si>
  <si>
    <t>764.70</t>
  </si>
  <si>
    <t>772.85</t>
  </si>
  <si>
    <t>788.05</t>
  </si>
  <si>
    <t>785.05</t>
  </si>
  <si>
    <t>793.25</t>
  </si>
  <si>
    <t>810.75</t>
  </si>
  <si>
    <t>810.65</t>
  </si>
  <si>
    <t>823.75</t>
  </si>
  <si>
    <t>824.70</t>
  </si>
  <si>
    <t>820.00</t>
  </si>
  <si>
    <t>819.30</t>
  </si>
  <si>
    <t>823.10</t>
  </si>
  <si>
    <t>808.60</t>
  </si>
  <si>
    <t>810.25</t>
  </si>
  <si>
    <t>804.50</t>
  </si>
  <si>
    <t>798.45</t>
  </si>
  <si>
    <t>801.65</t>
  </si>
  <si>
    <t>794.65</t>
  </si>
  <si>
    <t>781.15</t>
  </si>
  <si>
    <t>788.80</t>
  </si>
  <si>
    <t>810.30</t>
  </si>
  <si>
    <t>813.75</t>
  </si>
  <si>
    <t>808.95</t>
  </si>
  <si>
    <t>805.05</t>
  </si>
  <si>
    <t>786.40</t>
  </si>
  <si>
    <t>792.50</t>
  </si>
  <si>
    <t>802.80</t>
  </si>
  <si>
    <t>805.50</t>
  </si>
  <si>
    <t>790.80</t>
  </si>
  <si>
    <t>753.70</t>
  </si>
  <si>
    <t>776.05</t>
  </si>
  <si>
    <t>750.35</t>
  </si>
  <si>
    <t>748.90</t>
  </si>
  <si>
    <t>754.45</t>
  </si>
  <si>
    <t>751.30</t>
  </si>
  <si>
    <t>744.60</t>
  </si>
  <si>
    <t>730.05</t>
  </si>
  <si>
    <t>742.70</t>
  </si>
  <si>
    <t>714.85</t>
  </si>
  <si>
    <t>698.30</t>
  </si>
  <si>
    <t>688.05</t>
  </si>
  <si>
    <t>653.75</t>
  </si>
  <si>
    <t>665.00</t>
  </si>
  <si>
    <t>676.60</t>
  </si>
  <si>
    <t>677.90</t>
  </si>
  <si>
    <t>696.15</t>
  </si>
  <si>
    <t>697.35</t>
  </si>
  <si>
    <t>708.00</t>
  </si>
  <si>
    <t>720.10</t>
  </si>
  <si>
    <t>710.75</t>
  </si>
  <si>
    <t>718.20</t>
  </si>
  <si>
    <t>718.30</t>
  </si>
  <si>
    <t>704.20</t>
  </si>
  <si>
    <t>699.25</t>
  </si>
  <si>
    <t>710.35</t>
  </si>
  <si>
    <t>715.30</t>
  </si>
  <si>
    <t>730.90</t>
  </si>
  <si>
    <t>730.30</t>
  </si>
  <si>
    <t>736.25</t>
  </si>
  <si>
    <t>746.60</t>
  </si>
  <si>
    <t>741.80</t>
  </si>
  <si>
    <t>741.60</t>
  </si>
  <si>
    <t>748.55</t>
  </si>
  <si>
    <t>754.30</t>
  </si>
  <si>
    <t>759.60</t>
  </si>
  <si>
    <t>763.85</t>
  </si>
  <si>
    <t>762.25</t>
  </si>
  <si>
    <t>757.80</t>
  </si>
  <si>
    <t>766.30</t>
  </si>
  <si>
    <t>755.55</t>
  </si>
  <si>
    <t>762.35</t>
  </si>
  <si>
    <t>747.65</t>
  </si>
  <si>
    <t>752.20</t>
  </si>
  <si>
    <t>753.75</t>
  </si>
  <si>
    <t>736.70</t>
  </si>
  <si>
    <t>747.15</t>
  </si>
  <si>
    <t>743.30</t>
  </si>
  <si>
    <t>741.00</t>
  </si>
  <si>
    <t>724.25</t>
  </si>
  <si>
    <t>728.80</t>
  </si>
  <si>
    <t>719.25</t>
  </si>
  <si>
    <t>711.30</t>
  </si>
  <si>
    <t>714.20</t>
  </si>
  <si>
    <t>695.80</t>
  </si>
  <si>
    <t>677.35</t>
  </si>
  <si>
    <t>683.00</t>
  </si>
  <si>
    <t>707.35</t>
  </si>
  <si>
    <t>690.30</t>
  </si>
  <si>
    <t>711.05</t>
  </si>
  <si>
    <t>708.15</t>
  </si>
  <si>
    <t>713.35</t>
  </si>
  <si>
    <t>728.50</t>
  </si>
  <si>
    <t>739.80</t>
  </si>
  <si>
    <t>748.50</t>
  </si>
  <si>
    <t>752.85</t>
  </si>
  <si>
    <t>752.65</t>
  </si>
  <si>
    <t>749.75</t>
  </si>
  <si>
    <t>744.30</t>
  </si>
  <si>
    <t>746.75</t>
  </si>
  <si>
    <t>735.25</t>
  </si>
  <si>
    <t>729.50</t>
  </si>
  <si>
    <t>732.75</t>
  </si>
  <si>
    <t>720.00</t>
  </si>
  <si>
    <t>688.00</t>
  </si>
  <si>
    <t>685.50</t>
  </si>
  <si>
    <t>687.25</t>
  </si>
  <si>
    <t>678.50</t>
  </si>
  <si>
    <t>686.85</t>
  </si>
  <si>
    <t>685.95</t>
  </si>
  <si>
    <t>696.10</t>
  </si>
  <si>
    <t>686.60</t>
  </si>
  <si>
    <t>699.15</t>
  </si>
  <si>
    <t>713.45</t>
  </si>
  <si>
    <t>717.35</t>
  </si>
  <si>
    <t>710.30</t>
  </si>
  <si>
    <t>702.75</t>
  </si>
  <si>
    <t>707.20</t>
  </si>
  <si>
    <t>703.90</t>
  </si>
  <si>
    <t>719.45</t>
  </si>
  <si>
    <t>725.95</t>
  </si>
  <si>
    <t>742.00</t>
  </si>
  <si>
    <t>755.70</t>
  </si>
  <si>
    <t>769.50</t>
  </si>
  <si>
    <t>759.90</t>
  </si>
  <si>
    <t>753.20</t>
  </si>
  <si>
    <t>752.40</t>
  </si>
  <si>
    <t>751.20</t>
  </si>
  <si>
    <t>772.00</t>
  </si>
  <si>
    <t>780.65</t>
  </si>
  <si>
    <t>783.10</t>
  </si>
  <si>
    <t>786.00</t>
  </si>
  <si>
    <t>800.05</t>
  </si>
  <si>
    <t>800.90</t>
  </si>
  <si>
    <t>796.30</t>
  </si>
  <si>
    <t>800.50</t>
  </si>
  <si>
    <t>814.60</t>
  </si>
  <si>
    <t>818.60</t>
  </si>
  <si>
    <t>823.40</t>
  </si>
  <si>
    <t>817.75</t>
  </si>
  <si>
    <t>824.80</t>
  </si>
  <si>
    <t>820.25</t>
  </si>
  <si>
    <t>838.20</t>
  </si>
  <si>
    <t>836.95</t>
  </si>
  <si>
    <t>848.75</t>
  </si>
  <si>
    <t>859.70</t>
  </si>
  <si>
    <t>874.40</t>
  </si>
  <si>
    <t>879.25</t>
  </si>
  <si>
    <t>883.25</t>
  </si>
  <si>
    <t>885.10</t>
  </si>
  <si>
    <t>870.40</t>
  </si>
  <si>
    <t>852.25</t>
  </si>
  <si>
    <t>863.90</t>
  </si>
  <si>
    <t>873.30</t>
  </si>
  <si>
    <t>872.35</t>
  </si>
  <si>
    <t>870.85</t>
  </si>
  <si>
    <t>855.85</t>
  </si>
  <si>
    <t>887.30</t>
  </si>
  <si>
    <t>874.35</t>
  </si>
  <si>
    <t>872.40</t>
  </si>
  <si>
    <t>882.45</t>
  </si>
  <si>
    <t>883.65</t>
  </si>
  <si>
    <t>876.20</t>
  </si>
  <si>
    <t>898.80</t>
  </si>
  <si>
    <t>901.25</t>
  </si>
  <si>
    <t>907.20</t>
  </si>
  <si>
    <t>910.00</t>
  </si>
  <si>
    <t>918.10</t>
  </si>
  <si>
    <t>917.60</t>
  </si>
  <si>
    <t>909.10</t>
  </si>
  <si>
    <t>899.20</t>
  </si>
  <si>
    <t>916.75</t>
  </si>
  <si>
    <t>915.25</t>
  </si>
  <si>
    <t>903.40</t>
  </si>
  <si>
    <t>882.25</t>
  </si>
  <si>
    <t>861.05</t>
  </si>
  <si>
    <t>852.55</t>
  </si>
  <si>
    <t>849.50</t>
  </si>
  <si>
    <t>843.90</t>
  </si>
  <si>
    <t>862.00</t>
  </si>
  <si>
    <t>848.35</t>
  </si>
  <si>
    <t>867.65</t>
  </si>
  <si>
    <t>885.45</t>
  </si>
  <si>
    <t>882.55</t>
  </si>
  <si>
    <t>881.75</t>
  </si>
  <si>
    <t>870.60</t>
  </si>
  <si>
    <t>868.35</t>
  </si>
  <si>
    <t>853.60</t>
  </si>
  <si>
    <t>870.25</t>
  </si>
  <si>
    <t>885.20</t>
  </si>
  <si>
    <t>896.90</t>
  </si>
  <si>
    <t>892.10</t>
  </si>
  <si>
    <t>888.65</t>
  </si>
  <si>
    <t>907.15</t>
  </si>
  <si>
    <t>926.30</t>
  </si>
  <si>
    <t>925.05</t>
  </si>
  <si>
    <t>924.40</t>
  </si>
  <si>
    <t>907.85</t>
  </si>
  <si>
    <t>908.70</t>
  </si>
  <si>
    <t>908.60</t>
  </si>
  <si>
    <t>904.70</t>
  </si>
  <si>
    <t>908.65</t>
  </si>
  <si>
    <t>905.30</t>
  </si>
  <si>
    <t>917.50</t>
  </si>
  <si>
    <t>910.50</t>
  </si>
  <si>
    <t>910.70</t>
  </si>
  <si>
    <t>906.55</t>
  </si>
  <si>
    <t>894.95</t>
  </si>
  <si>
    <t>911.70</t>
  </si>
  <si>
    <t>913.60</t>
  </si>
  <si>
    <t>919.80</t>
  </si>
  <si>
    <t>920.35</t>
  </si>
  <si>
    <t>921.40</t>
  </si>
  <si>
    <t>923.70</t>
  </si>
  <si>
    <t>927.45</t>
  </si>
  <si>
    <t>938.85</t>
  </si>
  <si>
    <t>930.30</t>
  </si>
  <si>
    <t>937.40</t>
  </si>
  <si>
    <t>946.75</t>
  </si>
  <si>
    <t>952.90</t>
  </si>
  <si>
    <t>940.20</t>
  </si>
  <si>
    <t>930.60</t>
  </si>
  <si>
    <t>933.60</t>
  </si>
  <si>
    <t>922.65</t>
  </si>
  <si>
    <t>922.15</t>
  </si>
  <si>
    <t>931.90</t>
  </si>
  <si>
    <t>929.90</t>
  </si>
  <si>
    <t>932.95</t>
  </si>
  <si>
    <t>921.75</t>
  </si>
  <si>
    <t>908.80</t>
  </si>
  <si>
    <t>902.00</t>
  </si>
  <si>
    <t>906.45</t>
  </si>
  <si>
    <t>909.70</t>
  </si>
  <si>
    <t>892.25</t>
  </si>
  <si>
    <t>890.65</t>
  </si>
  <si>
    <t>878.90</t>
  </si>
  <si>
    <t>893.20</t>
  </si>
  <si>
    <t>900.65</t>
  </si>
  <si>
    <t>898.95</t>
  </si>
  <si>
    <t>908.05</t>
  </si>
  <si>
    <t>890.85</t>
  </si>
  <si>
    <t>902.45</t>
  </si>
  <si>
    <t>901.35</t>
  </si>
  <si>
    <t>899.10</t>
  </si>
  <si>
    <t>879.15</t>
  </si>
  <si>
    <t>870.10</t>
  </si>
  <si>
    <t>873.35</t>
  </si>
  <si>
    <t>861.35</t>
  </si>
  <si>
    <t>866.30</t>
  </si>
  <si>
    <t>860.65</t>
  </si>
  <si>
    <t>873.45</t>
  </si>
  <si>
    <t>865.25</t>
  </si>
  <si>
    <t>865.15</t>
  </si>
  <si>
    <t>869.50</t>
  </si>
  <si>
    <t>866.15</t>
  </si>
  <si>
    <t>870.35</t>
  </si>
  <si>
    <t>871.70</t>
  </si>
  <si>
    <t>870.75</t>
  </si>
  <si>
    <t>855.30</t>
  </si>
  <si>
    <t>817.20</t>
  </si>
  <si>
    <t>823.50</t>
  </si>
  <si>
    <t>831.90</t>
  </si>
  <si>
    <t>847.95</t>
  </si>
  <si>
    <t>857.90</t>
  </si>
  <si>
    <t>863.80</t>
  </si>
  <si>
    <t>853.70</t>
  </si>
  <si>
    <t>852.75</t>
  </si>
  <si>
    <t>859.10</t>
  </si>
  <si>
    <t>860.80</t>
  </si>
  <si>
    <t>853.85</t>
  </si>
  <si>
    <t>850.65</t>
  </si>
  <si>
    <t>865.30</t>
  </si>
  <si>
    <t>870.80</t>
  </si>
  <si>
    <t>869.45</t>
  </si>
  <si>
    <t>862.65</t>
  </si>
  <si>
    <t>852.10</t>
  </si>
  <si>
    <t>854.20</t>
  </si>
  <si>
    <t>839.25</t>
  </si>
  <si>
    <t>839.75</t>
  </si>
  <si>
    <t>839.70</t>
  </si>
  <si>
    <t>856.40</t>
  </si>
  <si>
    <t>854.85</t>
  </si>
  <si>
    <t>856.30</t>
  </si>
  <si>
    <t>854.00</t>
  </si>
  <si>
    <t>868.55</t>
  </si>
  <si>
    <t>867.75</t>
  </si>
  <si>
    <t>872.10</t>
  </si>
  <si>
    <t>855.95</t>
  </si>
  <si>
    <t>842.65</t>
  </si>
  <si>
    <t>828.40</t>
  </si>
  <si>
    <t>830.35</t>
  </si>
  <si>
    <t>825.90</t>
  </si>
  <si>
    <t>823.90</t>
  </si>
  <si>
    <t>836.25</t>
  </si>
  <si>
    <t>836.45</t>
  </si>
  <si>
    <t>852.40</t>
  </si>
  <si>
    <t>860.20</t>
  </si>
  <si>
    <t>855.45</t>
  </si>
  <si>
    <t>848.70</t>
  </si>
  <si>
    <t>854.75</t>
  </si>
  <si>
    <t>851.00</t>
  </si>
  <si>
    <t>877.25</t>
  </si>
  <si>
    <t>883.80</t>
  </si>
  <si>
    <t>884.60</t>
  </si>
  <si>
    <t>875.00</t>
  </si>
  <si>
    <t>868.45</t>
  </si>
  <si>
    <t>881.90</t>
  </si>
  <si>
    <t>890.15</t>
  </si>
  <si>
    <t>899.00</t>
  </si>
  <si>
    <t>901.30</t>
  </si>
  <si>
    <t>896.85</t>
  </si>
  <si>
    <t>891.90</t>
  </si>
  <si>
    <t>894.40</t>
  </si>
  <si>
    <t>885.65</t>
  </si>
  <si>
    <t>904.75</t>
  </si>
  <si>
    <t>913.45</t>
  </si>
  <si>
    <t>914.95</t>
  </si>
  <si>
    <t>918.35</t>
  </si>
  <si>
    <t>917.65</t>
  </si>
  <si>
    <t>922.10</t>
  </si>
  <si>
    <t>922.85</t>
  </si>
  <si>
    <t>921.70</t>
  </si>
  <si>
    <t>926.95</t>
  </si>
  <si>
    <t>937.90</t>
  </si>
  <si>
    <t>934.40</t>
  </si>
  <si>
    <t>936.05</t>
  </si>
  <si>
    <t>939.20</t>
  </si>
  <si>
    <t>943.90</t>
  </si>
  <si>
    <t>945.75</t>
  </si>
  <si>
    <t>946.35</t>
  </si>
  <si>
    <t>939.35</t>
  </si>
  <si>
    <t>946.50</t>
  </si>
  <si>
    <t>954.30</t>
  </si>
  <si>
    <t>950.35</t>
  </si>
  <si>
    <t>953.40</t>
  </si>
  <si>
    <t>940.65</t>
  </si>
  <si>
    <t>939.85</t>
  </si>
  <si>
    <t>950.70</t>
  </si>
  <si>
    <t>948.15</t>
  </si>
  <si>
    <t>949.95</t>
  </si>
  <si>
    <t>949.15</t>
  </si>
  <si>
    <t>936.10</t>
  </si>
  <si>
    <t>938.15</t>
  </si>
  <si>
    <t>942.10</t>
  </si>
  <si>
    <t>938.05</t>
  </si>
  <si>
    <t>935.95</t>
  </si>
  <si>
    <t>943.55</t>
  </si>
  <si>
    <t>939.80</t>
  </si>
  <si>
    <t>926.60</t>
  </si>
  <si>
    <t>934.20</t>
  </si>
  <si>
    <t>923.15</t>
  </si>
  <si>
    <t>925.55</t>
  </si>
  <si>
    <t>924.70</t>
  </si>
  <si>
    <t>925.75</t>
  </si>
  <si>
    <t>923.50</t>
  </si>
  <si>
    <t>937.45</t>
  </si>
  <si>
    <t>934.60</t>
  </si>
  <si>
    <t>942.55</t>
  </si>
  <si>
    <t>944.70</t>
  </si>
  <si>
    <t>958.00</t>
  </si>
  <si>
    <t>959.40</t>
  </si>
  <si>
    <t>946.40</t>
  </si>
  <si>
    <t>948.40</t>
  </si>
  <si>
    <t>944.95</t>
  </si>
  <si>
    <t>944.40</t>
  </si>
  <si>
    <t>955.70</t>
  </si>
  <si>
    <t>960.05</t>
  </si>
  <si>
    <t>968.70</t>
  </si>
  <si>
    <t>975.45</t>
  </si>
  <si>
    <t>973.45</t>
  </si>
  <si>
    <t>995.60</t>
  </si>
  <si>
    <t>997.00</t>
  </si>
  <si>
    <t>992.00</t>
  </si>
  <si>
    <t>994.70</t>
  </si>
  <si>
    <t>996.45</t>
  </si>
  <si>
    <t>990.25</t>
  </si>
  <si>
    <t>996.20</t>
  </si>
  <si>
    <t>998.30</t>
  </si>
  <si>
    <t>994.55</t>
  </si>
  <si>
    <t>986.95</t>
  </si>
  <si>
    <t>965.00</t>
  </si>
  <si>
    <t>970.50</t>
  </si>
  <si>
    <t>975.65</t>
  </si>
  <si>
    <t>979.90</t>
  </si>
  <si>
    <t>972.70</t>
  </si>
  <si>
    <t>964.10</t>
  </si>
  <si>
    <t>952.85</t>
  </si>
  <si>
    <t>959.55</t>
  </si>
  <si>
    <t>956.50</t>
  </si>
  <si>
    <t>951.65</t>
  </si>
  <si>
    <t>950.65</t>
  </si>
  <si>
    <t>955.20</t>
  </si>
  <si>
    <t>952.00</t>
  </si>
  <si>
    <t>966.85</t>
  </si>
  <si>
    <t>968.95</t>
  </si>
  <si>
    <t>970.40</t>
  </si>
  <si>
    <t>970.55</t>
  </si>
  <si>
    <t>967.75</t>
  </si>
  <si>
    <t>958.90</t>
  </si>
  <si>
    <t>958.75</t>
  </si>
  <si>
    <t>967.35</t>
  </si>
  <si>
    <t>968.40</t>
  </si>
  <si>
    <t>957.50</t>
  </si>
  <si>
    <t>965.65</t>
  </si>
  <si>
    <t>978.25</t>
  </si>
  <si>
    <t>990.50</t>
  </si>
  <si>
    <t>989.80</t>
  </si>
  <si>
    <t>987.70</t>
  </si>
  <si>
    <t>992.45</t>
  </si>
  <si>
    <t>990.20</t>
  </si>
  <si>
    <t>987.15</t>
  </si>
  <si>
    <t>959.30</t>
  </si>
  <si>
    <t>950.30</t>
  </si>
  <si>
    <t>956.35</t>
  </si>
  <si>
    <t>948.70</t>
  </si>
  <si>
    <t>943.10</t>
  </si>
  <si>
    <t>942.60</t>
  </si>
  <si>
    <t>951.90</t>
  </si>
  <si>
    <t>940.30</t>
  </si>
  <si>
    <t>930.05</t>
  </si>
  <si>
    <t>940.85</t>
  </si>
  <si>
    <t>945.20</t>
  </si>
  <si>
    <t>938.60</t>
  </si>
  <si>
    <t>951.20</t>
  </si>
  <si>
    <t>953.10</t>
  </si>
  <si>
    <t>954.25</t>
  </si>
  <si>
    <t>951.30</t>
  </si>
  <si>
    <t>951.40</t>
  </si>
  <si>
    <t>953.90</t>
  </si>
  <si>
    <t>943.75</t>
  </si>
  <si>
    <t>935.75</t>
  </si>
  <si>
    <t>932.75</t>
  </si>
  <si>
    <t>929.95</t>
  </si>
  <si>
    <t>916.10</t>
  </si>
  <si>
    <t>912.75</t>
  </si>
  <si>
    <t>924.90</t>
  </si>
  <si>
    <t>915.35</t>
  </si>
  <si>
    <t>914.05</t>
  </si>
  <si>
    <t>919.95</t>
  </si>
  <si>
    <t>933.80</t>
  </si>
  <si>
    <t>945.45</t>
  </si>
  <si>
    <t>948.10</t>
  </si>
  <si>
    <t>937.35</t>
  </si>
  <si>
    <t>942.35</t>
  </si>
  <si>
    <t>934.45</t>
  </si>
  <si>
    <t>941.10</t>
  </si>
  <si>
    <t>936.00</t>
  </si>
  <si>
    <t>921.85</t>
  </si>
  <si>
    <t>921.45</t>
  </si>
  <si>
    <t>926.10</t>
  </si>
  <si>
    <t>922.75</t>
  </si>
  <si>
    <t>923.00</t>
  </si>
  <si>
    <t>929.40</t>
  </si>
  <si>
    <t>925.50</t>
  </si>
  <si>
    <t>939.60</t>
  </si>
  <si>
    <t>934.95</t>
  </si>
  <si>
    <t>946.70</t>
  </si>
  <si>
    <t>991.20</t>
  </si>
  <si>
    <t>1,013.45</t>
  </si>
  <si>
    <t>1,003.25</t>
  </si>
  <si>
    <t>999.00</t>
  </si>
  <si>
    <t>1,010.85</t>
  </si>
  <si>
    <t>1,017.10</t>
  </si>
  <si>
    <t>1,015.70</t>
  </si>
  <si>
    <t>1,013.90</t>
  </si>
  <si>
    <t>1,033.65</t>
  </si>
  <si>
    <t>1,037.40</t>
  </si>
  <si>
    <t>1,021.45</t>
  </si>
  <si>
    <t>1,015.45</t>
  </si>
  <si>
    <t>1,006.65</t>
  </si>
  <si>
    <t>1,004.40</t>
  </si>
  <si>
    <t>994.30</t>
  </si>
  <si>
    <t>995.10</t>
  </si>
  <si>
    <t>1,002.25</t>
  </si>
  <si>
    <t>1,005.90</t>
  </si>
  <si>
    <t>996.60</t>
  </si>
  <si>
    <t>999.40</t>
  </si>
  <si>
    <t>982.25</t>
  </si>
  <si>
    <t>984.05</t>
  </si>
  <si>
    <t>993.70</t>
  </si>
  <si>
    <t>982.00</t>
  </si>
  <si>
    <t>979.75</t>
  </si>
  <si>
    <t>993.05</t>
  </si>
  <si>
    <t>991.15</t>
  </si>
  <si>
    <t>1,003.50</t>
  </si>
  <si>
    <t>1,009.85</t>
  </si>
  <si>
    <t>1,009.05</t>
  </si>
  <si>
    <t>981.75</t>
  </si>
  <si>
    <t>986.35</t>
  </si>
  <si>
    <t>999.20</t>
  </si>
  <si>
    <t>1,008.70</t>
  </si>
  <si>
    <t>1,029.05</t>
  </si>
  <si>
    <t>1,009.95</t>
  </si>
  <si>
    <t>1,016.40</t>
  </si>
  <si>
    <t>1,016.90</t>
  </si>
  <si>
    <t>1,028.15</t>
  </si>
  <si>
    <t>1,025.15</t>
  </si>
  <si>
    <t>1,024.00</t>
  </si>
  <si>
    <t>1,023.50</t>
  </si>
  <si>
    <t>1,026.40</t>
  </si>
  <si>
    <t>1,022.15</t>
  </si>
  <si>
    <t>989.30</t>
  </si>
  <si>
    <t>1,010.70</t>
  </si>
  <si>
    <t>996.10</t>
  </si>
  <si>
    <t>1,019.80</t>
  </si>
  <si>
    <t>1,022.70</t>
  </si>
  <si>
    <t>1,016.65</t>
  </si>
  <si>
    <t>1,023.25</t>
  </si>
  <si>
    <t>1,043.75</t>
  </si>
  <si>
    <t>1,048.75</t>
  </si>
  <si>
    <t>1,051.95</t>
  </si>
  <si>
    <t>1,062.70</t>
  </si>
  <si>
    <t>1,061.30</t>
  </si>
  <si>
    <t>1,054.20</t>
  </si>
  <si>
    <t>1,060.20</t>
  </si>
  <si>
    <t>1,046.20</t>
  </si>
  <si>
    <t>1,052.20</t>
  </si>
  <si>
    <t>1,086.90</t>
  </si>
  <si>
    <t>1,084.65</t>
  </si>
  <si>
    <t>1,092.35</t>
  </si>
  <si>
    <t>1,088.05</t>
  </si>
  <si>
    <t>1,097.10</t>
  </si>
  <si>
    <t>1,087.95</t>
  </si>
  <si>
    <t>1,078.70</t>
  </si>
  <si>
    <t>1,076.85</t>
  </si>
  <si>
    <t>1,083.95</t>
  </si>
  <si>
    <t>1,083.60</t>
  </si>
  <si>
    <t>1,080.35</t>
  </si>
  <si>
    <t>1,081.20</t>
  </si>
  <si>
    <t>1,084.50</t>
  </si>
  <si>
    <t>1,081.80</t>
  </si>
  <si>
    <t>1,090.30</t>
  </si>
  <si>
    <t>1,083.70</t>
  </si>
  <si>
    <t>1,083.75</t>
  </si>
  <si>
    <t>1,093.30</t>
  </si>
  <si>
    <t>1,099.65</t>
  </si>
  <si>
    <t>1,077.20</t>
  </si>
  <si>
    <t>1,078.85</t>
  </si>
  <si>
    <t>1,083.40</t>
  </si>
  <si>
    <t>1,087.15</t>
  </si>
  <si>
    <t>1,107.05</t>
  </si>
  <si>
    <t>1,109.40</t>
  </si>
  <si>
    <t>1,104.40</t>
  </si>
  <si>
    <t>1,078.35</t>
  </si>
  <si>
    <t>1,067.05</t>
  </si>
  <si>
    <t>1,055.45</t>
  </si>
  <si>
    <t>1,067.25</t>
  </si>
  <si>
    <t>1,086.65</t>
  </si>
  <si>
    <t>1,090.25</t>
  </si>
  <si>
    <t>1,096.75</t>
  </si>
  <si>
    <t>1,113.75</t>
  </si>
  <si>
    <t>1,107.90</t>
  </si>
  <si>
    <t>1,160.15</t>
  </si>
  <si>
    <t>1,150.40</t>
  </si>
  <si>
    <t>1,139.45</t>
  </si>
  <si>
    <t>1,142.05</t>
  </si>
  <si>
    <t>1,146.30</t>
  </si>
  <si>
    <t>1,131.90</t>
  </si>
  <si>
    <t>1,123.00</t>
  </si>
  <si>
    <t>1,115.70</t>
  </si>
  <si>
    <t>1,117.05</t>
  </si>
  <si>
    <t>1,128.00</t>
  </si>
  <si>
    <t>1,120.55</t>
  </si>
  <si>
    <t>1,124.35</t>
  </si>
  <si>
    <t>1,131.05</t>
  </si>
  <si>
    <t>1,130.50</t>
  </si>
  <si>
    <t>1,130.75</t>
  </si>
  <si>
    <t>1,120.95</t>
  </si>
  <si>
    <t>1,111.10</t>
  </si>
  <si>
    <t>1,134.50</t>
  </si>
  <si>
    <t>1,131.95</t>
  </si>
  <si>
    <t>1,129.80</t>
  </si>
  <si>
    <t>1,126.95</t>
  </si>
  <si>
    <t>1,102.00</t>
  </si>
  <si>
    <t>1,113.70</t>
  </si>
  <si>
    <t>1,121.05</t>
  </si>
  <si>
    <t>1,160.00</t>
  </si>
  <si>
    <t>1,071.45</t>
  </si>
  <si>
    <t>1,108.65</t>
  </si>
  <si>
    <t>1,110.40</t>
  </si>
  <si>
    <t>1,121.70</t>
  </si>
  <si>
    <t>1,123.80</t>
  </si>
  <si>
    <t>1,118.20</t>
  </si>
  <si>
    <t>1,119.55</t>
  </si>
  <si>
    <t>1,107.35</t>
  </si>
  <si>
    <t>1,105.65</t>
  </si>
  <si>
    <t>1,122.85</t>
  </si>
  <si>
    <t>1,144.45</t>
  </si>
  <si>
    <t>1,156.80</t>
  </si>
  <si>
    <t>1,158.65</t>
  </si>
  <si>
    <t>1,170.10</t>
  </si>
  <si>
    <t>1,197.95</t>
  </si>
  <si>
    <t>1,218.00</t>
  </si>
  <si>
    <t>1,219.90</t>
  </si>
  <si>
    <t>1,199.60</t>
  </si>
  <si>
    <t>1,211.85</t>
  </si>
  <si>
    <t>1,190.60</t>
  </si>
  <si>
    <t>1,201.60</t>
  </si>
  <si>
    <t>1,233.00</t>
  </si>
  <si>
    <t>1,233.40</t>
  </si>
  <si>
    <t>1,235.05</t>
  </si>
  <si>
    <t>1,248.25</t>
  </si>
  <si>
    <t>1,243.20</t>
  </si>
  <si>
    <t>1,238.45</t>
  </si>
  <si>
    <t>1,232.90</t>
  </si>
  <si>
    <t>1,229.95</t>
  </si>
  <si>
    <t>1,239.90</t>
  </si>
  <si>
    <t>1,250.30</t>
  </si>
  <si>
    <t>1,248.65</t>
  </si>
  <si>
    <t>1,241.15</t>
  </si>
  <si>
    <t>1,226.75</t>
  </si>
  <si>
    <t>1,223.00</t>
  </si>
  <si>
    <t>1,197.90</t>
  </si>
  <si>
    <t>1,207.20</t>
  </si>
  <si>
    <t>1,212.70</t>
  </si>
  <si>
    <t>1,209.45</t>
  </si>
  <si>
    <t>1,214.90</t>
  </si>
  <si>
    <t>1,210.10</t>
  </si>
  <si>
    <t>1,196.55</t>
  </si>
  <si>
    <t>1,172.60</t>
  </si>
  <si>
    <t>1,166.85</t>
  </si>
  <si>
    <t>1,172.45</t>
  </si>
  <si>
    <t>1,164.60</t>
  </si>
  <si>
    <t>1,171.60</t>
  </si>
  <si>
    <t>1,172.80</t>
  </si>
  <si>
    <t>1,168.35</t>
  </si>
  <si>
    <t>1,161.65</t>
  </si>
  <si>
    <t>1,187.25</t>
  </si>
  <si>
    <t>1,175.90</t>
  </si>
  <si>
    <t>1,179.45</t>
  </si>
  <si>
    <t>1,174.85</t>
  </si>
  <si>
    <t>1,191.10</t>
  </si>
  <si>
    <t>1,203.50</t>
  </si>
  <si>
    <t>1,213.30</t>
  </si>
  <si>
    <t>1,226.35</t>
  </si>
  <si>
    <t>1,223.85</t>
  </si>
  <si>
    <t>1,221.90</t>
  </si>
  <si>
    <t>1,229.20</t>
  </si>
  <si>
    <t>1,247.70</t>
  </si>
  <si>
    <t>1,236.35</t>
  </si>
  <si>
    <t>1,235.95</t>
  </si>
  <si>
    <t>1,208.15</t>
  </si>
  <si>
    <t>1,235.00</t>
  </si>
  <si>
    <t>1,237.30</t>
  </si>
  <si>
    <t>1,252.15</t>
  </si>
  <si>
    <t>1,250.35</t>
  </si>
  <si>
    <t>1,262.85</t>
  </si>
  <si>
    <t>1,268.10</t>
  </si>
  <si>
    <t>1,288.35</t>
  </si>
  <si>
    <t>1,292.00</t>
  </si>
  <si>
    <t>1,338.45</t>
  </si>
  <si>
    <t>1,321.90</t>
  </si>
  <si>
    <t>1,318.60</t>
  </si>
  <si>
    <t>1,323.85</t>
  </si>
  <si>
    <t>1,329.05</t>
  </si>
  <si>
    <t>1,306.60</t>
  </si>
  <si>
    <t>1,273.00</t>
  </si>
  <si>
    <t>1,274.40</t>
  </si>
  <si>
    <t>1,256.35</t>
  </si>
  <si>
    <t>1,239.75</t>
  </si>
  <si>
    <t>1,233.90</t>
  </si>
  <si>
    <t>1,236.60</t>
  </si>
  <si>
    <t>1,244.15</t>
  </si>
  <si>
    <t>1,243.50</t>
  </si>
  <si>
    <t>1,231.75</t>
  </si>
  <si>
    <t>1,255.50</t>
  </si>
  <si>
    <t>1,243.15</t>
  </si>
  <si>
    <t>1,231.25</t>
  </si>
  <si>
    <t>1,264.50</t>
  </si>
  <si>
    <t>1,259.05</t>
  </si>
  <si>
    <t>1,267.50</t>
  </si>
  <si>
    <t>1,251.60</t>
  </si>
  <si>
    <t>1,252.75</t>
  </si>
  <si>
    <t>1,255.45</t>
  </si>
  <si>
    <t>1,292.85</t>
  </si>
  <si>
    <t>1,331.85</t>
  </si>
  <si>
    <t>1,312.15</t>
  </si>
  <si>
    <t>1,292.25</t>
  </si>
  <si>
    <t>1,291.80</t>
  </si>
  <si>
    <t>1,277.20</t>
  </si>
  <si>
    <t>1,296.70</t>
  </si>
  <si>
    <t>1,302.35</t>
  </si>
  <si>
    <t>1,278.70</t>
  </si>
  <si>
    <t>1,258.85</t>
  </si>
  <si>
    <t>1,269.30</t>
  </si>
  <si>
    <t>1,270.60</t>
  </si>
  <si>
    <t>1,253.70</t>
  </si>
  <si>
    <t>1,256.95</t>
  </si>
  <si>
    <t>1,253.45</t>
  </si>
  <si>
    <t>1,249.10</t>
  </si>
  <si>
    <t>1,250.55</t>
  </si>
  <si>
    <t>1,278.05</t>
  </si>
  <si>
    <t>1,300.95</t>
  </si>
  <si>
    <t>1,304.95</t>
  </si>
  <si>
    <t>1,300.70</t>
  </si>
  <si>
    <t>1,286.35</t>
  </si>
  <si>
    <t>1,300.10</t>
  </si>
  <si>
    <t>1,304.65</t>
  </si>
  <si>
    <t>1,308.40</t>
  </si>
  <si>
    <t>1,316.05</t>
  </si>
  <si>
    <t>1,336.50</t>
  </si>
  <si>
    <t>1,328.75</t>
  </si>
  <si>
    <t>1,322.30</t>
  </si>
  <si>
    <t>1,330.45</t>
  </si>
  <si>
    <t>1,327.50</t>
  </si>
  <si>
    <t>1,329.25</t>
  </si>
  <si>
    <t>1,344.90</t>
  </si>
  <si>
    <t>1,346.10</t>
  </si>
  <si>
    <t>1,333.75</t>
  </si>
  <si>
    <t>1,314.15</t>
  </si>
  <si>
    <t>1,286.90</t>
  </si>
  <si>
    <t>1,288.40</t>
  </si>
  <si>
    <t>1,296.80</t>
  </si>
  <si>
    <t>1,297.25</t>
  </si>
  <si>
    <t>1,297.35</t>
  </si>
  <si>
    <t>1,307.55</t>
  </si>
  <si>
    <t>1,294.65</t>
  </si>
  <si>
    <t>1,281.65</t>
  </si>
  <si>
    <t>1,283.65</t>
  </si>
  <si>
    <t>1,290.60</t>
  </si>
  <si>
    <t>1,265.05</t>
  </si>
  <si>
    <t>1,264.10</t>
  </si>
  <si>
    <t>1,279.25</t>
  </si>
  <si>
    <t>1,263.75</t>
  </si>
  <si>
    <t>1,262.40</t>
  </si>
  <si>
    <t>1,249.85</t>
  </si>
  <si>
    <t>1,229.75</t>
  </si>
  <si>
    <t>1,240.30</t>
  </si>
  <si>
    <t>1,238.25</t>
  </si>
  <si>
    <t>1,225.45</t>
  </si>
  <si>
    <t>1,232.95</t>
  </si>
  <si>
    <t>1,196.15</t>
  </si>
  <si>
    <t>1,200.45</t>
  </si>
  <si>
    <t>1,201.75</t>
  </si>
  <si>
    <t>1,209.20</t>
  </si>
  <si>
    <t>1,227.95</t>
  </si>
  <si>
    <t>1,246.90</t>
  </si>
  <si>
    <t>1,251.65</t>
  </si>
  <si>
    <t>1,255.60</t>
  </si>
  <si>
    <t>1,252.80</t>
  </si>
  <si>
    <t>1,255.55</t>
  </si>
  <si>
    <t>1,253.00</t>
  </si>
  <si>
    <t>1,268.20</t>
  </si>
  <si>
    <t>1,267.70</t>
  </si>
  <si>
    <t>1,272.40</t>
  </si>
  <si>
    <t>1,256.90</t>
  </si>
  <si>
    <t>1,262.60</t>
  </si>
  <si>
    <t>1,251.80</t>
  </si>
  <si>
    <t>1,248.90</t>
  </si>
  <si>
    <t>1,260.10</t>
  </si>
  <si>
    <t>1,251.15</t>
  </si>
  <si>
    <t>1,243.05</t>
  </si>
  <si>
    <t>1,261.65</t>
  </si>
  <si>
    <t>1,249.95</t>
  </si>
  <si>
    <t>1,218.35</t>
  </si>
  <si>
    <t>1,224.15</t>
  </si>
  <si>
    <t>1,222.45</t>
  </si>
  <si>
    <t>1,204.10</t>
  </si>
  <si>
    <t>1,206.20</t>
  </si>
  <si>
    <t>1,210.40</t>
  </si>
  <si>
    <t>1,215.70</t>
  </si>
  <si>
    <t>1,218.05</t>
  </si>
  <si>
    <t>1,214.55</t>
  </si>
  <si>
    <t>1,214.85</t>
  </si>
  <si>
    <t>1,245.40</t>
  </si>
  <si>
    <t>1,243.95</t>
  </si>
  <si>
    <t>1,250.05</t>
  </si>
  <si>
    <t>1,269.00</t>
  </si>
  <si>
    <t>1,309.85</t>
  </si>
  <si>
    <t>1,313.10</t>
  </si>
  <si>
    <t>1,321.70</t>
  </si>
  <si>
    <t>1,343.10</t>
  </si>
  <si>
    <t>1,358.15</t>
  </si>
  <si>
    <t>1,343.70</t>
  </si>
  <si>
    <t>1,335.90</t>
  </si>
  <si>
    <t>1,336.65</t>
  </si>
  <si>
    <t>1,348.35</t>
  </si>
  <si>
    <t>1,318.45</t>
  </si>
  <si>
    <t>1,331.25</t>
  </si>
  <si>
    <t>1,329.55</t>
  </si>
  <si>
    <t>1,335.30</t>
  </si>
  <si>
    <t>1,287.55</t>
  </si>
  <si>
    <t>1,299.90</t>
  </si>
  <si>
    <t>1,300.80</t>
  </si>
  <si>
    <t>1,311.65</t>
  </si>
  <si>
    <t>1,350.20</t>
  </si>
  <si>
    <t>1,356.40</t>
  </si>
  <si>
    <t>1,406.70</t>
  </si>
  <si>
    <t>1,409.80</t>
  </si>
  <si>
    <t>1,416.50</t>
  </si>
  <si>
    <t>1,424.40</t>
  </si>
  <si>
    <t>1,402.70</t>
  </si>
  <si>
    <t>1,404.80</t>
  </si>
  <si>
    <t>1,428.80</t>
  </si>
  <si>
    <t>1,429.80</t>
  </si>
  <si>
    <t>1,427.00</t>
  </si>
  <si>
    <t>1,432.40</t>
  </si>
  <si>
    <t>1,429.40</t>
  </si>
  <si>
    <t>1,431.60</t>
  </si>
  <si>
    <t>1,435.40</t>
  </si>
  <si>
    <t>1,435.50</t>
  </si>
  <si>
    <t>1,388.90</t>
  </si>
  <si>
    <t>1,448.50</t>
  </si>
  <si>
    <t>1,430.60</t>
  </si>
  <si>
    <t>1,426.20</t>
  </si>
  <si>
    <t>1,450.80</t>
  </si>
  <si>
    <t>1,454.00</t>
  </si>
  <si>
    <t>1,449.00</t>
  </si>
  <si>
    <t>1,438.20</t>
  </si>
  <si>
    <t>1,444.70</t>
  </si>
  <si>
    <t>1,442.10</t>
  </si>
  <si>
    <t>1,449.80</t>
  </si>
  <si>
    <t>1,460.60</t>
  </si>
  <si>
    <t>1,446.40</t>
  </si>
  <si>
    <t>1,453.80</t>
  </si>
  <si>
    <t>1,456.50</t>
  </si>
  <si>
    <t>1,445.80</t>
  </si>
  <si>
    <t>1,450.50</t>
  </si>
  <si>
    <t>1,437.90</t>
  </si>
  <si>
    <t>1,431.00</t>
  </si>
  <si>
    <t>1,454.80</t>
  </si>
  <si>
    <t>1,459.70</t>
  </si>
  <si>
    <t>1,434.80</t>
  </si>
  <si>
    <t>1,422.90</t>
  </si>
  <si>
    <t>1,425.20</t>
  </si>
  <si>
    <t>1,416.10</t>
  </si>
  <si>
    <t>1,426.90</t>
  </si>
  <si>
    <t>1,423.20</t>
  </si>
  <si>
    <t>1,412.60</t>
  </si>
  <si>
    <t>1,411.30</t>
  </si>
  <si>
    <t>1,427.10</t>
  </si>
  <si>
    <t>1,420.10</t>
  </si>
  <si>
    <t>1,424.10</t>
  </si>
  <si>
    <t>1,425.80</t>
  </si>
  <si>
    <t>1,439.10</t>
  </si>
  <si>
    <t>1,462.20</t>
  </si>
  <si>
    <t>1,432.00</t>
  </si>
  <si>
    <t>1,427.80</t>
  </si>
  <si>
    <t>1,425.90</t>
  </si>
  <si>
    <t>1,442.80</t>
  </si>
  <si>
    <t>1,435.70</t>
  </si>
  <si>
    <t>1,442.00</t>
  </si>
  <si>
    <t>1,431.90</t>
  </si>
  <si>
    <t>1,421.90</t>
  </si>
  <si>
    <t>1,423.00</t>
  </si>
  <si>
    <t>1,430.80</t>
  </si>
  <si>
    <t>1,426.40</t>
  </si>
  <si>
    <t>1,418.70</t>
  </si>
  <si>
    <t>1,465.80</t>
  </si>
  <si>
    <t>1,473.60</t>
  </si>
  <si>
    <t>1,488.60</t>
  </si>
  <si>
    <t>1,483.40</t>
  </si>
  <si>
    <t>1,477.10</t>
  </si>
  <si>
    <t>1,488.40</t>
  </si>
  <si>
    <t>1,486.20</t>
  </si>
  <si>
    <t>1,482.40</t>
  </si>
  <si>
    <t>1,481.40</t>
  </si>
  <si>
    <t>1,471.60</t>
  </si>
  <si>
    <t>1,463.20</t>
  </si>
  <si>
    <t>1,444.40</t>
  </si>
  <si>
    <t>1,443.60</t>
  </si>
  <si>
    <t>1,440.30</t>
  </si>
  <si>
    <t>1,435.90</t>
  </si>
  <si>
    <t>1,436.60</t>
  </si>
  <si>
    <t>1,422.00</t>
  </si>
  <si>
    <t>1,420.80</t>
  </si>
  <si>
    <t>1,427.30</t>
  </si>
  <si>
    <t>1,434.60</t>
  </si>
  <si>
    <t>1,436.30</t>
  </si>
  <si>
    <t>1,446.00</t>
  </si>
  <si>
    <t>1,436.40</t>
  </si>
  <si>
    <t>1,433.20</t>
  </si>
  <si>
    <t>1,416.60</t>
  </si>
  <si>
    <t>1,399.10</t>
  </si>
  <si>
    <t>1,397.80</t>
  </si>
  <si>
    <t>1,411.00</t>
  </si>
  <si>
    <t>1,394.20</t>
  </si>
  <si>
    <t>1,397.00</t>
  </si>
  <si>
    <t>1,405.50</t>
  </si>
  <si>
    <t>1,402.80</t>
  </si>
  <si>
    <t>1,403.70</t>
  </si>
  <si>
    <t>1,403.90</t>
  </si>
  <si>
    <t>1,401.60</t>
  </si>
  <si>
    <t>1,417.70</t>
  </si>
  <si>
    <t>1,419.40</t>
  </si>
  <si>
    <t>1,421.60</t>
  </si>
  <si>
    <t>1,419.20</t>
  </si>
  <si>
    <t>1,421.70</t>
  </si>
  <si>
    <t>1,402.20</t>
  </si>
  <si>
    <t>1,401.50</t>
  </si>
  <si>
    <t>1,394.30</t>
  </si>
  <si>
    <t>1,382.70</t>
  </si>
  <si>
    <t>1,375.80</t>
  </si>
  <si>
    <t>1,359.60</t>
  </si>
  <si>
    <t>1,348.10</t>
  </si>
  <si>
    <t>1,348.00</t>
  </si>
  <si>
    <t>1,372.00</t>
  </si>
  <si>
    <t>1,365.20</t>
  </si>
  <si>
    <t>1,363.40</t>
  </si>
  <si>
    <t>1,375.90</t>
  </si>
  <si>
    <t>1,370.30</t>
  </si>
  <si>
    <t>1,376.20</t>
  </si>
  <si>
    <t>1,380.30</t>
  </si>
  <si>
    <t>1,379.40</t>
  </si>
  <si>
    <t>1,384.10</t>
  </si>
  <si>
    <t>1,398.40</t>
  </si>
  <si>
    <t>1,417.30</t>
  </si>
  <si>
    <t>1,390.30</t>
  </si>
  <si>
    <t>1,382.00</t>
  </si>
  <si>
    <t>1,363.70</t>
  </si>
  <si>
    <t>1,377.70</t>
  </si>
  <si>
    <t>1,377.60</t>
  </si>
  <si>
    <t>1,363.10</t>
  </si>
  <si>
    <t>1,370.40</t>
  </si>
  <si>
    <t>1,362.40</t>
  </si>
  <si>
    <t>1,345.30</t>
  </si>
  <si>
    <t>1,346.40</t>
  </si>
  <si>
    <t>1,336.90</t>
  </si>
  <si>
    <t>1,320.40</t>
  </si>
  <si>
    <t>1,343.00</t>
  </si>
  <si>
    <t>1,358.30</t>
  </si>
  <si>
    <t>1,358.90</t>
  </si>
  <si>
    <t>1,385.90</t>
  </si>
  <si>
    <t>1,373.00</t>
  </si>
  <si>
    <t>1,379.00</t>
  </si>
  <si>
    <t>1,373.40</t>
  </si>
  <si>
    <t>1,383.10</t>
  </si>
  <si>
    <t>1,383.00</t>
  </si>
  <si>
    <t>1,369.50</t>
  </si>
  <si>
    <t>1,368.40</t>
  </si>
  <si>
    <t>1,357.80</t>
  </si>
  <si>
    <t>1,375.00</t>
  </si>
  <si>
    <t>1,392.20</t>
  </si>
  <si>
    <t>1,388.80</t>
  </si>
  <si>
    <t>NIFTY200</t>
  </si>
  <si>
    <t>ICICI Securities</t>
  </si>
  <si>
    <t>ICICI Bank</t>
  </si>
  <si>
    <t>Nifty200</t>
  </si>
  <si>
    <t>ICICI Bank RETURNS:  ESTIMATION WINDOW 
AND EVENT WINDOW</t>
  </si>
  <si>
    <t>ICICI Securities Merged in ICICI Bank
Measuring the synergies in event window</t>
  </si>
  <si>
    <t>ICICI Securities RETURNS:  THE SIGNIFICANCE 
OF THE ABNORMAL RETURNS</t>
  </si>
  <si>
    <t>ICICI Securities
Measuring the synergies in event window</t>
  </si>
  <si>
    <t>Share price,
23 June 23</t>
  </si>
  <si>
    <t>Market value, 23 June 2023
(million $)</t>
  </si>
  <si>
    <t>Cumulative abnormal valuations
(million $)</t>
  </si>
  <si>
    <t>Table</t>
  </si>
  <si>
    <t>Icici</t>
  </si>
  <si>
    <t>Icici securities</t>
  </si>
  <si>
    <t>Announcement</t>
  </si>
  <si>
    <t>Merged</t>
  </si>
  <si>
    <t>T test Hypothesis</t>
  </si>
  <si>
    <t>H0: abnormal return = 0</t>
  </si>
  <si>
    <t>H1: abnormal return =!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</si>
</sst>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m/d/yy;@"/>
    <numFmt numFmtId="166" formatCode="&quot;$&quot;#,##0.00"/>
    <numFmt numFmtId="167" formatCode="_(* #,##0.0000_);_(* \(#,##0.0000\);_(* &quot;-&quot;??_);_(@_)"/>
    <numFmt numFmtId="168" formatCode="[$-409]d\-mmm\-yy;@"/>
    <numFmt numFmtId="169" formatCode="#,###.00,"/>
    <numFmt numFmtId="170" formatCode="&quot;₹&quot;\ #,##0.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vertAlign val="sub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2" borderId="0" xfId="0" applyFill="1"/>
    <xf numFmtId="10" fontId="1" fillId="0" borderId="0" xfId="2" applyNumberFormat="1" applyFont="1"/>
    <xf numFmtId="10" fontId="0" fillId="0" borderId="0" xfId="0" applyNumberFormat="1"/>
    <xf numFmtId="10" fontId="0" fillId="2" borderId="0" xfId="0" applyNumberFormat="1" applyFill="1"/>
    <xf numFmtId="166" fontId="0" fillId="0" borderId="0" xfId="0" applyNumberFormat="1"/>
    <xf numFmtId="14" fontId="0" fillId="0" borderId="0" xfId="0" applyNumberFormat="1"/>
    <xf numFmtId="164" fontId="1" fillId="0" borderId="0" xfId="1" applyFont="1"/>
    <xf numFmtId="164" fontId="0" fillId="0" borderId="0" xfId="0" applyNumberFormat="1"/>
    <xf numFmtId="167" fontId="1" fillId="0" borderId="0" xfId="1" applyNumberFormat="1" applyFont="1"/>
    <xf numFmtId="14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 applyAlignment="1">
      <alignment horizontal="center"/>
    </xf>
    <xf numFmtId="167" fontId="1" fillId="2" borderId="0" xfId="1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left" wrapText="1"/>
    </xf>
    <xf numFmtId="168" fontId="3" fillId="0" borderId="0" xfId="0" applyNumberFormat="1" applyFont="1" applyAlignment="1">
      <alignment horizontal="center" vertical="center" wrapText="1"/>
    </xf>
    <xf numFmtId="168" fontId="0" fillId="2" borderId="0" xfId="0" applyNumberFormat="1" applyFill="1"/>
    <xf numFmtId="168" fontId="0" fillId="2" borderId="0" xfId="0" applyNumberFormat="1" applyFill="1" applyAlignment="1">
      <alignment horizontal="center"/>
    </xf>
    <xf numFmtId="168" fontId="0" fillId="0" borderId="0" xfId="0" quotePrefix="1" applyNumberFormat="1"/>
    <xf numFmtId="3" fontId="0" fillId="0" borderId="0" xfId="0" applyNumberFormat="1"/>
    <xf numFmtId="168" fontId="4" fillId="0" borderId="0" xfId="0" applyNumberFormat="1" applyFont="1"/>
    <xf numFmtId="3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 vertical="center" wrapText="1"/>
    </xf>
    <xf numFmtId="4" fontId="0" fillId="0" borderId="0" xfId="0" applyNumberFormat="1"/>
    <xf numFmtId="4" fontId="0" fillId="2" borderId="0" xfId="0" applyNumberFormat="1" applyFill="1"/>
    <xf numFmtId="169" fontId="4" fillId="0" borderId="0" xfId="0" applyNumberFormat="1" applyFont="1" applyAlignment="1">
      <alignment horizontal="right" vertical="center" wrapText="1"/>
    </xf>
    <xf numFmtId="170" fontId="0" fillId="0" borderId="0" xfId="0" applyNumberFormat="1"/>
    <xf numFmtId="168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8" fontId="3" fillId="0" borderId="2" xfId="0" applyNumberFormat="1" applyFont="1" applyBorder="1"/>
    <xf numFmtId="0" fontId="3" fillId="0" borderId="2" xfId="0" applyFont="1" applyBorder="1"/>
    <xf numFmtId="166" fontId="3" fillId="0" borderId="2" xfId="0" applyNumberFormat="1" applyFont="1" applyBorder="1"/>
    <xf numFmtId="10" fontId="0" fillId="0" borderId="0" xfId="2" applyNumberFormat="1" applyFont="1"/>
    <xf numFmtId="168" fontId="3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168" fontId="0" fillId="3" borderId="0" xfId="0" applyNumberForma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right" vertical="center" wrapText="1"/>
    </xf>
    <xf numFmtId="10" fontId="2" fillId="3" borderId="0" xfId="0" applyNumberFormat="1" applyFont="1" applyFill="1" applyAlignment="1">
      <alignment horizontal="right" vertical="center" wrapText="1"/>
    </xf>
    <xf numFmtId="168" fontId="2" fillId="0" borderId="0" xfId="0" applyNumberFormat="1" applyFont="1" applyAlignment="1">
      <alignment wrapText="1"/>
    </xf>
    <xf numFmtId="168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center"/>
    </xf>
    <xf numFmtId="168" fontId="3" fillId="0" borderId="0" xfId="0" applyNumberFormat="1" applyFont="1" applyAlignment="1">
      <alignment horizontal="center"/>
    </xf>
    <xf numFmtId="14" fontId="0" fillId="3" borderId="0" xfId="0" applyNumberFormat="1" applyFill="1"/>
    <xf numFmtId="14" fontId="0" fillId="4" borderId="0" xfId="0" applyNumberFormat="1" applyFill="1"/>
    <xf numFmtId="14" fontId="0" fillId="5" borderId="0" xfId="0" applyNumberFormat="1" applyFill="1"/>
    <xf numFmtId="14" fontId="0" fillId="6" borderId="0" xfId="0" applyNumberFormat="1" applyFill="1"/>
    <xf numFmtId="14" fontId="0" fillId="7" borderId="0" xfId="0" applyNumberFormat="1" applyFill="1"/>
    <xf numFmtId="14" fontId="0" fillId="8" borderId="0" xfId="0" applyNumberFormat="1" applyFill="1"/>
    <xf numFmtId="14" fontId="0" fillId="9" borderId="0" xfId="0" applyNumberFormat="1" applyFill="1"/>
    <xf numFmtId="14" fontId="0" fillId="10" borderId="0" xfId="0" applyNumberFormat="1" applyFill="1"/>
    <xf numFmtId="0" fontId="2" fillId="0" borderId="0" xfId="0" applyFont="1"/>
    <xf numFmtId="14" fontId="0" fillId="11" borderId="0" xfId="0" applyNumberFormat="1" applyFill="1"/>
    <xf numFmtId="0" fontId="1" fillId="0" borderId="0" xfId="0" applyFont="1"/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CC00"/>
      <color rgb="FFCCFF33"/>
      <color rgb="FFB57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ICICI Securities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Abnormal Return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'ICICI Securities'!$A$276:$A$282</c:f>
              <c:numCache>
                <c:formatCode>[$-409]d\-mmm\-yy;@</c:formatCode>
                <c:ptCount val="7"/>
                <c:pt idx="0">
                  <c:v>45103</c:v>
                </c:pt>
                <c:pt idx="1">
                  <c:v>45104</c:v>
                </c:pt>
                <c:pt idx="2">
                  <c:v>45105</c:v>
                </c:pt>
                <c:pt idx="3">
                  <c:v>45107</c:v>
                </c:pt>
                <c:pt idx="4">
                  <c:v>45110</c:v>
                </c:pt>
                <c:pt idx="5">
                  <c:v>45111</c:v>
                </c:pt>
                <c:pt idx="6">
                  <c:v>45112</c:v>
                </c:pt>
              </c:numCache>
            </c:numRef>
          </c:cat>
          <c:val>
            <c:numRef>
              <c:f>'ICICI Securities'!$D$276:$D$282</c:f>
              <c:numCache>
                <c:formatCode>0.00%</c:formatCode>
                <c:ptCount val="7"/>
                <c:pt idx="0">
                  <c:v>0.10446144588030382</c:v>
                </c:pt>
                <c:pt idx="1">
                  <c:v>-2.8255942112986453E-2</c:v>
                </c:pt>
                <c:pt idx="2">
                  <c:v>1.2756302551793736E-2</c:v>
                </c:pt>
                <c:pt idx="3">
                  <c:v>-1.0771435026716193E-2</c:v>
                </c:pt>
                <c:pt idx="4">
                  <c:v>-3.3867150834390133E-3</c:v>
                </c:pt>
                <c:pt idx="5">
                  <c:v>-3.6501421416513494E-3</c:v>
                </c:pt>
                <c:pt idx="6">
                  <c:v>1.210110216279854E-3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6-427C-A0E9-F6E03D62A90B}"/>
            </c:ext>
          </c:extLst>
        </c:ser>
        <c:ser>
          <c:idx val="1"/>
          <c:order val="1"/>
          <c:tx>
            <c:v>Cumulative Abnormal Return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'ICICI Securities'!$A$276:$A$282</c:f>
              <c:numCache>
                <c:formatCode>[$-409]d\-mmm\-yy;@</c:formatCode>
                <c:ptCount val="7"/>
                <c:pt idx="0">
                  <c:v>45103</c:v>
                </c:pt>
                <c:pt idx="1">
                  <c:v>45104</c:v>
                </c:pt>
                <c:pt idx="2">
                  <c:v>45105</c:v>
                </c:pt>
                <c:pt idx="3">
                  <c:v>45107</c:v>
                </c:pt>
                <c:pt idx="4">
                  <c:v>45110</c:v>
                </c:pt>
                <c:pt idx="5">
                  <c:v>45111</c:v>
                </c:pt>
                <c:pt idx="6">
                  <c:v>45112</c:v>
                </c:pt>
              </c:numCache>
            </c:numRef>
          </c:cat>
          <c:val>
            <c:numRef>
              <c:f>'ICICI Securities'!$G$276:$G$282</c:f>
              <c:numCache>
                <c:formatCode>0.00%</c:formatCode>
                <c:ptCount val="7"/>
                <c:pt idx="0">
                  <c:v>0.10446144588030382</c:v>
                </c:pt>
                <c:pt idx="1">
                  <c:v>7.6205503767317356E-2</c:v>
                </c:pt>
                <c:pt idx="2">
                  <c:v>8.8961806319111089E-2</c:v>
                </c:pt>
                <c:pt idx="3">
                  <c:v>7.8190371292394895E-2</c:v>
                </c:pt>
                <c:pt idx="4">
                  <c:v>7.4803656208955877E-2</c:v>
                </c:pt>
                <c:pt idx="5">
                  <c:v>7.1153514067304524E-2</c:v>
                </c:pt>
                <c:pt idx="6">
                  <c:v>7.236362428358438E-2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C6-427C-A0E9-F6E03D62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049695"/>
        <c:axId val="1347035775"/>
      </c:barChart>
      <c:dateAx>
        <c:axId val="1347049695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035775"/>
        <c:crosses val="autoZero"/>
        <c:auto val="1"/>
        <c:lblOffset val="100"/>
        <c:baseTimeUnit val="days"/>
      </c:dateAx>
      <c:valAx>
        <c:axId val="13470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04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ICICI Bank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641327254060324E-2"/>
          <c:y val="6.3070916578707739E-2"/>
          <c:w val="0.85836329833770775"/>
          <c:h val="0.85936181409058188"/>
        </c:manualLayout>
      </c:layout>
      <c:barChart>
        <c:barDir val="col"/>
        <c:grouping val="clustered"/>
        <c:varyColors val="0"/>
        <c:ser>
          <c:idx val="0"/>
          <c:order val="0"/>
          <c:tx>
            <c:v>Abnormal return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'ICICI Bank'!$M$276:$M$282</c:f>
              <c:strCache>
                <c:ptCount val="7"/>
                <c:pt idx="0">
                  <c:v>26-Jun</c:v>
                </c:pt>
                <c:pt idx="1">
                  <c:v>27-Jun</c:v>
                </c:pt>
                <c:pt idx="2">
                  <c:v>28-Jun</c:v>
                </c:pt>
                <c:pt idx="3">
                  <c:v>30-Jun</c:v>
                </c:pt>
                <c:pt idx="4">
                  <c:v>03-Jul</c:v>
                </c:pt>
                <c:pt idx="5">
                  <c:v>04-Jul</c:v>
                </c:pt>
                <c:pt idx="6">
                  <c:v>05-Jul</c:v>
                </c:pt>
              </c:strCache>
            </c:strRef>
          </c:cat>
          <c:val>
            <c:numRef>
              <c:f>'ICICI Bank'!$D$276:$D$282</c:f>
              <c:numCache>
                <c:formatCode>0.00%</c:formatCode>
                <c:ptCount val="7"/>
                <c:pt idx="0">
                  <c:v>4.2805659293756754E-3</c:v>
                </c:pt>
                <c:pt idx="1">
                  <c:v>8.2274009023990367E-3</c:v>
                </c:pt>
                <c:pt idx="2">
                  <c:v>1.0868416179452478E-5</c:v>
                </c:pt>
                <c:pt idx="3">
                  <c:v>-4.6379545958735698E-3</c:v>
                </c:pt>
                <c:pt idx="4">
                  <c:v>6.681409544282757E-3</c:v>
                </c:pt>
                <c:pt idx="5">
                  <c:v>8.7370053924261957E-4</c:v>
                </c:pt>
                <c:pt idx="6">
                  <c:v>1.3102921067025307E-2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D3-4B6B-B7E6-F57D99CB8318}"/>
            </c:ext>
          </c:extLst>
        </c:ser>
        <c:ser>
          <c:idx val="1"/>
          <c:order val="1"/>
          <c:tx>
            <c:v>Cumulative abnormal return</c:v>
          </c:tx>
          <c:spPr>
            <a:solidFill>
              <a:srgbClr val="B57BF5"/>
            </a:solidFill>
            <a:ln>
              <a:noFill/>
            </a:ln>
            <a:effectLst>
              <a:softEdge rad="0"/>
            </a:effectLst>
          </c:spPr>
          <c:invertIfNegative val="0"/>
          <c:cat>
            <c:strRef>
              <c:f>'ICICI Bank'!$M$276:$M$282</c:f>
              <c:strCache>
                <c:ptCount val="7"/>
                <c:pt idx="0">
                  <c:v>26-Jun</c:v>
                </c:pt>
                <c:pt idx="1">
                  <c:v>27-Jun</c:v>
                </c:pt>
                <c:pt idx="2">
                  <c:v>28-Jun</c:v>
                </c:pt>
                <c:pt idx="3">
                  <c:v>30-Jun</c:v>
                </c:pt>
                <c:pt idx="4">
                  <c:v>03-Jul</c:v>
                </c:pt>
                <c:pt idx="5">
                  <c:v>04-Jul</c:v>
                </c:pt>
                <c:pt idx="6">
                  <c:v>05-Jul</c:v>
                </c:pt>
              </c:strCache>
            </c:strRef>
          </c:cat>
          <c:val>
            <c:numRef>
              <c:f>'ICICI Bank'!$G$276:$G$282</c:f>
              <c:numCache>
                <c:formatCode>0.00%</c:formatCode>
                <c:ptCount val="7"/>
                <c:pt idx="0">
                  <c:v>4.2805659293756754E-3</c:v>
                </c:pt>
                <c:pt idx="1">
                  <c:v>1.2507966831774712E-2</c:v>
                </c:pt>
                <c:pt idx="2">
                  <c:v>1.2518835247954165E-2</c:v>
                </c:pt>
                <c:pt idx="3">
                  <c:v>7.8808806520805942E-3</c:v>
                </c:pt>
                <c:pt idx="4">
                  <c:v>1.4562290196363351E-2</c:v>
                </c:pt>
                <c:pt idx="5">
                  <c:v>1.543599073560597E-2</c:v>
                </c:pt>
                <c:pt idx="6">
                  <c:v>2.8538911802631278E-2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D3-4B6B-B7E6-F57D99CB8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-27"/>
        <c:axId val="1261715632"/>
        <c:axId val="1261704112"/>
      </c:barChart>
      <c:catAx>
        <c:axId val="126171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04112"/>
        <c:crosses val="autoZero"/>
        <c:auto val="1"/>
        <c:lblAlgn val="ctr"/>
        <c:lblOffset val="100"/>
        <c:noMultiLvlLbl val="0"/>
      </c:catAx>
      <c:valAx>
        <c:axId val="1261704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71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75197587661094"/>
          <c:y val="0.83218596752896645"/>
          <c:w val="0.20555294867475557"/>
          <c:h val="0.141074850360497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164216436135651E-2"/>
          <c:y val="7.1852295636958427E-2"/>
          <c:w val="0.88093864859249282"/>
          <c:h val="0.88174872850437269"/>
        </c:manualLayout>
      </c:layout>
      <c:lineChart>
        <c:grouping val="standard"/>
        <c:varyColors val="0"/>
        <c:ser>
          <c:idx val="0"/>
          <c:order val="0"/>
          <c:tx>
            <c:v>Icici bank</c:v>
          </c:tx>
          <c:spPr>
            <a:ln w="28575" cap="rnd">
              <a:solidFill>
                <a:srgbClr val="CCFF33"/>
              </a:solidFill>
              <a:round/>
            </a:ln>
            <a:effectLst/>
          </c:spPr>
          <c:marker>
            <c:symbol val="none"/>
          </c:marker>
          <c:cat>
            <c:numRef>
              <c:f>Sheet1!$A$3:$A$1098</c:f>
              <c:numCache>
                <c:formatCode>m/d/yyyy</c:formatCode>
                <c:ptCount val="1096"/>
                <c:pt idx="0">
                  <c:v>44378</c:v>
                </c:pt>
                <c:pt idx="1">
                  <c:v>44379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44385</c:v>
                </c:pt>
                <c:pt idx="6">
                  <c:v>44386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44396</c:v>
                </c:pt>
                <c:pt idx="13">
                  <c:v>44397</c:v>
                </c:pt>
                <c:pt idx="14">
                  <c:v>44399</c:v>
                </c:pt>
                <c:pt idx="15">
                  <c:v>44400</c:v>
                </c:pt>
                <c:pt idx="16">
                  <c:v>44403</c:v>
                </c:pt>
                <c:pt idx="17">
                  <c:v>44404</c:v>
                </c:pt>
                <c:pt idx="18">
                  <c:v>44405</c:v>
                </c:pt>
                <c:pt idx="19">
                  <c:v>44406</c:v>
                </c:pt>
                <c:pt idx="20">
                  <c:v>44407</c:v>
                </c:pt>
                <c:pt idx="21">
                  <c:v>44410</c:v>
                </c:pt>
                <c:pt idx="22">
                  <c:v>44411</c:v>
                </c:pt>
                <c:pt idx="23">
                  <c:v>44412</c:v>
                </c:pt>
                <c:pt idx="24">
                  <c:v>44413</c:v>
                </c:pt>
                <c:pt idx="25">
                  <c:v>44414</c:v>
                </c:pt>
                <c:pt idx="26">
                  <c:v>44417</c:v>
                </c:pt>
                <c:pt idx="27">
                  <c:v>44418</c:v>
                </c:pt>
                <c:pt idx="28">
                  <c:v>44419</c:v>
                </c:pt>
                <c:pt idx="29">
                  <c:v>44420</c:v>
                </c:pt>
                <c:pt idx="30">
                  <c:v>44421</c:v>
                </c:pt>
                <c:pt idx="31">
                  <c:v>44424</c:v>
                </c:pt>
                <c:pt idx="32">
                  <c:v>44425</c:v>
                </c:pt>
                <c:pt idx="33">
                  <c:v>44426</c:v>
                </c:pt>
                <c:pt idx="34">
                  <c:v>44428</c:v>
                </c:pt>
                <c:pt idx="35">
                  <c:v>44431</c:v>
                </c:pt>
                <c:pt idx="36">
                  <c:v>44432</c:v>
                </c:pt>
                <c:pt idx="37">
                  <c:v>44433</c:v>
                </c:pt>
                <c:pt idx="38">
                  <c:v>44434</c:v>
                </c:pt>
                <c:pt idx="39">
                  <c:v>44435</c:v>
                </c:pt>
                <c:pt idx="40">
                  <c:v>44438</c:v>
                </c:pt>
                <c:pt idx="41">
                  <c:v>44439</c:v>
                </c:pt>
                <c:pt idx="42">
                  <c:v>44440</c:v>
                </c:pt>
                <c:pt idx="43">
                  <c:v>44441</c:v>
                </c:pt>
                <c:pt idx="44">
                  <c:v>44442</c:v>
                </c:pt>
                <c:pt idx="45">
                  <c:v>44445</c:v>
                </c:pt>
                <c:pt idx="46">
                  <c:v>44446</c:v>
                </c:pt>
                <c:pt idx="47">
                  <c:v>44447</c:v>
                </c:pt>
                <c:pt idx="48">
                  <c:v>44448</c:v>
                </c:pt>
                <c:pt idx="49">
                  <c:v>44452</c:v>
                </c:pt>
                <c:pt idx="50">
                  <c:v>44453</c:v>
                </c:pt>
                <c:pt idx="51">
                  <c:v>44454</c:v>
                </c:pt>
                <c:pt idx="52">
                  <c:v>44455</c:v>
                </c:pt>
                <c:pt idx="53">
                  <c:v>44456</c:v>
                </c:pt>
                <c:pt idx="54">
                  <c:v>44459</c:v>
                </c:pt>
                <c:pt idx="55">
                  <c:v>44460</c:v>
                </c:pt>
                <c:pt idx="56">
                  <c:v>44461</c:v>
                </c:pt>
                <c:pt idx="57">
                  <c:v>44462</c:v>
                </c:pt>
                <c:pt idx="58">
                  <c:v>44463</c:v>
                </c:pt>
                <c:pt idx="59">
                  <c:v>44466</c:v>
                </c:pt>
                <c:pt idx="60">
                  <c:v>44467</c:v>
                </c:pt>
                <c:pt idx="61">
                  <c:v>44468</c:v>
                </c:pt>
                <c:pt idx="62">
                  <c:v>44469</c:v>
                </c:pt>
                <c:pt idx="63">
                  <c:v>44470</c:v>
                </c:pt>
                <c:pt idx="64">
                  <c:v>44473</c:v>
                </c:pt>
                <c:pt idx="65">
                  <c:v>44474</c:v>
                </c:pt>
                <c:pt idx="66">
                  <c:v>44475</c:v>
                </c:pt>
                <c:pt idx="67">
                  <c:v>44476</c:v>
                </c:pt>
                <c:pt idx="68">
                  <c:v>44477</c:v>
                </c:pt>
                <c:pt idx="69">
                  <c:v>44480</c:v>
                </c:pt>
                <c:pt idx="70">
                  <c:v>44481</c:v>
                </c:pt>
                <c:pt idx="71">
                  <c:v>44482</c:v>
                </c:pt>
                <c:pt idx="72">
                  <c:v>44483</c:v>
                </c:pt>
                <c:pt idx="73">
                  <c:v>44487</c:v>
                </c:pt>
                <c:pt idx="74">
                  <c:v>44488</c:v>
                </c:pt>
                <c:pt idx="75">
                  <c:v>44489</c:v>
                </c:pt>
                <c:pt idx="76">
                  <c:v>44490</c:v>
                </c:pt>
                <c:pt idx="77">
                  <c:v>44491</c:v>
                </c:pt>
                <c:pt idx="78">
                  <c:v>44494</c:v>
                </c:pt>
                <c:pt idx="79">
                  <c:v>44495</c:v>
                </c:pt>
                <c:pt idx="80">
                  <c:v>44496</c:v>
                </c:pt>
                <c:pt idx="81">
                  <c:v>44497</c:v>
                </c:pt>
                <c:pt idx="82">
                  <c:v>44498</c:v>
                </c:pt>
                <c:pt idx="83">
                  <c:v>44501</c:v>
                </c:pt>
                <c:pt idx="84">
                  <c:v>44502</c:v>
                </c:pt>
                <c:pt idx="85">
                  <c:v>44503</c:v>
                </c:pt>
                <c:pt idx="86">
                  <c:v>44504</c:v>
                </c:pt>
                <c:pt idx="87">
                  <c:v>44508</c:v>
                </c:pt>
                <c:pt idx="88">
                  <c:v>44509</c:v>
                </c:pt>
                <c:pt idx="89">
                  <c:v>44510</c:v>
                </c:pt>
                <c:pt idx="90">
                  <c:v>44511</c:v>
                </c:pt>
                <c:pt idx="91">
                  <c:v>44512</c:v>
                </c:pt>
                <c:pt idx="92">
                  <c:v>44515</c:v>
                </c:pt>
                <c:pt idx="93">
                  <c:v>44516</c:v>
                </c:pt>
                <c:pt idx="94">
                  <c:v>44517</c:v>
                </c:pt>
                <c:pt idx="95">
                  <c:v>44518</c:v>
                </c:pt>
                <c:pt idx="96">
                  <c:v>44522</c:v>
                </c:pt>
                <c:pt idx="97">
                  <c:v>44523</c:v>
                </c:pt>
                <c:pt idx="98">
                  <c:v>44524</c:v>
                </c:pt>
                <c:pt idx="99">
                  <c:v>44525</c:v>
                </c:pt>
                <c:pt idx="100">
                  <c:v>44526</c:v>
                </c:pt>
                <c:pt idx="101">
                  <c:v>44529</c:v>
                </c:pt>
                <c:pt idx="102">
                  <c:v>44530</c:v>
                </c:pt>
                <c:pt idx="103">
                  <c:v>44531</c:v>
                </c:pt>
                <c:pt idx="104">
                  <c:v>44532</c:v>
                </c:pt>
                <c:pt idx="105">
                  <c:v>44533</c:v>
                </c:pt>
                <c:pt idx="106">
                  <c:v>44536</c:v>
                </c:pt>
                <c:pt idx="107">
                  <c:v>44537</c:v>
                </c:pt>
                <c:pt idx="108">
                  <c:v>44538</c:v>
                </c:pt>
                <c:pt idx="109">
                  <c:v>44539</c:v>
                </c:pt>
                <c:pt idx="110">
                  <c:v>44540</c:v>
                </c:pt>
                <c:pt idx="111">
                  <c:v>44543</c:v>
                </c:pt>
                <c:pt idx="112">
                  <c:v>44544</c:v>
                </c:pt>
                <c:pt idx="113">
                  <c:v>44545</c:v>
                </c:pt>
                <c:pt idx="114">
                  <c:v>44546</c:v>
                </c:pt>
                <c:pt idx="115">
                  <c:v>44547</c:v>
                </c:pt>
                <c:pt idx="116">
                  <c:v>44550</c:v>
                </c:pt>
                <c:pt idx="117">
                  <c:v>44551</c:v>
                </c:pt>
                <c:pt idx="118">
                  <c:v>44552</c:v>
                </c:pt>
                <c:pt idx="119">
                  <c:v>44553</c:v>
                </c:pt>
                <c:pt idx="120">
                  <c:v>44554</c:v>
                </c:pt>
                <c:pt idx="121">
                  <c:v>44557</c:v>
                </c:pt>
                <c:pt idx="122">
                  <c:v>44558</c:v>
                </c:pt>
                <c:pt idx="123">
                  <c:v>44559</c:v>
                </c:pt>
                <c:pt idx="124">
                  <c:v>44560</c:v>
                </c:pt>
                <c:pt idx="125">
                  <c:v>44561</c:v>
                </c:pt>
                <c:pt idx="126">
                  <c:v>44564</c:v>
                </c:pt>
                <c:pt idx="127">
                  <c:v>44565</c:v>
                </c:pt>
                <c:pt idx="128">
                  <c:v>44566</c:v>
                </c:pt>
                <c:pt idx="129">
                  <c:v>44567</c:v>
                </c:pt>
                <c:pt idx="130">
                  <c:v>44568</c:v>
                </c:pt>
                <c:pt idx="131">
                  <c:v>44571</c:v>
                </c:pt>
                <c:pt idx="132">
                  <c:v>44572</c:v>
                </c:pt>
                <c:pt idx="133">
                  <c:v>44573</c:v>
                </c:pt>
                <c:pt idx="134">
                  <c:v>44574</c:v>
                </c:pt>
                <c:pt idx="135">
                  <c:v>44575</c:v>
                </c:pt>
                <c:pt idx="136">
                  <c:v>44578</c:v>
                </c:pt>
                <c:pt idx="137">
                  <c:v>44579</c:v>
                </c:pt>
                <c:pt idx="138">
                  <c:v>44580</c:v>
                </c:pt>
                <c:pt idx="139">
                  <c:v>44581</c:v>
                </c:pt>
                <c:pt idx="140">
                  <c:v>44582</c:v>
                </c:pt>
                <c:pt idx="141">
                  <c:v>44585</c:v>
                </c:pt>
                <c:pt idx="142">
                  <c:v>44586</c:v>
                </c:pt>
                <c:pt idx="143">
                  <c:v>44588</c:v>
                </c:pt>
                <c:pt idx="144">
                  <c:v>44589</c:v>
                </c:pt>
                <c:pt idx="145">
                  <c:v>44592</c:v>
                </c:pt>
                <c:pt idx="146">
                  <c:v>44593</c:v>
                </c:pt>
                <c:pt idx="147">
                  <c:v>44594</c:v>
                </c:pt>
                <c:pt idx="148">
                  <c:v>44595</c:v>
                </c:pt>
                <c:pt idx="149">
                  <c:v>44596</c:v>
                </c:pt>
                <c:pt idx="150">
                  <c:v>44599</c:v>
                </c:pt>
                <c:pt idx="151">
                  <c:v>44600</c:v>
                </c:pt>
                <c:pt idx="152">
                  <c:v>44601</c:v>
                </c:pt>
                <c:pt idx="153">
                  <c:v>44602</c:v>
                </c:pt>
                <c:pt idx="154">
                  <c:v>44603</c:v>
                </c:pt>
                <c:pt idx="155">
                  <c:v>44606</c:v>
                </c:pt>
                <c:pt idx="156">
                  <c:v>44607</c:v>
                </c:pt>
                <c:pt idx="157">
                  <c:v>44608</c:v>
                </c:pt>
                <c:pt idx="158">
                  <c:v>44609</c:v>
                </c:pt>
                <c:pt idx="159">
                  <c:v>44610</c:v>
                </c:pt>
                <c:pt idx="160">
                  <c:v>44613</c:v>
                </c:pt>
                <c:pt idx="161">
                  <c:v>44614</c:v>
                </c:pt>
                <c:pt idx="162">
                  <c:v>44615</c:v>
                </c:pt>
                <c:pt idx="163">
                  <c:v>44616</c:v>
                </c:pt>
                <c:pt idx="164">
                  <c:v>44617</c:v>
                </c:pt>
                <c:pt idx="165">
                  <c:v>44620</c:v>
                </c:pt>
                <c:pt idx="166">
                  <c:v>44622</c:v>
                </c:pt>
                <c:pt idx="167">
                  <c:v>44623</c:v>
                </c:pt>
                <c:pt idx="168">
                  <c:v>44624</c:v>
                </c:pt>
                <c:pt idx="169">
                  <c:v>44627</c:v>
                </c:pt>
                <c:pt idx="170">
                  <c:v>44628</c:v>
                </c:pt>
                <c:pt idx="171">
                  <c:v>44629</c:v>
                </c:pt>
                <c:pt idx="172">
                  <c:v>44630</c:v>
                </c:pt>
                <c:pt idx="173">
                  <c:v>44631</c:v>
                </c:pt>
                <c:pt idx="174">
                  <c:v>44634</c:v>
                </c:pt>
                <c:pt idx="175">
                  <c:v>44635</c:v>
                </c:pt>
                <c:pt idx="176">
                  <c:v>44636</c:v>
                </c:pt>
                <c:pt idx="177">
                  <c:v>44637</c:v>
                </c:pt>
                <c:pt idx="178">
                  <c:v>44641</c:v>
                </c:pt>
                <c:pt idx="179">
                  <c:v>44642</c:v>
                </c:pt>
                <c:pt idx="180">
                  <c:v>44643</c:v>
                </c:pt>
                <c:pt idx="181">
                  <c:v>44644</c:v>
                </c:pt>
                <c:pt idx="182">
                  <c:v>44645</c:v>
                </c:pt>
                <c:pt idx="183">
                  <c:v>44648</c:v>
                </c:pt>
                <c:pt idx="184">
                  <c:v>44649</c:v>
                </c:pt>
                <c:pt idx="185">
                  <c:v>44650</c:v>
                </c:pt>
                <c:pt idx="186">
                  <c:v>44651</c:v>
                </c:pt>
                <c:pt idx="187">
                  <c:v>44652</c:v>
                </c:pt>
                <c:pt idx="188">
                  <c:v>44655</c:v>
                </c:pt>
                <c:pt idx="189">
                  <c:v>44656</c:v>
                </c:pt>
                <c:pt idx="190">
                  <c:v>44657</c:v>
                </c:pt>
                <c:pt idx="191">
                  <c:v>44658</c:v>
                </c:pt>
                <c:pt idx="192">
                  <c:v>44659</c:v>
                </c:pt>
                <c:pt idx="193">
                  <c:v>44662</c:v>
                </c:pt>
                <c:pt idx="194">
                  <c:v>44663</c:v>
                </c:pt>
                <c:pt idx="195">
                  <c:v>44664</c:v>
                </c:pt>
                <c:pt idx="196">
                  <c:v>44669</c:v>
                </c:pt>
                <c:pt idx="197">
                  <c:v>44670</c:v>
                </c:pt>
                <c:pt idx="198">
                  <c:v>44671</c:v>
                </c:pt>
                <c:pt idx="199">
                  <c:v>44672</c:v>
                </c:pt>
                <c:pt idx="200">
                  <c:v>44673</c:v>
                </c:pt>
                <c:pt idx="201">
                  <c:v>44676</c:v>
                </c:pt>
                <c:pt idx="202">
                  <c:v>44677</c:v>
                </c:pt>
                <c:pt idx="203">
                  <c:v>44678</c:v>
                </c:pt>
                <c:pt idx="204">
                  <c:v>44679</c:v>
                </c:pt>
                <c:pt idx="205">
                  <c:v>44680</c:v>
                </c:pt>
                <c:pt idx="206">
                  <c:v>44683</c:v>
                </c:pt>
                <c:pt idx="207">
                  <c:v>44685</c:v>
                </c:pt>
                <c:pt idx="208">
                  <c:v>44686</c:v>
                </c:pt>
                <c:pt idx="209">
                  <c:v>44687</c:v>
                </c:pt>
                <c:pt idx="210">
                  <c:v>44690</c:v>
                </c:pt>
                <c:pt idx="211">
                  <c:v>44691</c:v>
                </c:pt>
                <c:pt idx="212">
                  <c:v>44692</c:v>
                </c:pt>
                <c:pt idx="213">
                  <c:v>44693</c:v>
                </c:pt>
                <c:pt idx="214">
                  <c:v>44694</c:v>
                </c:pt>
                <c:pt idx="215">
                  <c:v>44697</c:v>
                </c:pt>
                <c:pt idx="216">
                  <c:v>44698</c:v>
                </c:pt>
                <c:pt idx="217">
                  <c:v>44699</c:v>
                </c:pt>
                <c:pt idx="218">
                  <c:v>44700</c:v>
                </c:pt>
                <c:pt idx="219">
                  <c:v>44701</c:v>
                </c:pt>
                <c:pt idx="220">
                  <c:v>44704</c:v>
                </c:pt>
                <c:pt idx="221">
                  <c:v>44705</c:v>
                </c:pt>
                <c:pt idx="222">
                  <c:v>44706</c:v>
                </c:pt>
                <c:pt idx="223">
                  <c:v>44707</c:v>
                </c:pt>
                <c:pt idx="224">
                  <c:v>44708</c:v>
                </c:pt>
                <c:pt idx="225">
                  <c:v>44711</c:v>
                </c:pt>
                <c:pt idx="226">
                  <c:v>44712</c:v>
                </c:pt>
                <c:pt idx="227">
                  <c:v>44713</c:v>
                </c:pt>
                <c:pt idx="228">
                  <c:v>44714</c:v>
                </c:pt>
                <c:pt idx="229">
                  <c:v>44715</c:v>
                </c:pt>
                <c:pt idx="230">
                  <c:v>44718</c:v>
                </c:pt>
                <c:pt idx="231">
                  <c:v>44719</c:v>
                </c:pt>
                <c:pt idx="232">
                  <c:v>44720</c:v>
                </c:pt>
                <c:pt idx="233">
                  <c:v>44721</c:v>
                </c:pt>
                <c:pt idx="234">
                  <c:v>44722</c:v>
                </c:pt>
                <c:pt idx="235">
                  <c:v>44725</c:v>
                </c:pt>
                <c:pt idx="236">
                  <c:v>44726</c:v>
                </c:pt>
                <c:pt idx="237">
                  <c:v>44727</c:v>
                </c:pt>
                <c:pt idx="238">
                  <c:v>44728</c:v>
                </c:pt>
                <c:pt idx="239">
                  <c:v>44729</c:v>
                </c:pt>
                <c:pt idx="240">
                  <c:v>44732</c:v>
                </c:pt>
                <c:pt idx="241">
                  <c:v>44733</c:v>
                </c:pt>
                <c:pt idx="242">
                  <c:v>44734</c:v>
                </c:pt>
                <c:pt idx="243">
                  <c:v>44735</c:v>
                </c:pt>
                <c:pt idx="244">
                  <c:v>44736</c:v>
                </c:pt>
                <c:pt idx="245">
                  <c:v>44739</c:v>
                </c:pt>
                <c:pt idx="246">
                  <c:v>44740</c:v>
                </c:pt>
                <c:pt idx="247">
                  <c:v>44741</c:v>
                </c:pt>
                <c:pt idx="248">
                  <c:v>44742</c:v>
                </c:pt>
                <c:pt idx="249">
                  <c:v>44743</c:v>
                </c:pt>
                <c:pt idx="250">
                  <c:v>44746</c:v>
                </c:pt>
                <c:pt idx="251">
                  <c:v>44747</c:v>
                </c:pt>
                <c:pt idx="252">
                  <c:v>44748</c:v>
                </c:pt>
                <c:pt idx="253">
                  <c:v>44749</c:v>
                </c:pt>
                <c:pt idx="254">
                  <c:v>44750</c:v>
                </c:pt>
                <c:pt idx="255">
                  <c:v>44753</c:v>
                </c:pt>
                <c:pt idx="256">
                  <c:v>44754</c:v>
                </c:pt>
                <c:pt idx="257">
                  <c:v>44755</c:v>
                </c:pt>
                <c:pt idx="258">
                  <c:v>44756</c:v>
                </c:pt>
                <c:pt idx="259">
                  <c:v>44757</c:v>
                </c:pt>
                <c:pt idx="260">
                  <c:v>44760</c:v>
                </c:pt>
                <c:pt idx="261">
                  <c:v>44761</c:v>
                </c:pt>
                <c:pt idx="262">
                  <c:v>44762</c:v>
                </c:pt>
                <c:pt idx="263">
                  <c:v>44763</c:v>
                </c:pt>
                <c:pt idx="264">
                  <c:v>44764</c:v>
                </c:pt>
                <c:pt idx="265">
                  <c:v>44767</c:v>
                </c:pt>
                <c:pt idx="266">
                  <c:v>44768</c:v>
                </c:pt>
                <c:pt idx="267">
                  <c:v>44769</c:v>
                </c:pt>
                <c:pt idx="268">
                  <c:v>44770</c:v>
                </c:pt>
                <c:pt idx="269">
                  <c:v>44771</c:v>
                </c:pt>
                <c:pt idx="270">
                  <c:v>44774</c:v>
                </c:pt>
                <c:pt idx="271">
                  <c:v>44775</c:v>
                </c:pt>
                <c:pt idx="272">
                  <c:v>44776</c:v>
                </c:pt>
                <c:pt idx="273">
                  <c:v>44777</c:v>
                </c:pt>
                <c:pt idx="274">
                  <c:v>44778</c:v>
                </c:pt>
                <c:pt idx="275">
                  <c:v>44781</c:v>
                </c:pt>
                <c:pt idx="276">
                  <c:v>44783</c:v>
                </c:pt>
                <c:pt idx="277">
                  <c:v>44784</c:v>
                </c:pt>
                <c:pt idx="278">
                  <c:v>44785</c:v>
                </c:pt>
                <c:pt idx="279">
                  <c:v>44789</c:v>
                </c:pt>
                <c:pt idx="280">
                  <c:v>44790</c:v>
                </c:pt>
                <c:pt idx="281">
                  <c:v>44791</c:v>
                </c:pt>
                <c:pt idx="282">
                  <c:v>44792</c:v>
                </c:pt>
                <c:pt idx="283">
                  <c:v>44795</c:v>
                </c:pt>
                <c:pt idx="284">
                  <c:v>44796</c:v>
                </c:pt>
                <c:pt idx="285">
                  <c:v>44797</c:v>
                </c:pt>
                <c:pt idx="286">
                  <c:v>44798</c:v>
                </c:pt>
                <c:pt idx="287">
                  <c:v>44799</c:v>
                </c:pt>
                <c:pt idx="288">
                  <c:v>44802</c:v>
                </c:pt>
                <c:pt idx="289">
                  <c:v>44803</c:v>
                </c:pt>
                <c:pt idx="290">
                  <c:v>44805</c:v>
                </c:pt>
                <c:pt idx="291">
                  <c:v>44806</c:v>
                </c:pt>
                <c:pt idx="292">
                  <c:v>44809</c:v>
                </c:pt>
                <c:pt idx="293">
                  <c:v>44810</c:v>
                </c:pt>
                <c:pt idx="294">
                  <c:v>44811</c:v>
                </c:pt>
                <c:pt idx="295">
                  <c:v>44812</c:v>
                </c:pt>
                <c:pt idx="296">
                  <c:v>44813</c:v>
                </c:pt>
                <c:pt idx="297">
                  <c:v>44816</c:v>
                </c:pt>
                <c:pt idx="298">
                  <c:v>44817</c:v>
                </c:pt>
                <c:pt idx="299">
                  <c:v>44818</c:v>
                </c:pt>
                <c:pt idx="300">
                  <c:v>44819</c:v>
                </c:pt>
                <c:pt idx="301">
                  <c:v>44820</c:v>
                </c:pt>
                <c:pt idx="302">
                  <c:v>44823</c:v>
                </c:pt>
                <c:pt idx="303">
                  <c:v>44824</c:v>
                </c:pt>
                <c:pt idx="304">
                  <c:v>44825</c:v>
                </c:pt>
                <c:pt idx="305">
                  <c:v>44826</c:v>
                </c:pt>
                <c:pt idx="306">
                  <c:v>44827</c:v>
                </c:pt>
                <c:pt idx="307">
                  <c:v>44830</c:v>
                </c:pt>
                <c:pt idx="308">
                  <c:v>44831</c:v>
                </c:pt>
                <c:pt idx="309">
                  <c:v>44832</c:v>
                </c:pt>
                <c:pt idx="310">
                  <c:v>44833</c:v>
                </c:pt>
                <c:pt idx="311">
                  <c:v>44834</c:v>
                </c:pt>
                <c:pt idx="312">
                  <c:v>44837</c:v>
                </c:pt>
                <c:pt idx="313">
                  <c:v>44838</c:v>
                </c:pt>
                <c:pt idx="314">
                  <c:v>44840</c:v>
                </c:pt>
                <c:pt idx="315">
                  <c:v>44841</c:v>
                </c:pt>
                <c:pt idx="316">
                  <c:v>44844</c:v>
                </c:pt>
                <c:pt idx="317">
                  <c:v>44845</c:v>
                </c:pt>
                <c:pt idx="318">
                  <c:v>44846</c:v>
                </c:pt>
                <c:pt idx="319">
                  <c:v>44847</c:v>
                </c:pt>
                <c:pt idx="320">
                  <c:v>44848</c:v>
                </c:pt>
                <c:pt idx="321">
                  <c:v>44851</c:v>
                </c:pt>
                <c:pt idx="322">
                  <c:v>44852</c:v>
                </c:pt>
                <c:pt idx="323">
                  <c:v>44853</c:v>
                </c:pt>
                <c:pt idx="324">
                  <c:v>44854</c:v>
                </c:pt>
                <c:pt idx="325">
                  <c:v>44855</c:v>
                </c:pt>
                <c:pt idx="326">
                  <c:v>44858</c:v>
                </c:pt>
                <c:pt idx="327">
                  <c:v>44859</c:v>
                </c:pt>
                <c:pt idx="328">
                  <c:v>44861</c:v>
                </c:pt>
                <c:pt idx="329">
                  <c:v>44862</c:v>
                </c:pt>
                <c:pt idx="330">
                  <c:v>44865</c:v>
                </c:pt>
                <c:pt idx="331">
                  <c:v>44866</c:v>
                </c:pt>
                <c:pt idx="332">
                  <c:v>44867</c:v>
                </c:pt>
                <c:pt idx="333">
                  <c:v>44868</c:v>
                </c:pt>
                <c:pt idx="334">
                  <c:v>44869</c:v>
                </c:pt>
                <c:pt idx="335">
                  <c:v>44872</c:v>
                </c:pt>
                <c:pt idx="336">
                  <c:v>44874</c:v>
                </c:pt>
                <c:pt idx="337">
                  <c:v>44875</c:v>
                </c:pt>
                <c:pt idx="338">
                  <c:v>44876</c:v>
                </c:pt>
                <c:pt idx="339">
                  <c:v>44879</c:v>
                </c:pt>
                <c:pt idx="340">
                  <c:v>44880</c:v>
                </c:pt>
                <c:pt idx="341">
                  <c:v>44881</c:v>
                </c:pt>
                <c:pt idx="342">
                  <c:v>44882</c:v>
                </c:pt>
                <c:pt idx="343">
                  <c:v>44883</c:v>
                </c:pt>
                <c:pt idx="344">
                  <c:v>44886</c:v>
                </c:pt>
                <c:pt idx="345">
                  <c:v>44887</c:v>
                </c:pt>
                <c:pt idx="346">
                  <c:v>44888</c:v>
                </c:pt>
                <c:pt idx="347">
                  <c:v>44889</c:v>
                </c:pt>
                <c:pt idx="348">
                  <c:v>44890</c:v>
                </c:pt>
                <c:pt idx="349">
                  <c:v>44893</c:v>
                </c:pt>
                <c:pt idx="350">
                  <c:v>44894</c:v>
                </c:pt>
                <c:pt idx="351">
                  <c:v>44895</c:v>
                </c:pt>
                <c:pt idx="352">
                  <c:v>44896</c:v>
                </c:pt>
                <c:pt idx="353">
                  <c:v>44897</c:v>
                </c:pt>
                <c:pt idx="354">
                  <c:v>44900</c:v>
                </c:pt>
                <c:pt idx="355">
                  <c:v>44901</c:v>
                </c:pt>
                <c:pt idx="356">
                  <c:v>44902</c:v>
                </c:pt>
                <c:pt idx="357">
                  <c:v>44903</c:v>
                </c:pt>
                <c:pt idx="358">
                  <c:v>44904</c:v>
                </c:pt>
                <c:pt idx="359">
                  <c:v>44907</c:v>
                </c:pt>
                <c:pt idx="360">
                  <c:v>44908</c:v>
                </c:pt>
                <c:pt idx="361">
                  <c:v>44909</c:v>
                </c:pt>
                <c:pt idx="362">
                  <c:v>44910</c:v>
                </c:pt>
                <c:pt idx="363">
                  <c:v>44911</c:v>
                </c:pt>
                <c:pt idx="364">
                  <c:v>44914</c:v>
                </c:pt>
                <c:pt idx="365">
                  <c:v>44915</c:v>
                </c:pt>
                <c:pt idx="366">
                  <c:v>44916</c:v>
                </c:pt>
                <c:pt idx="367">
                  <c:v>44917</c:v>
                </c:pt>
                <c:pt idx="368">
                  <c:v>44918</c:v>
                </c:pt>
                <c:pt idx="369">
                  <c:v>44921</c:v>
                </c:pt>
                <c:pt idx="370">
                  <c:v>44922</c:v>
                </c:pt>
                <c:pt idx="371">
                  <c:v>44923</c:v>
                </c:pt>
                <c:pt idx="372">
                  <c:v>44924</c:v>
                </c:pt>
                <c:pt idx="373">
                  <c:v>44925</c:v>
                </c:pt>
                <c:pt idx="374">
                  <c:v>44928</c:v>
                </c:pt>
                <c:pt idx="375">
                  <c:v>44929</c:v>
                </c:pt>
                <c:pt idx="376">
                  <c:v>44930</c:v>
                </c:pt>
                <c:pt idx="377">
                  <c:v>44931</c:v>
                </c:pt>
                <c:pt idx="378">
                  <c:v>44932</c:v>
                </c:pt>
                <c:pt idx="379">
                  <c:v>44935</c:v>
                </c:pt>
                <c:pt idx="380">
                  <c:v>44936</c:v>
                </c:pt>
                <c:pt idx="381">
                  <c:v>44937</c:v>
                </c:pt>
                <c:pt idx="382">
                  <c:v>44938</c:v>
                </c:pt>
                <c:pt idx="383">
                  <c:v>44939</c:v>
                </c:pt>
                <c:pt idx="384">
                  <c:v>44942</c:v>
                </c:pt>
                <c:pt idx="385">
                  <c:v>44943</c:v>
                </c:pt>
                <c:pt idx="386">
                  <c:v>44944</c:v>
                </c:pt>
                <c:pt idx="387">
                  <c:v>44945</c:v>
                </c:pt>
                <c:pt idx="388">
                  <c:v>44946</c:v>
                </c:pt>
                <c:pt idx="389">
                  <c:v>44949</c:v>
                </c:pt>
                <c:pt idx="390">
                  <c:v>44950</c:v>
                </c:pt>
                <c:pt idx="391">
                  <c:v>44951</c:v>
                </c:pt>
                <c:pt idx="392">
                  <c:v>44953</c:v>
                </c:pt>
                <c:pt idx="393">
                  <c:v>44956</c:v>
                </c:pt>
                <c:pt idx="394">
                  <c:v>44957</c:v>
                </c:pt>
                <c:pt idx="395">
                  <c:v>44958</c:v>
                </c:pt>
                <c:pt idx="396">
                  <c:v>44959</c:v>
                </c:pt>
                <c:pt idx="397">
                  <c:v>44960</c:v>
                </c:pt>
                <c:pt idx="398">
                  <c:v>44963</c:v>
                </c:pt>
                <c:pt idx="399">
                  <c:v>44964</c:v>
                </c:pt>
                <c:pt idx="400">
                  <c:v>44965</c:v>
                </c:pt>
                <c:pt idx="401">
                  <c:v>44966</c:v>
                </c:pt>
                <c:pt idx="402">
                  <c:v>44967</c:v>
                </c:pt>
                <c:pt idx="403">
                  <c:v>44970</c:v>
                </c:pt>
                <c:pt idx="404">
                  <c:v>44971</c:v>
                </c:pt>
                <c:pt idx="405">
                  <c:v>44972</c:v>
                </c:pt>
                <c:pt idx="406">
                  <c:v>44973</c:v>
                </c:pt>
                <c:pt idx="407">
                  <c:v>44974</c:v>
                </c:pt>
                <c:pt idx="408">
                  <c:v>44977</c:v>
                </c:pt>
                <c:pt idx="409">
                  <c:v>44978</c:v>
                </c:pt>
                <c:pt idx="410">
                  <c:v>44979</c:v>
                </c:pt>
                <c:pt idx="411">
                  <c:v>44980</c:v>
                </c:pt>
                <c:pt idx="412">
                  <c:v>44981</c:v>
                </c:pt>
                <c:pt idx="413">
                  <c:v>44984</c:v>
                </c:pt>
                <c:pt idx="414">
                  <c:v>44985</c:v>
                </c:pt>
                <c:pt idx="415">
                  <c:v>44986</c:v>
                </c:pt>
                <c:pt idx="416">
                  <c:v>44987</c:v>
                </c:pt>
                <c:pt idx="417">
                  <c:v>44988</c:v>
                </c:pt>
                <c:pt idx="418">
                  <c:v>44991</c:v>
                </c:pt>
                <c:pt idx="419">
                  <c:v>44993</c:v>
                </c:pt>
                <c:pt idx="420">
                  <c:v>44994</c:v>
                </c:pt>
                <c:pt idx="421">
                  <c:v>44995</c:v>
                </c:pt>
                <c:pt idx="422">
                  <c:v>44998</c:v>
                </c:pt>
                <c:pt idx="423">
                  <c:v>44999</c:v>
                </c:pt>
                <c:pt idx="424">
                  <c:v>45000</c:v>
                </c:pt>
                <c:pt idx="425">
                  <c:v>45001</c:v>
                </c:pt>
                <c:pt idx="426">
                  <c:v>45002</c:v>
                </c:pt>
                <c:pt idx="427">
                  <c:v>45005</c:v>
                </c:pt>
                <c:pt idx="428">
                  <c:v>45006</c:v>
                </c:pt>
                <c:pt idx="429">
                  <c:v>45007</c:v>
                </c:pt>
                <c:pt idx="430">
                  <c:v>45008</c:v>
                </c:pt>
                <c:pt idx="431">
                  <c:v>45009</c:v>
                </c:pt>
                <c:pt idx="432">
                  <c:v>45012</c:v>
                </c:pt>
                <c:pt idx="433">
                  <c:v>45013</c:v>
                </c:pt>
                <c:pt idx="434">
                  <c:v>45014</c:v>
                </c:pt>
                <c:pt idx="435">
                  <c:v>45016</c:v>
                </c:pt>
                <c:pt idx="436">
                  <c:v>45019</c:v>
                </c:pt>
                <c:pt idx="437">
                  <c:v>45021</c:v>
                </c:pt>
                <c:pt idx="438">
                  <c:v>45022</c:v>
                </c:pt>
                <c:pt idx="439">
                  <c:v>45026</c:v>
                </c:pt>
                <c:pt idx="440">
                  <c:v>45027</c:v>
                </c:pt>
                <c:pt idx="441">
                  <c:v>45028</c:v>
                </c:pt>
                <c:pt idx="442">
                  <c:v>45029</c:v>
                </c:pt>
                <c:pt idx="443">
                  <c:v>45033</c:v>
                </c:pt>
                <c:pt idx="444">
                  <c:v>45034</c:v>
                </c:pt>
                <c:pt idx="445">
                  <c:v>45035</c:v>
                </c:pt>
                <c:pt idx="446">
                  <c:v>45036</c:v>
                </c:pt>
                <c:pt idx="447">
                  <c:v>45037</c:v>
                </c:pt>
                <c:pt idx="448">
                  <c:v>45040</c:v>
                </c:pt>
                <c:pt idx="449">
                  <c:v>45041</c:v>
                </c:pt>
                <c:pt idx="450">
                  <c:v>45042</c:v>
                </c:pt>
                <c:pt idx="451">
                  <c:v>45043</c:v>
                </c:pt>
                <c:pt idx="452">
                  <c:v>45044</c:v>
                </c:pt>
                <c:pt idx="453">
                  <c:v>45048</c:v>
                </c:pt>
                <c:pt idx="454">
                  <c:v>45049</c:v>
                </c:pt>
                <c:pt idx="455">
                  <c:v>45050</c:v>
                </c:pt>
                <c:pt idx="456">
                  <c:v>45051</c:v>
                </c:pt>
                <c:pt idx="457">
                  <c:v>45054</c:v>
                </c:pt>
                <c:pt idx="458">
                  <c:v>45055</c:v>
                </c:pt>
                <c:pt idx="459">
                  <c:v>45056</c:v>
                </c:pt>
                <c:pt idx="460">
                  <c:v>45057</c:v>
                </c:pt>
                <c:pt idx="461">
                  <c:v>45058</c:v>
                </c:pt>
                <c:pt idx="462">
                  <c:v>45061</c:v>
                </c:pt>
                <c:pt idx="463">
                  <c:v>45062</c:v>
                </c:pt>
                <c:pt idx="464">
                  <c:v>45063</c:v>
                </c:pt>
                <c:pt idx="465">
                  <c:v>45064</c:v>
                </c:pt>
                <c:pt idx="466">
                  <c:v>45065</c:v>
                </c:pt>
                <c:pt idx="467">
                  <c:v>45068</c:v>
                </c:pt>
                <c:pt idx="468">
                  <c:v>45069</c:v>
                </c:pt>
                <c:pt idx="469">
                  <c:v>45070</c:v>
                </c:pt>
                <c:pt idx="470">
                  <c:v>45071</c:v>
                </c:pt>
                <c:pt idx="471">
                  <c:v>45072</c:v>
                </c:pt>
                <c:pt idx="472">
                  <c:v>45075</c:v>
                </c:pt>
                <c:pt idx="473">
                  <c:v>45076</c:v>
                </c:pt>
                <c:pt idx="474">
                  <c:v>45077</c:v>
                </c:pt>
                <c:pt idx="475">
                  <c:v>45078</c:v>
                </c:pt>
                <c:pt idx="476">
                  <c:v>45079</c:v>
                </c:pt>
                <c:pt idx="477">
                  <c:v>45082</c:v>
                </c:pt>
                <c:pt idx="478">
                  <c:v>45083</c:v>
                </c:pt>
                <c:pt idx="479">
                  <c:v>45084</c:v>
                </c:pt>
                <c:pt idx="480">
                  <c:v>45085</c:v>
                </c:pt>
                <c:pt idx="481">
                  <c:v>45086</c:v>
                </c:pt>
                <c:pt idx="482">
                  <c:v>45089</c:v>
                </c:pt>
                <c:pt idx="483">
                  <c:v>45090</c:v>
                </c:pt>
                <c:pt idx="484">
                  <c:v>45091</c:v>
                </c:pt>
                <c:pt idx="485">
                  <c:v>45092</c:v>
                </c:pt>
                <c:pt idx="486">
                  <c:v>45093</c:v>
                </c:pt>
                <c:pt idx="487">
                  <c:v>45096</c:v>
                </c:pt>
                <c:pt idx="488">
                  <c:v>45097</c:v>
                </c:pt>
                <c:pt idx="489">
                  <c:v>45098</c:v>
                </c:pt>
                <c:pt idx="490">
                  <c:v>45099</c:v>
                </c:pt>
                <c:pt idx="491">
                  <c:v>45100</c:v>
                </c:pt>
                <c:pt idx="492">
                  <c:v>45103</c:v>
                </c:pt>
                <c:pt idx="493">
                  <c:v>45104</c:v>
                </c:pt>
                <c:pt idx="494">
                  <c:v>45105</c:v>
                </c:pt>
                <c:pt idx="495">
                  <c:v>45107</c:v>
                </c:pt>
                <c:pt idx="496">
                  <c:v>45110</c:v>
                </c:pt>
                <c:pt idx="497">
                  <c:v>45111</c:v>
                </c:pt>
                <c:pt idx="498">
                  <c:v>45112</c:v>
                </c:pt>
                <c:pt idx="499">
                  <c:v>45113</c:v>
                </c:pt>
                <c:pt idx="500">
                  <c:v>45114</c:v>
                </c:pt>
                <c:pt idx="501">
                  <c:v>45117</c:v>
                </c:pt>
                <c:pt idx="502">
                  <c:v>45118</c:v>
                </c:pt>
                <c:pt idx="503">
                  <c:v>45119</c:v>
                </c:pt>
                <c:pt idx="504">
                  <c:v>45120</c:v>
                </c:pt>
                <c:pt idx="505">
                  <c:v>45121</c:v>
                </c:pt>
                <c:pt idx="506">
                  <c:v>45124</c:v>
                </c:pt>
                <c:pt idx="507">
                  <c:v>45125</c:v>
                </c:pt>
                <c:pt idx="508">
                  <c:v>45126</c:v>
                </c:pt>
                <c:pt idx="509">
                  <c:v>45127</c:v>
                </c:pt>
                <c:pt idx="510">
                  <c:v>45128</c:v>
                </c:pt>
                <c:pt idx="511">
                  <c:v>45131</c:v>
                </c:pt>
                <c:pt idx="512">
                  <c:v>45132</c:v>
                </c:pt>
                <c:pt idx="513">
                  <c:v>45133</c:v>
                </c:pt>
                <c:pt idx="514">
                  <c:v>45134</c:v>
                </c:pt>
                <c:pt idx="515">
                  <c:v>45135</c:v>
                </c:pt>
                <c:pt idx="516">
                  <c:v>45138</c:v>
                </c:pt>
                <c:pt idx="517">
                  <c:v>45139</c:v>
                </c:pt>
                <c:pt idx="518">
                  <c:v>45140</c:v>
                </c:pt>
                <c:pt idx="519">
                  <c:v>45141</c:v>
                </c:pt>
                <c:pt idx="520">
                  <c:v>45142</c:v>
                </c:pt>
                <c:pt idx="521">
                  <c:v>45145</c:v>
                </c:pt>
                <c:pt idx="522">
                  <c:v>45146</c:v>
                </c:pt>
                <c:pt idx="523">
                  <c:v>45147</c:v>
                </c:pt>
                <c:pt idx="524">
                  <c:v>45148</c:v>
                </c:pt>
                <c:pt idx="525">
                  <c:v>45149</c:v>
                </c:pt>
                <c:pt idx="526">
                  <c:v>45152</c:v>
                </c:pt>
                <c:pt idx="527">
                  <c:v>45154</c:v>
                </c:pt>
                <c:pt idx="528">
                  <c:v>45155</c:v>
                </c:pt>
                <c:pt idx="529">
                  <c:v>45156</c:v>
                </c:pt>
                <c:pt idx="530">
                  <c:v>45159</c:v>
                </c:pt>
                <c:pt idx="531">
                  <c:v>45160</c:v>
                </c:pt>
                <c:pt idx="532">
                  <c:v>45161</c:v>
                </c:pt>
                <c:pt idx="533">
                  <c:v>45162</c:v>
                </c:pt>
                <c:pt idx="534">
                  <c:v>45163</c:v>
                </c:pt>
                <c:pt idx="535">
                  <c:v>45166</c:v>
                </c:pt>
                <c:pt idx="536">
                  <c:v>45167</c:v>
                </c:pt>
                <c:pt idx="537">
                  <c:v>45168</c:v>
                </c:pt>
                <c:pt idx="538">
                  <c:v>45169</c:v>
                </c:pt>
                <c:pt idx="539">
                  <c:v>45170</c:v>
                </c:pt>
                <c:pt idx="540">
                  <c:v>45173</c:v>
                </c:pt>
                <c:pt idx="541">
                  <c:v>45174</c:v>
                </c:pt>
                <c:pt idx="542">
                  <c:v>45175</c:v>
                </c:pt>
                <c:pt idx="543">
                  <c:v>45176</c:v>
                </c:pt>
                <c:pt idx="544">
                  <c:v>45177</c:v>
                </c:pt>
                <c:pt idx="545">
                  <c:v>45180</c:v>
                </c:pt>
                <c:pt idx="546">
                  <c:v>45181</c:v>
                </c:pt>
                <c:pt idx="547">
                  <c:v>45182</c:v>
                </c:pt>
                <c:pt idx="548">
                  <c:v>45183</c:v>
                </c:pt>
                <c:pt idx="549">
                  <c:v>45184</c:v>
                </c:pt>
                <c:pt idx="550">
                  <c:v>45187</c:v>
                </c:pt>
                <c:pt idx="551">
                  <c:v>45189</c:v>
                </c:pt>
                <c:pt idx="552">
                  <c:v>45190</c:v>
                </c:pt>
                <c:pt idx="553">
                  <c:v>45191</c:v>
                </c:pt>
                <c:pt idx="554">
                  <c:v>45194</c:v>
                </c:pt>
                <c:pt idx="555">
                  <c:v>45195</c:v>
                </c:pt>
                <c:pt idx="556">
                  <c:v>45196</c:v>
                </c:pt>
                <c:pt idx="557">
                  <c:v>45197</c:v>
                </c:pt>
                <c:pt idx="558">
                  <c:v>45198</c:v>
                </c:pt>
                <c:pt idx="559">
                  <c:v>45202</c:v>
                </c:pt>
                <c:pt idx="560">
                  <c:v>45203</c:v>
                </c:pt>
                <c:pt idx="561">
                  <c:v>45204</c:v>
                </c:pt>
                <c:pt idx="562">
                  <c:v>45205</c:v>
                </c:pt>
                <c:pt idx="563">
                  <c:v>45208</c:v>
                </c:pt>
                <c:pt idx="564">
                  <c:v>45209</c:v>
                </c:pt>
                <c:pt idx="565">
                  <c:v>45210</c:v>
                </c:pt>
                <c:pt idx="566">
                  <c:v>45211</c:v>
                </c:pt>
                <c:pt idx="567">
                  <c:v>45212</c:v>
                </c:pt>
                <c:pt idx="568">
                  <c:v>45215</c:v>
                </c:pt>
                <c:pt idx="569">
                  <c:v>45216</c:v>
                </c:pt>
                <c:pt idx="570">
                  <c:v>45217</c:v>
                </c:pt>
                <c:pt idx="571">
                  <c:v>45218</c:v>
                </c:pt>
                <c:pt idx="572">
                  <c:v>45219</c:v>
                </c:pt>
                <c:pt idx="573">
                  <c:v>45222</c:v>
                </c:pt>
                <c:pt idx="574">
                  <c:v>45224</c:v>
                </c:pt>
                <c:pt idx="575">
                  <c:v>45225</c:v>
                </c:pt>
                <c:pt idx="576">
                  <c:v>45226</c:v>
                </c:pt>
                <c:pt idx="577">
                  <c:v>45229</c:v>
                </c:pt>
                <c:pt idx="578">
                  <c:v>45230</c:v>
                </c:pt>
                <c:pt idx="579">
                  <c:v>45231</c:v>
                </c:pt>
                <c:pt idx="580">
                  <c:v>45232</c:v>
                </c:pt>
                <c:pt idx="581">
                  <c:v>45233</c:v>
                </c:pt>
                <c:pt idx="582">
                  <c:v>45236</c:v>
                </c:pt>
                <c:pt idx="583">
                  <c:v>45237</c:v>
                </c:pt>
                <c:pt idx="584">
                  <c:v>45238</c:v>
                </c:pt>
                <c:pt idx="585">
                  <c:v>45239</c:v>
                </c:pt>
                <c:pt idx="586">
                  <c:v>45240</c:v>
                </c:pt>
                <c:pt idx="587">
                  <c:v>45242</c:v>
                </c:pt>
                <c:pt idx="588">
                  <c:v>45243</c:v>
                </c:pt>
                <c:pt idx="589">
                  <c:v>45245</c:v>
                </c:pt>
                <c:pt idx="590">
                  <c:v>45246</c:v>
                </c:pt>
                <c:pt idx="591">
                  <c:v>45247</c:v>
                </c:pt>
                <c:pt idx="592">
                  <c:v>45250</c:v>
                </c:pt>
                <c:pt idx="593">
                  <c:v>45251</c:v>
                </c:pt>
                <c:pt idx="594">
                  <c:v>45252</c:v>
                </c:pt>
                <c:pt idx="595">
                  <c:v>45253</c:v>
                </c:pt>
                <c:pt idx="596">
                  <c:v>45254</c:v>
                </c:pt>
                <c:pt idx="597">
                  <c:v>45258</c:v>
                </c:pt>
                <c:pt idx="598">
                  <c:v>45259</c:v>
                </c:pt>
                <c:pt idx="599">
                  <c:v>45260</c:v>
                </c:pt>
                <c:pt idx="600">
                  <c:v>45261</c:v>
                </c:pt>
                <c:pt idx="601">
                  <c:v>45264</c:v>
                </c:pt>
                <c:pt idx="602">
                  <c:v>45265</c:v>
                </c:pt>
                <c:pt idx="603">
                  <c:v>45266</c:v>
                </c:pt>
                <c:pt idx="604">
                  <c:v>45267</c:v>
                </c:pt>
                <c:pt idx="605">
                  <c:v>45268</c:v>
                </c:pt>
                <c:pt idx="606">
                  <c:v>45271</c:v>
                </c:pt>
                <c:pt idx="607">
                  <c:v>45272</c:v>
                </c:pt>
                <c:pt idx="608">
                  <c:v>45273</c:v>
                </c:pt>
                <c:pt idx="609">
                  <c:v>45274</c:v>
                </c:pt>
                <c:pt idx="610">
                  <c:v>45275</c:v>
                </c:pt>
                <c:pt idx="611">
                  <c:v>45278</c:v>
                </c:pt>
                <c:pt idx="612">
                  <c:v>45279</c:v>
                </c:pt>
                <c:pt idx="613">
                  <c:v>45280</c:v>
                </c:pt>
                <c:pt idx="614">
                  <c:v>45281</c:v>
                </c:pt>
                <c:pt idx="615">
                  <c:v>45282</c:v>
                </c:pt>
                <c:pt idx="616">
                  <c:v>45286</c:v>
                </c:pt>
                <c:pt idx="617">
                  <c:v>45287</c:v>
                </c:pt>
                <c:pt idx="618">
                  <c:v>45288</c:v>
                </c:pt>
                <c:pt idx="619">
                  <c:v>45289</c:v>
                </c:pt>
                <c:pt idx="620">
                  <c:v>45292</c:v>
                </c:pt>
                <c:pt idx="621">
                  <c:v>45293</c:v>
                </c:pt>
                <c:pt idx="622">
                  <c:v>45294</c:v>
                </c:pt>
                <c:pt idx="623">
                  <c:v>45295</c:v>
                </c:pt>
                <c:pt idx="624">
                  <c:v>45296</c:v>
                </c:pt>
                <c:pt idx="625">
                  <c:v>45299</c:v>
                </c:pt>
                <c:pt idx="626">
                  <c:v>45300</c:v>
                </c:pt>
                <c:pt idx="627">
                  <c:v>45301</c:v>
                </c:pt>
                <c:pt idx="628">
                  <c:v>45302</c:v>
                </c:pt>
                <c:pt idx="629">
                  <c:v>45303</c:v>
                </c:pt>
                <c:pt idx="630">
                  <c:v>45306</c:v>
                </c:pt>
                <c:pt idx="631">
                  <c:v>45307</c:v>
                </c:pt>
                <c:pt idx="632">
                  <c:v>45308</c:v>
                </c:pt>
                <c:pt idx="633">
                  <c:v>45309</c:v>
                </c:pt>
                <c:pt idx="634">
                  <c:v>45310</c:v>
                </c:pt>
                <c:pt idx="635">
                  <c:v>45311</c:v>
                </c:pt>
                <c:pt idx="636">
                  <c:v>45314</c:v>
                </c:pt>
                <c:pt idx="637">
                  <c:v>45315</c:v>
                </c:pt>
                <c:pt idx="638">
                  <c:v>45316</c:v>
                </c:pt>
                <c:pt idx="639">
                  <c:v>45320</c:v>
                </c:pt>
                <c:pt idx="640">
                  <c:v>45321</c:v>
                </c:pt>
                <c:pt idx="641">
                  <c:v>45322</c:v>
                </c:pt>
                <c:pt idx="642">
                  <c:v>45323</c:v>
                </c:pt>
                <c:pt idx="643">
                  <c:v>45324</c:v>
                </c:pt>
                <c:pt idx="644">
                  <c:v>45327</c:v>
                </c:pt>
                <c:pt idx="645">
                  <c:v>45328</c:v>
                </c:pt>
                <c:pt idx="646">
                  <c:v>45329</c:v>
                </c:pt>
                <c:pt idx="647">
                  <c:v>45330</c:v>
                </c:pt>
                <c:pt idx="648">
                  <c:v>45331</c:v>
                </c:pt>
                <c:pt idx="649">
                  <c:v>45334</c:v>
                </c:pt>
                <c:pt idx="650">
                  <c:v>45335</c:v>
                </c:pt>
                <c:pt idx="651">
                  <c:v>45336</c:v>
                </c:pt>
                <c:pt idx="652">
                  <c:v>45337</c:v>
                </c:pt>
                <c:pt idx="653">
                  <c:v>45338</c:v>
                </c:pt>
                <c:pt idx="654">
                  <c:v>45341</c:v>
                </c:pt>
                <c:pt idx="655">
                  <c:v>45342</c:v>
                </c:pt>
                <c:pt idx="656">
                  <c:v>45343</c:v>
                </c:pt>
                <c:pt idx="657">
                  <c:v>45344</c:v>
                </c:pt>
                <c:pt idx="658">
                  <c:v>45345</c:v>
                </c:pt>
                <c:pt idx="659">
                  <c:v>45348</c:v>
                </c:pt>
                <c:pt idx="660">
                  <c:v>45349</c:v>
                </c:pt>
                <c:pt idx="661">
                  <c:v>45350</c:v>
                </c:pt>
                <c:pt idx="662">
                  <c:v>45351</c:v>
                </c:pt>
                <c:pt idx="663">
                  <c:v>45352</c:v>
                </c:pt>
                <c:pt idx="664">
                  <c:v>45353</c:v>
                </c:pt>
                <c:pt idx="665">
                  <c:v>45355</c:v>
                </c:pt>
                <c:pt idx="666">
                  <c:v>45356</c:v>
                </c:pt>
                <c:pt idx="667">
                  <c:v>45357</c:v>
                </c:pt>
                <c:pt idx="668">
                  <c:v>45358</c:v>
                </c:pt>
                <c:pt idx="669">
                  <c:v>45362</c:v>
                </c:pt>
                <c:pt idx="670">
                  <c:v>45363</c:v>
                </c:pt>
                <c:pt idx="671">
                  <c:v>45364</c:v>
                </c:pt>
                <c:pt idx="672">
                  <c:v>45365</c:v>
                </c:pt>
                <c:pt idx="673">
                  <c:v>45366</c:v>
                </c:pt>
                <c:pt idx="674">
                  <c:v>45369</c:v>
                </c:pt>
                <c:pt idx="675">
                  <c:v>45370</c:v>
                </c:pt>
                <c:pt idx="676">
                  <c:v>45371</c:v>
                </c:pt>
                <c:pt idx="677">
                  <c:v>45372</c:v>
                </c:pt>
                <c:pt idx="678">
                  <c:v>45373</c:v>
                </c:pt>
                <c:pt idx="679">
                  <c:v>45377</c:v>
                </c:pt>
                <c:pt idx="680">
                  <c:v>45378</c:v>
                </c:pt>
                <c:pt idx="681">
                  <c:v>45379</c:v>
                </c:pt>
                <c:pt idx="682">
                  <c:v>45383</c:v>
                </c:pt>
                <c:pt idx="683">
                  <c:v>45384</c:v>
                </c:pt>
                <c:pt idx="684">
                  <c:v>45385</c:v>
                </c:pt>
                <c:pt idx="685">
                  <c:v>45386</c:v>
                </c:pt>
                <c:pt idx="686">
                  <c:v>45387</c:v>
                </c:pt>
                <c:pt idx="687">
                  <c:v>45390</c:v>
                </c:pt>
                <c:pt idx="688">
                  <c:v>45391</c:v>
                </c:pt>
                <c:pt idx="689">
                  <c:v>45392</c:v>
                </c:pt>
                <c:pt idx="690">
                  <c:v>45394</c:v>
                </c:pt>
                <c:pt idx="691">
                  <c:v>45397</c:v>
                </c:pt>
                <c:pt idx="692">
                  <c:v>45398</c:v>
                </c:pt>
                <c:pt idx="693">
                  <c:v>45400</c:v>
                </c:pt>
                <c:pt idx="694">
                  <c:v>45401</c:v>
                </c:pt>
                <c:pt idx="695">
                  <c:v>45404</c:v>
                </c:pt>
                <c:pt idx="696">
                  <c:v>45405</c:v>
                </c:pt>
                <c:pt idx="697">
                  <c:v>45406</c:v>
                </c:pt>
                <c:pt idx="698">
                  <c:v>45407</c:v>
                </c:pt>
                <c:pt idx="699">
                  <c:v>45408</c:v>
                </c:pt>
                <c:pt idx="700">
                  <c:v>45411</c:v>
                </c:pt>
                <c:pt idx="701">
                  <c:v>45412</c:v>
                </c:pt>
                <c:pt idx="702">
                  <c:v>45414</c:v>
                </c:pt>
                <c:pt idx="703">
                  <c:v>45415</c:v>
                </c:pt>
                <c:pt idx="704">
                  <c:v>45418</c:v>
                </c:pt>
                <c:pt idx="705">
                  <c:v>45419</c:v>
                </c:pt>
                <c:pt idx="706">
                  <c:v>45420</c:v>
                </c:pt>
                <c:pt idx="707">
                  <c:v>45421</c:v>
                </c:pt>
                <c:pt idx="708">
                  <c:v>45422</c:v>
                </c:pt>
                <c:pt idx="709">
                  <c:v>45425</c:v>
                </c:pt>
                <c:pt idx="710">
                  <c:v>45426</c:v>
                </c:pt>
                <c:pt idx="711">
                  <c:v>45427</c:v>
                </c:pt>
                <c:pt idx="712">
                  <c:v>45428</c:v>
                </c:pt>
                <c:pt idx="713">
                  <c:v>45429</c:v>
                </c:pt>
                <c:pt idx="714">
                  <c:v>45430</c:v>
                </c:pt>
                <c:pt idx="715">
                  <c:v>45433</c:v>
                </c:pt>
                <c:pt idx="716">
                  <c:v>45434</c:v>
                </c:pt>
                <c:pt idx="717">
                  <c:v>45435</c:v>
                </c:pt>
                <c:pt idx="718">
                  <c:v>45436</c:v>
                </c:pt>
                <c:pt idx="719">
                  <c:v>45439</c:v>
                </c:pt>
                <c:pt idx="720">
                  <c:v>45440</c:v>
                </c:pt>
                <c:pt idx="721">
                  <c:v>45441</c:v>
                </c:pt>
                <c:pt idx="722">
                  <c:v>45442</c:v>
                </c:pt>
                <c:pt idx="723">
                  <c:v>45443</c:v>
                </c:pt>
                <c:pt idx="724">
                  <c:v>45446</c:v>
                </c:pt>
                <c:pt idx="725">
                  <c:v>45447</c:v>
                </c:pt>
                <c:pt idx="726">
                  <c:v>45448</c:v>
                </c:pt>
                <c:pt idx="727">
                  <c:v>45449</c:v>
                </c:pt>
                <c:pt idx="728">
                  <c:v>45450</c:v>
                </c:pt>
                <c:pt idx="729">
                  <c:v>45453</c:v>
                </c:pt>
                <c:pt idx="730">
                  <c:v>45454</c:v>
                </c:pt>
                <c:pt idx="731">
                  <c:v>45455</c:v>
                </c:pt>
                <c:pt idx="732">
                  <c:v>45456</c:v>
                </c:pt>
                <c:pt idx="733">
                  <c:v>45457</c:v>
                </c:pt>
                <c:pt idx="734">
                  <c:v>45461</c:v>
                </c:pt>
                <c:pt idx="735">
                  <c:v>45462</c:v>
                </c:pt>
                <c:pt idx="736">
                  <c:v>45463</c:v>
                </c:pt>
                <c:pt idx="737">
                  <c:v>45464</c:v>
                </c:pt>
                <c:pt idx="738">
                  <c:v>45467</c:v>
                </c:pt>
                <c:pt idx="739">
                  <c:v>45468</c:v>
                </c:pt>
                <c:pt idx="740">
                  <c:v>45469</c:v>
                </c:pt>
                <c:pt idx="741">
                  <c:v>45470</c:v>
                </c:pt>
                <c:pt idx="742">
                  <c:v>45471</c:v>
                </c:pt>
                <c:pt idx="743">
                  <c:v>45474</c:v>
                </c:pt>
                <c:pt idx="744">
                  <c:v>45475</c:v>
                </c:pt>
                <c:pt idx="745">
                  <c:v>45476</c:v>
                </c:pt>
                <c:pt idx="746">
                  <c:v>45477</c:v>
                </c:pt>
                <c:pt idx="747">
                  <c:v>45478</c:v>
                </c:pt>
                <c:pt idx="748">
                  <c:v>45481</c:v>
                </c:pt>
                <c:pt idx="749">
                  <c:v>45482</c:v>
                </c:pt>
                <c:pt idx="750">
                  <c:v>45483</c:v>
                </c:pt>
                <c:pt idx="751">
                  <c:v>45484</c:v>
                </c:pt>
                <c:pt idx="752">
                  <c:v>45485</c:v>
                </c:pt>
                <c:pt idx="753">
                  <c:v>45488</c:v>
                </c:pt>
                <c:pt idx="754">
                  <c:v>45489</c:v>
                </c:pt>
                <c:pt idx="755">
                  <c:v>45491</c:v>
                </c:pt>
                <c:pt idx="756">
                  <c:v>45492</c:v>
                </c:pt>
                <c:pt idx="757">
                  <c:v>45495</c:v>
                </c:pt>
                <c:pt idx="758">
                  <c:v>45496</c:v>
                </c:pt>
                <c:pt idx="759">
                  <c:v>45497</c:v>
                </c:pt>
                <c:pt idx="760">
                  <c:v>45498</c:v>
                </c:pt>
                <c:pt idx="761">
                  <c:v>45499</c:v>
                </c:pt>
                <c:pt idx="762">
                  <c:v>45502</c:v>
                </c:pt>
                <c:pt idx="763">
                  <c:v>45503</c:v>
                </c:pt>
                <c:pt idx="764">
                  <c:v>45504</c:v>
                </c:pt>
                <c:pt idx="765">
                  <c:v>45505</c:v>
                </c:pt>
                <c:pt idx="766">
                  <c:v>45506</c:v>
                </c:pt>
                <c:pt idx="767">
                  <c:v>45509</c:v>
                </c:pt>
                <c:pt idx="768">
                  <c:v>45510</c:v>
                </c:pt>
                <c:pt idx="769">
                  <c:v>45511</c:v>
                </c:pt>
                <c:pt idx="770">
                  <c:v>45512</c:v>
                </c:pt>
                <c:pt idx="771">
                  <c:v>45513</c:v>
                </c:pt>
                <c:pt idx="772">
                  <c:v>45516</c:v>
                </c:pt>
                <c:pt idx="773">
                  <c:v>45517</c:v>
                </c:pt>
                <c:pt idx="774">
                  <c:v>45518</c:v>
                </c:pt>
                <c:pt idx="775">
                  <c:v>45520</c:v>
                </c:pt>
                <c:pt idx="776">
                  <c:v>45523</c:v>
                </c:pt>
                <c:pt idx="777">
                  <c:v>45524</c:v>
                </c:pt>
                <c:pt idx="778">
                  <c:v>45525</c:v>
                </c:pt>
                <c:pt idx="779">
                  <c:v>45526</c:v>
                </c:pt>
                <c:pt idx="780">
                  <c:v>45527</c:v>
                </c:pt>
                <c:pt idx="781">
                  <c:v>45530</c:v>
                </c:pt>
                <c:pt idx="782">
                  <c:v>45531</c:v>
                </c:pt>
                <c:pt idx="783">
                  <c:v>45532</c:v>
                </c:pt>
                <c:pt idx="784">
                  <c:v>45533</c:v>
                </c:pt>
                <c:pt idx="785">
                  <c:v>45534</c:v>
                </c:pt>
                <c:pt idx="786">
                  <c:v>45537</c:v>
                </c:pt>
                <c:pt idx="787">
                  <c:v>45538</c:v>
                </c:pt>
                <c:pt idx="788">
                  <c:v>45539</c:v>
                </c:pt>
                <c:pt idx="789">
                  <c:v>45540</c:v>
                </c:pt>
                <c:pt idx="790">
                  <c:v>45541</c:v>
                </c:pt>
                <c:pt idx="791">
                  <c:v>45544</c:v>
                </c:pt>
                <c:pt idx="792">
                  <c:v>45545</c:v>
                </c:pt>
                <c:pt idx="793">
                  <c:v>45546</c:v>
                </c:pt>
                <c:pt idx="794">
                  <c:v>45547</c:v>
                </c:pt>
                <c:pt idx="795">
                  <c:v>45548</c:v>
                </c:pt>
                <c:pt idx="796">
                  <c:v>45551</c:v>
                </c:pt>
                <c:pt idx="797">
                  <c:v>45552</c:v>
                </c:pt>
                <c:pt idx="798">
                  <c:v>45553</c:v>
                </c:pt>
                <c:pt idx="799">
                  <c:v>45554</c:v>
                </c:pt>
                <c:pt idx="800">
                  <c:v>45555</c:v>
                </c:pt>
                <c:pt idx="801">
                  <c:v>45558</c:v>
                </c:pt>
                <c:pt idx="802">
                  <c:v>45559</c:v>
                </c:pt>
                <c:pt idx="803">
                  <c:v>45560</c:v>
                </c:pt>
                <c:pt idx="804">
                  <c:v>45561</c:v>
                </c:pt>
                <c:pt idx="805">
                  <c:v>45562</c:v>
                </c:pt>
                <c:pt idx="806">
                  <c:v>45565</c:v>
                </c:pt>
                <c:pt idx="807">
                  <c:v>45566</c:v>
                </c:pt>
                <c:pt idx="808">
                  <c:v>45568</c:v>
                </c:pt>
                <c:pt idx="809">
                  <c:v>45569</c:v>
                </c:pt>
                <c:pt idx="810">
                  <c:v>45572</c:v>
                </c:pt>
                <c:pt idx="811">
                  <c:v>45573</c:v>
                </c:pt>
                <c:pt idx="812">
                  <c:v>45574</c:v>
                </c:pt>
                <c:pt idx="813">
                  <c:v>45575</c:v>
                </c:pt>
                <c:pt idx="814">
                  <c:v>45576</c:v>
                </c:pt>
                <c:pt idx="815">
                  <c:v>45579</c:v>
                </c:pt>
                <c:pt idx="816">
                  <c:v>45580</c:v>
                </c:pt>
                <c:pt idx="817">
                  <c:v>45581</c:v>
                </c:pt>
                <c:pt idx="818">
                  <c:v>45582</c:v>
                </c:pt>
                <c:pt idx="819">
                  <c:v>45583</c:v>
                </c:pt>
                <c:pt idx="820">
                  <c:v>45586</c:v>
                </c:pt>
                <c:pt idx="821">
                  <c:v>45587</c:v>
                </c:pt>
                <c:pt idx="822">
                  <c:v>45588</c:v>
                </c:pt>
                <c:pt idx="823">
                  <c:v>45589</c:v>
                </c:pt>
                <c:pt idx="824">
                  <c:v>45590</c:v>
                </c:pt>
                <c:pt idx="825">
                  <c:v>45593</c:v>
                </c:pt>
                <c:pt idx="826">
                  <c:v>45594</c:v>
                </c:pt>
                <c:pt idx="827">
                  <c:v>45595</c:v>
                </c:pt>
                <c:pt idx="828">
                  <c:v>45596</c:v>
                </c:pt>
                <c:pt idx="829">
                  <c:v>45597</c:v>
                </c:pt>
                <c:pt idx="830">
                  <c:v>45600</c:v>
                </c:pt>
                <c:pt idx="831">
                  <c:v>45601</c:v>
                </c:pt>
                <c:pt idx="832">
                  <c:v>45602</c:v>
                </c:pt>
                <c:pt idx="833">
                  <c:v>45603</c:v>
                </c:pt>
                <c:pt idx="834">
                  <c:v>45604</c:v>
                </c:pt>
                <c:pt idx="835">
                  <c:v>45607</c:v>
                </c:pt>
                <c:pt idx="836">
                  <c:v>45608</c:v>
                </c:pt>
                <c:pt idx="837">
                  <c:v>45609</c:v>
                </c:pt>
                <c:pt idx="838">
                  <c:v>45610</c:v>
                </c:pt>
                <c:pt idx="839">
                  <c:v>45614</c:v>
                </c:pt>
                <c:pt idx="840">
                  <c:v>45615</c:v>
                </c:pt>
                <c:pt idx="841">
                  <c:v>45617</c:v>
                </c:pt>
                <c:pt idx="842">
                  <c:v>45618</c:v>
                </c:pt>
                <c:pt idx="843">
                  <c:v>45621</c:v>
                </c:pt>
                <c:pt idx="844">
                  <c:v>45622</c:v>
                </c:pt>
                <c:pt idx="845">
                  <c:v>45623</c:v>
                </c:pt>
                <c:pt idx="846">
                  <c:v>45624</c:v>
                </c:pt>
                <c:pt idx="847">
                  <c:v>45625</c:v>
                </c:pt>
                <c:pt idx="848">
                  <c:v>45628</c:v>
                </c:pt>
                <c:pt idx="849">
                  <c:v>45629</c:v>
                </c:pt>
                <c:pt idx="850">
                  <c:v>45630</c:v>
                </c:pt>
                <c:pt idx="851">
                  <c:v>45631</c:v>
                </c:pt>
                <c:pt idx="852">
                  <c:v>45632</c:v>
                </c:pt>
                <c:pt idx="853">
                  <c:v>45635</c:v>
                </c:pt>
                <c:pt idx="854">
                  <c:v>45636</c:v>
                </c:pt>
                <c:pt idx="855">
                  <c:v>45637</c:v>
                </c:pt>
                <c:pt idx="856">
                  <c:v>45638</c:v>
                </c:pt>
                <c:pt idx="857">
                  <c:v>45639</c:v>
                </c:pt>
                <c:pt idx="858">
                  <c:v>45642</c:v>
                </c:pt>
                <c:pt idx="859">
                  <c:v>45643</c:v>
                </c:pt>
                <c:pt idx="860">
                  <c:v>45644</c:v>
                </c:pt>
                <c:pt idx="861">
                  <c:v>45645</c:v>
                </c:pt>
                <c:pt idx="862">
                  <c:v>45646</c:v>
                </c:pt>
                <c:pt idx="863">
                  <c:v>45649</c:v>
                </c:pt>
                <c:pt idx="864">
                  <c:v>45650</c:v>
                </c:pt>
                <c:pt idx="865">
                  <c:v>45652</c:v>
                </c:pt>
                <c:pt idx="866">
                  <c:v>45653</c:v>
                </c:pt>
                <c:pt idx="867">
                  <c:v>45656</c:v>
                </c:pt>
                <c:pt idx="868">
                  <c:v>45657</c:v>
                </c:pt>
                <c:pt idx="869">
                  <c:v>45658</c:v>
                </c:pt>
                <c:pt idx="870">
                  <c:v>45659</c:v>
                </c:pt>
                <c:pt idx="871">
                  <c:v>45660</c:v>
                </c:pt>
                <c:pt idx="872">
                  <c:v>45663</c:v>
                </c:pt>
                <c:pt idx="873">
                  <c:v>45664</c:v>
                </c:pt>
                <c:pt idx="874">
                  <c:v>45665</c:v>
                </c:pt>
                <c:pt idx="875">
                  <c:v>45666</c:v>
                </c:pt>
                <c:pt idx="876">
                  <c:v>45667</c:v>
                </c:pt>
                <c:pt idx="877">
                  <c:v>45670</c:v>
                </c:pt>
                <c:pt idx="878">
                  <c:v>45671</c:v>
                </c:pt>
                <c:pt idx="879">
                  <c:v>45672</c:v>
                </c:pt>
                <c:pt idx="880">
                  <c:v>45673</c:v>
                </c:pt>
                <c:pt idx="881">
                  <c:v>45674</c:v>
                </c:pt>
                <c:pt idx="882">
                  <c:v>45677</c:v>
                </c:pt>
                <c:pt idx="883">
                  <c:v>45678</c:v>
                </c:pt>
                <c:pt idx="884">
                  <c:v>45679</c:v>
                </c:pt>
                <c:pt idx="885">
                  <c:v>45680</c:v>
                </c:pt>
                <c:pt idx="886">
                  <c:v>45681</c:v>
                </c:pt>
                <c:pt idx="887">
                  <c:v>45684</c:v>
                </c:pt>
                <c:pt idx="888">
                  <c:v>45685</c:v>
                </c:pt>
                <c:pt idx="889">
                  <c:v>45686</c:v>
                </c:pt>
                <c:pt idx="890">
                  <c:v>45687</c:v>
                </c:pt>
                <c:pt idx="891">
                  <c:v>45688</c:v>
                </c:pt>
                <c:pt idx="892">
                  <c:v>45689</c:v>
                </c:pt>
                <c:pt idx="893">
                  <c:v>45691</c:v>
                </c:pt>
                <c:pt idx="894">
                  <c:v>45692</c:v>
                </c:pt>
                <c:pt idx="895">
                  <c:v>45693</c:v>
                </c:pt>
                <c:pt idx="896">
                  <c:v>45694</c:v>
                </c:pt>
                <c:pt idx="897">
                  <c:v>45695</c:v>
                </c:pt>
                <c:pt idx="898">
                  <c:v>45698</c:v>
                </c:pt>
                <c:pt idx="899">
                  <c:v>45699</c:v>
                </c:pt>
                <c:pt idx="900">
                  <c:v>45700</c:v>
                </c:pt>
                <c:pt idx="901">
                  <c:v>45701</c:v>
                </c:pt>
                <c:pt idx="902">
                  <c:v>45702</c:v>
                </c:pt>
                <c:pt idx="903">
                  <c:v>45705</c:v>
                </c:pt>
                <c:pt idx="904">
                  <c:v>45706</c:v>
                </c:pt>
                <c:pt idx="905">
                  <c:v>45707</c:v>
                </c:pt>
                <c:pt idx="906">
                  <c:v>45708</c:v>
                </c:pt>
                <c:pt idx="907">
                  <c:v>45709</c:v>
                </c:pt>
                <c:pt idx="908">
                  <c:v>45712</c:v>
                </c:pt>
                <c:pt idx="909">
                  <c:v>45713</c:v>
                </c:pt>
                <c:pt idx="910">
                  <c:v>45715</c:v>
                </c:pt>
                <c:pt idx="911">
                  <c:v>45716</c:v>
                </c:pt>
                <c:pt idx="912">
                  <c:v>45719</c:v>
                </c:pt>
                <c:pt idx="913">
                  <c:v>45720</c:v>
                </c:pt>
                <c:pt idx="914">
                  <c:v>45721</c:v>
                </c:pt>
                <c:pt idx="915">
                  <c:v>45722</c:v>
                </c:pt>
                <c:pt idx="916">
                  <c:v>45723</c:v>
                </c:pt>
                <c:pt idx="917">
                  <c:v>45726</c:v>
                </c:pt>
                <c:pt idx="918">
                  <c:v>45727</c:v>
                </c:pt>
                <c:pt idx="919">
                  <c:v>45728</c:v>
                </c:pt>
                <c:pt idx="920">
                  <c:v>45729</c:v>
                </c:pt>
                <c:pt idx="921">
                  <c:v>45733</c:v>
                </c:pt>
                <c:pt idx="922">
                  <c:v>45734</c:v>
                </c:pt>
                <c:pt idx="923">
                  <c:v>45735</c:v>
                </c:pt>
                <c:pt idx="924">
                  <c:v>45736</c:v>
                </c:pt>
                <c:pt idx="925">
                  <c:v>45737</c:v>
                </c:pt>
                <c:pt idx="926">
                  <c:v>45740</c:v>
                </c:pt>
                <c:pt idx="927">
                  <c:v>45741</c:v>
                </c:pt>
                <c:pt idx="928">
                  <c:v>45742</c:v>
                </c:pt>
                <c:pt idx="929">
                  <c:v>45743</c:v>
                </c:pt>
                <c:pt idx="930">
                  <c:v>45744</c:v>
                </c:pt>
                <c:pt idx="931">
                  <c:v>45748</c:v>
                </c:pt>
                <c:pt idx="932">
                  <c:v>45749</c:v>
                </c:pt>
                <c:pt idx="933">
                  <c:v>45750</c:v>
                </c:pt>
                <c:pt idx="934">
                  <c:v>45751</c:v>
                </c:pt>
                <c:pt idx="935">
                  <c:v>45754</c:v>
                </c:pt>
                <c:pt idx="936">
                  <c:v>45755</c:v>
                </c:pt>
                <c:pt idx="937">
                  <c:v>45756</c:v>
                </c:pt>
                <c:pt idx="938">
                  <c:v>45758</c:v>
                </c:pt>
                <c:pt idx="939">
                  <c:v>45762</c:v>
                </c:pt>
                <c:pt idx="940">
                  <c:v>45763</c:v>
                </c:pt>
                <c:pt idx="941">
                  <c:v>45764</c:v>
                </c:pt>
                <c:pt idx="942">
                  <c:v>45768</c:v>
                </c:pt>
                <c:pt idx="943">
                  <c:v>45769</c:v>
                </c:pt>
                <c:pt idx="944">
                  <c:v>45770</c:v>
                </c:pt>
                <c:pt idx="945">
                  <c:v>45771</c:v>
                </c:pt>
                <c:pt idx="946">
                  <c:v>45772</c:v>
                </c:pt>
                <c:pt idx="947">
                  <c:v>45775</c:v>
                </c:pt>
                <c:pt idx="948">
                  <c:v>45776</c:v>
                </c:pt>
                <c:pt idx="949">
                  <c:v>45777</c:v>
                </c:pt>
                <c:pt idx="950">
                  <c:v>45779</c:v>
                </c:pt>
                <c:pt idx="951">
                  <c:v>45782</c:v>
                </c:pt>
                <c:pt idx="952">
                  <c:v>45783</c:v>
                </c:pt>
                <c:pt idx="953">
                  <c:v>45784</c:v>
                </c:pt>
                <c:pt idx="954">
                  <c:v>45785</c:v>
                </c:pt>
                <c:pt idx="955">
                  <c:v>45786</c:v>
                </c:pt>
                <c:pt idx="956">
                  <c:v>45789</c:v>
                </c:pt>
                <c:pt idx="957">
                  <c:v>45790</c:v>
                </c:pt>
                <c:pt idx="958">
                  <c:v>45791</c:v>
                </c:pt>
                <c:pt idx="959">
                  <c:v>45792</c:v>
                </c:pt>
                <c:pt idx="960">
                  <c:v>45793</c:v>
                </c:pt>
                <c:pt idx="961">
                  <c:v>45796</c:v>
                </c:pt>
                <c:pt idx="962">
                  <c:v>45797</c:v>
                </c:pt>
                <c:pt idx="963">
                  <c:v>45798</c:v>
                </c:pt>
                <c:pt idx="964">
                  <c:v>45799</c:v>
                </c:pt>
                <c:pt idx="965">
                  <c:v>45800</c:v>
                </c:pt>
                <c:pt idx="966">
                  <c:v>45803</c:v>
                </c:pt>
                <c:pt idx="967">
                  <c:v>45804</c:v>
                </c:pt>
                <c:pt idx="968">
                  <c:v>45805</c:v>
                </c:pt>
                <c:pt idx="969">
                  <c:v>45806</c:v>
                </c:pt>
                <c:pt idx="970">
                  <c:v>45807</c:v>
                </c:pt>
                <c:pt idx="971">
                  <c:v>45810</c:v>
                </c:pt>
                <c:pt idx="972">
                  <c:v>45811</c:v>
                </c:pt>
                <c:pt idx="973">
                  <c:v>45812</c:v>
                </c:pt>
                <c:pt idx="974">
                  <c:v>45813</c:v>
                </c:pt>
                <c:pt idx="975">
                  <c:v>45814</c:v>
                </c:pt>
                <c:pt idx="976">
                  <c:v>45817</c:v>
                </c:pt>
                <c:pt idx="977">
                  <c:v>45818</c:v>
                </c:pt>
                <c:pt idx="978">
                  <c:v>45819</c:v>
                </c:pt>
                <c:pt idx="979">
                  <c:v>45820</c:v>
                </c:pt>
                <c:pt idx="980">
                  <c:v>45821</c:v>
                </c:pt>
                <c:pt idx="981">
                  <c:v>45824</c:v>
                </c:pt>
                <c:pt idx="982">
                  <c:v>45825</c:v>
                </c:pt>
                <c:pt idx="983">
                  <c:v>45826</c:v>
                </c:pt>
                <c:pt idx="984">
                  <c:v>45827</c:v>
                </c:pt>
                <c:pt idx="985">
                  <c:v>45828</c:v>
                </c:pt>
                <c:pt idx="986">
                  <c:v>45831</c:v>
                </c:pt>
                <c:pt idx="987">
                  <c:v>45832</c:v>
                </c:pt>
                <c:pt idx="988">
                  <c:v>45833</c:v>
                </c:pt>
                <c:pt idx="989">
                  <c:v>45834</c:v>
                </c:pt>
                <c:pt idx="990">
                  <c:v>45835</c:v>
                </c:pt>
                <c:pt idx="991">
                  <c:v>45838</c:v>
                </c:pt>
                <c:pt idx="992">
                  <c:v>45839</c:v>
                </c:pt>
                <c:pt idx="993">
                  <c:v>45840</c:v>
                </c:pt>
                <c:pt idx="994">
                  <c:v>45841</c:v>
                </c:pt>
                <c:pt idx="995">
                  <c:v>45842</c:v>
                </c:pt>
                <c:pt idx="996">
                  <c:v>45845</c:v>
                </c:pt>
                <c:pt idx="997">
                  <c:v>45846</c:v>
                </c:pt>
                <c:pt idx="998">
                  <c:v>45847</c:v>
                </c:pt>
                <c:pt idx="999">
                  <c:v>45848</c:v>
                </c:pt>
                <c:pt idx="1000">
                  <c:v>45849</c:v>
                </c:pt>
                <c:pt idx="1001">
                  <c:v>45852</c:v>
                </c:pt>
                <c:pt idx="1002">
                  <c:v>45853</c:v>
                </c:pt>
                <c:pt idx="1003">
                  <c:v>45854</c:v>
                </c:pt>
                <c:pt idx="1004">
                  <c:v>45855</c:v>
                </c:pt>
                <c:pt idx="1005">
                  <c:v>45856</c:v>
                </c:pt>
                <c:pt idx="1006">
                  <c:v>45859</c:v>
                </c:pt>
                <c:pt idx="1007">
                  <c:v>45860</c:v>
                </c:pt>
                <c:pt idx="1008">
                  <c:v>45861</c:v>
                </c:pt>
                <c:pt idx="1009">
                  <c:v>45862</c:v>
                </c:pt>
                <c:pt idx="1010">
                  <c:v>45863</c:v>
                </c:pt>
                <c:pt idx="1011">
                  <c:v>45866</c:v>
                </c:pt>
                <c:pt idx="1012">
                  <c:v>45867</c:v>
                </c:pt>
                <c:pt idx="1013">
                  <c:v>45868</c:v>
                </c:pt>
                <c:pt idx="1014">
                  <c:v>45869</c:v>
                </c:pt>
                <c:pt idx="1015">
                  <c:v>45870</c:v>
                </c:pt>
                <c:pt idx="1016">
                  <c:v>45873</c:v>
                </c:pt>
                <c:pt idx="1017">
                  <c:v>45874</c:v>
                </c:pt>
                <c:pt idx="1018">
                  <c:v>45875</c:v>
                </c:pt>
                <c:pt idx="1019">
                  <c:v>45876</c:v>
                </c:pt>
                <c:pt idx="1020">
                  <c:v>45877</c:v>
                </c:pt>
                <c:pt idx="1021">
                  <c:v>45880</c:v>
                </c:pt>
                <c:pt idx="1022">
                  <c:v>45881</c:v>
                </c:pt>
                <c:pt idx="1023">
                  <c:v>45882</c:v>
                </c:pt>
                <c:pt idx="1024">
                  <c:v>45883</c:v>
                </c:pt>
                <c:pt idx="1025">
                  <c:v>45887</c:v>
                </c:pt>
                <c:pt idx="1026">
                  <c:v>45888</c:v>
                </c:pt>
                <c:pt idx="1027">
                  <c:v>45889</c:v>
                </c:pt>
                <c:pt idx="1028">
                  <c:v>45890</c:v>
                </c:pt>
                <c:pt idx="1029">
                  <c:v>45891</c:v>
                </c:pt>
                <c:pt idx="1030">
                  <c:v>45894</c:v>
                </c:pt>
                <c:pt idx="1031">
                  <c:v>45895</c:v>
                </c:pt>
                <c:pt idx="1032">
                  <c:v>45897</c:v>
                </c:pt>
                <c:pt idx="1033">
                  <c:v>45898</c:v>
                </c:pt>
                <c:pt idx="1034">
                  <c:v>45901</c:v>
                </c:pt>
                <c:pt idx="1035">
                  <c:v>45902</c:v>
                </c:pt>
                <c:pt idx="1036">
                  <c:v>45903</c:v>
                </c:pt>
                <c:pt idx="1037">
                  <c:v>45904</c:v>
                </c:pt>
                <c:pt idx="1038">
                  <c:v>45905</c:v>
                </c:pt>
                <c:pt idx="1039">
                  <c:v>45908</c:v>
                </c:pt>
                <c:pt idx="1040">
                  <c:v>45909</c:v>
                </c:pt>
                <c:pt idx="1041">
                  <c:v>45910</c:v>
                </c:pt>
                <c:pt idx="1042">
                  <c:v>45911</c:v>
                </c:pt>
                <c:pt idx="1043">
                  <c:v>45912</c:v>
                </c:pt>
                <c:pt idx="1044">
                  <c:v>45915</c:v>
                </c:pt>
                <c:pt idx="1045">
                  <c:v>45916</c:v>
                </c:pt>
                <c:pt idx="1046">
                  <c:v>45917</c:v>
                </c:pt>
                <c:pt idx="1047">
                  <c:v>45918</c:v>
                </c:pt>
                <c:pt idx="1048">
                  <c:v>45919</c:v>
                </c:pt>
                <c:pt idx="1049">
                  <c:v>45922</c:v>
                </c:pt>
                <c:pt idx="1050">
                  <c:v>45923</c:v>
                </c:pt>
                <c:pt idx="1051">
                  <c:v>45924</c:v>
                </c:pt>
                <c:pt idx="1052">
                  <c:v>45925</c:v>
                </c:pt>
                <c:pt idx="1053">
                  <c:v>45926</c:v>
                </c:pt>
                <c:pt idx="1054">
                  <c:v>45929</c:v>
                </c:pt>
                <c:pt idx="1055">
                  <c:v>45930</c:v>
                </c:pt>
                <c:pt idx="1056">
                  <c:v>45931</c:v>
                </c:pt>
                <c:pt idx="1057">
                  <c:v>45933</c:v>
                </c:pt>
                <c:pt idx="1058">
                  <c:v>45936</c:v>
                </c:pt>
                <c:pt idx="1059">
                  <c:v>45937</c:v>
                </c:pt>
                <c:pt idx="1060">
                  <c:v>45938</c:v>
                </c:pt>
                <c:pt idx="1061">
                  <c:v>45939</c:v>
                </c:pt>
                <c:pt idx="1062">
                  <c:v>45940</c:v>
                </c:pt>
                <c:pt idx="1063">
                  <c:v>45943</c:v>
                </c:pt>
                <c:pt idx="1064">
                  <c:v>45944</c:v>
                </c:pt>
                <c:pt idx="1065">
                  <c:v>45945</c:v>
                </c:pt>
                <c:pt idx="1066">
                  <c:v>45946</c:v>
                </c:pt>
                <c:pt idx="1067">
                  <c:v>45947</c:v>
                </c:pt>
                <c:pt idx="1068">
                  <c:v>45950</c:v>
                </c:pt>
                <c:pt idx="1069">
                  <c:v>45951</c:v>
                </c:pt>
                <c:pt idx="1070">
                  <c:v>45953</c:v>
                </c:pt>
                <c:pt idx="1071">
                  <c:v>45954</c:v>
                </c:pt>
                <c:pt idx="1072">
                  <c:v>45957</c:v>
                </c:pt>
                <c:pt idx="1073">
                  <c:v>45958</c:v>
                </c:pt>
                <c:pt idx="1074">
                  <c:v>45959</c:v>
                </c:pt>
                <c:pt idx="1075">
                  <c:v>45960</c:v>
                </c:pt>
                <c:pt idx="1076">
                  <c:v>45961</c:v>
                </c:pt>
                <c:pt idx="1077">
                  <c:v>45964</c:v>
                </c:pt>
                <c:pt idx="1078">
                  <c:v>45965</c:v>
                </c:pt>
                <c:pt idx="1079">
                  <c:v>45967</c:v>
                </c:pt>
                <c:pt idx="1080">
                  <c:v>45968</c:v>
                </c:pt>
                <c:pt idx="1081">
                  <c:v>45971</c:v>
                </c:pt>
                <c:pt idx="1082">
                  <c:v>45972</c:v>
                </c:pt>
                <c:pt idx="1083">
                  <c:v>45973</c:v>
                </c:pt>
                <c:pt idx="1084">
                  <c:v>45974</c:v>
                </c:pt>
                <c:pt idx="1085">
                  <c:v>45975</c:v>
                </c:pt>
                <c:pt idx="1086">
                  <c:v>45978</c:v>
                </c:pt>
                <c:pt idx="1087">
                  <c:v>45979</c:v>
                </c:pt>
                <c:pt idx="1088">
                  <c:v>45980</c:v>
                </c:pt>
                <c:pt idx="1089">
                  <c:v>45981</c:v>
                </c:pt>
                <c:pt idx="1090">
                  <c:v>45982</c:v>
                </c:pt>
                <c:pt idx="1091">
                  <c:v>45985</c:v>
                </c:pt>
                <c:pt idx="1092">
                  <c:v>45986</c:v>
                </c:pt>
                <c:pt idx="1093">
                  <c:v>45987</c:v>
                </c:pt>
                <c:pt idx="1094">
                  <c:v>45988</c:v>
                </c:pt>
                <c:pt idx="1095">
                  <c:v>45989</c:v>
                </c:pt>
              </c:numCache>
            </c:numRef>
          </c:cat>
          <c:val>
            <c:numRef>
              <c:f>Sheet1!$B$3:$B$1098</c:f>
              <c:numCache>
                <c:formatCode>0.00</c:formatCode>
                <c:ptCount val="1096"/>
                <c:pt idx="0">
                  <c:v>630.85</c:v>
                </c:pt>
                <c:pt idx="1">
                  <c:v>640.25</c:v>
                </c:pt>
                <c:pt idx="2">
                  <c:v>647.85</c:v>
                </c:pt>
                <c:pt idx="3">
                  <c:v>650.29999999999995</c:v>
                </c:pt>
                <c:pt idx="4">
                  <c:v>654</c:v>
                </c:pt>
                <c:pt idx="5">
                  <c:v>641.9</c:v>
                </c:pt>
                <c:pt idx="6">
                  <c:v>638.54999999999995</c:v>
                </c:pt>
                <c:pt idx="7">
                  <c:v>646.25</c:v>
                </c:pt>
                <c:pt idx="8">
                  <c:v>664.95</c:v>
                </c:pt>
                <c:pt idx="9">
                  <c:v>664.35</c:v>
                </c:pt>
                <c:pt idx="10">
                  <c:v>667.45</c:v>
                </c:pt>
                <c:pt idx="11">
                  <c:v>660.3</c:v>
                </c:pt>
                <c:pt idx="12">
                  <c:v>655.9</c:v>
                </c:pt>
                <c:pt idx="13">
                  <c:v>641.9</c:v>
                </c:pt>
                <c:pt idx="14">
                  <c:v>655.95</c:v>
                </c:pt>
                <c:pt idx="15">
                  <c:v>676.65</c:v>
                </c:pt>
                <c:pt idx="16">
                  <c:v>676.75</c:v>
                </c:pt>
                <c:pt idx="17">
                  <c:v>677.45</c:v>
                </c:pt>
                <c:pt idx="18">
                  <c:v>685.05</c:v>
                </c:pt>
                <c:pt idx="19">
                  <c:v>687.5</c:v>
                </c:pt>
                <c:pt idx="20">
                  <c:v>682.5</c:v>
                </c:pt>
                <c:pt idx="21">
                  <c:v>681.4</c:v>
                </c:pt>
                <c:pt idx="22">
                  <c:v>690.4</c:v>
                </c:pt>
                <c:pt idx="23">
                  <c:v>714.65</c:v>
                </c:pt>
                <c:pt idx="24">
                  <c:v>702.45</c:v>
                </c:pt>
                <c:pt idx="25">
                  <c:v>697.65</c:v>
                </c:pt>
                <c:pt idx="26">
                  <c:v>702.85</c:v>
                </c:pt>
                <c:pt idx="27">
                  <c:v>700.9</c:v>
                </c:pt>
                <c:pt idx="28">
                  <c:v>693.55</c:v>
                </c:pt>
                <c:pt idx="29">
                  <c:v>701.35</c:v>
                </c:pt>
                <c:pt idx="30">
                  <c:v>704.8</c:v>
                </c:pt>
                <c:pt idx="31">
                  <c:v>702.65</c:v>
                </c:pt>
                <c:pt idx="32">
                  <c:v>701.2</c:v>
                </c:pt>
                <c:pt idx="33">
                  <c:v>688.3</c:v>
                </c:pt>
                <c:pt idx="34">
                  <c:v>680.7</c:v>
                </c:pt>
                <c:pt idx="35">
                  <c:v>682.7</c:v>
                </c:pt>
                <c:pt idx="36">
                  <c:v>694.45</c:v>
                </c:pt>
                <c:pt idx="37">
                  <c:v>691.05</c:v>
                </c:pt>
                <c:pt idx="38">
                  <c:v>698.8</c:v>
                </c:pt>
                <c:pt idx="39">
                  <c:v>699.75</c:v>
                </c:pt>
                <c:pt idx="40">
                  <c:v>713.65</c:v>
                </c:pt>
                <c:pt idx="41">
                  <c:v>719.05</c:v>
                </c:pt>
                <c:pt idx="42">
                  <c:v>719.9</c:v>
                </c:pt>
                <c:pt idx="43">
                  <c:v>725.15</c:v>
                </c:pt>
                <c:pt idx="44">
                  <c:v>724.3</c:v>
                </c:pt>
                <c:pt idx="45">
                  <c:v>721.15</c:v>
                </c:pt>
                <c:pt idx="46">
                  <c:v>716.9</c:v>
                </c:pt>
                <c:pt idx="47">
                  <c:v>720.95</c:v>
                </c:pt>
                <c:pt idx="48">
                  <c:v>720.25</c:v>
                </c:pt>
                <c:pt idx="49">
                  <c:v>707.4</c:v>
                </c:pt>
                <c:pt idx="50">
                  <c:v>707.45</c:v>
                </c:pt>
                <c:pt idx="51">
                  <c:v>714.35</c:v>
                </c:pt>
                <c:pt idx="52">
                  <c:v>727.2</c:v>
                </c:pt>
                <c:pt idx="53">
                  <c:v>720.15</c:v>
                </c:pt>
                <c:pt idx="54">
                  <c:v>710</c:v>
                </c:pt>
                <c:pt idx="55">
                  <c:v>711.85</c:v>
                </c:pt>
                <c:pt idx="56">
                  <c:v>703.35</c:v>
                </c:pt>
                <c:pt idx="57">
                  <c:v>717</c:v>
                </c:pt>
                <c:pt idx="58">
                  <c:v>722.95</c:v>
                </c:pt>
                <c:pt idx="59">
                  <c:v>730</c:v>
                </c:pt>
                <c:pt idx="60">
                  <c:v>717.15</c:v>
                </c:pt>
                <c:pt idx="61">
                  <c:v>709.5</c:v>
                </c:pt>
                <c:pt idx="62">
                  <c:v>700.85</c:v>
                </c:pt>
                <c:pt idx="63">
                  <c:v>692.35</c:v>
                </c:pt>
                <c:pt idx="64">
                  <c:v>700.2</c:v>
                </c:pt>
                <c:pt idx="65">
                  <c:v>697.1</c:v>
                </c:pt>
                <c:pt idx="66">
                  <c:v>689.5</c:v>
                </c:pt>
                <c:pt idx="67">
                  <c:v>702.2</c:v>
                </c:pt>
                <c:pt idx="68">
                  <c:v>703.4</c:v>
                </c:pt>
                <c:pt idx="69">
                  <c:v>713.3</c:v>
                </c:pt>
                <c:pt idx="70">
                  <c:v>708.6</c:v>
                </c:pt>
                <c:pt idx="71">
                  <c:v>709.95</c:v>
                </c:pt>
                <c:pt idx="72">
                  <c:v>727.3</c:v>
                </c:pt>
                <c:pt idx="73">
                  <c:v>745.45</c:v>
                </c:pt>
                <c:pt idx="74">
                  <c:v>747.45</c:v>
                </c:pt>
                <c:pt idx="75">
                  <c:v>745.85</c:v>
                </c:pt>
                <c:pt idx="76">
                  <c:v>755.5</c:v>
                </c:pt>
                <c:pt idx="77">
                  <c:v>759.3</c:v>
                </c:pt>
                <c:pt idx="78">
                  <c:v>841.7</c:v>
                </c:pt>
                <c:pt idx="79">
                  <c:v>829.4</c:v>
                </c:pt>
                <c:pt idx="80">
                  <c:v>835</c:v>
                </c:pt>
                <c:pt idx="81">
                  <c:v>798.7</c:v>
                </c:pt>
                <c:pt idx="82">
                  <c:v>802.05</c:v>
                </c:pt>
                <c:pt idx="83">
                  <c:v>803.9</c:v>
                </c:pt>
                <c:pt idx="84">
                  <c:v>800.95</c:v>
                </c:pt>
                <c:pt idx="85">
                  <c:v>785.95</c:v>
                </c:pt>
                <c:pt idx="86">
                  <c:v>782.1</c:v>
                </c:pt>
                <c:pt idx="87">
                  <c:v>780.15</c:v>
                </c:pt>
                <c:pt idx="88">
                  <c:v>786.55</c:v>
                </c:pt>
                <c:pt idx="89">
                  <c:v>780.9</c:v>
                </c:pt>
                <c:pt idx="90">
                  <c:v>771.45</c:v>
                </c:pt>
                <c:pt idx="91">
                  <c:v>776.6</c:v>
                </c:pt>
                <c:pt idx="92">
                  <c:v>773.3</c:v>
                </c:pt>
                <c:pt idx="93">
                  <c:v>764.05</c:v>
                </c:pt>
                <c:pt idx="94">
                  <c:v>761.3</c:v>
                </c:pt>
                <c:pt idx="95">
                  <c:v>762.9</c:v>
                </c:pt>
                <c:pt idx="96">
                  <c:v>752</c:v>
                </c:pt>
                <c:pt idx="97">
                  <c:v>751.85</c:v>
                </c:pt>
                <c:pt idx="98">
                  <c:v>760.2</c:v>
                </c:pt>
                <c:pt idx="99">
                  <c:v>751.05</c:v>
                </c:pt>
                <c:pt idx="100">
                  <c:v>722.2</c:v>
                </c:pt>
                <c:pt idx="101">
                  <c:v>718.4</c:v>
                </c:pt>
                <c:pt idx="102">
                  <c:v>714.35</c:v>
                </c:pt>
                <c:pt idx="103">
                  <c:v>727.7</c:v>
                </c:pt>
                <c:pt idx="104">
                  <c:v>722.4</c:v>
                </c:pt>
                <c:pt idx="105">
                  <c:v>716.3</c:v>
                </c:pt>
                <c:pt idx="106">
                  <c:v>709.55</c:v>
                </c:pt>
                <c:pt idx="107">
                  <c:v>734.65</c:v>
                </c:pt>
                <c:pt idx="108">
                  <c:v>753.4</c:v>
                </c:pt>
                <c:pt idx="109">
                  <c:v>755</c:v>
                </c:pt>
                <c:pt idx="110">
                  <c:v>758</c:v>
                </c:pt>
                <c:pt idx="111">
                  <c:v>754</c:v>
                </c:pt>
                <c:pt idx="112">
                  <c:v>758.65</c:v>
                </c:pt>
                <c:pt idx="113">
                  <c:v>752.25</c:v>
                </c:pt>
                <c:pt idx="114">
                  <c:v>741.15</c:v>
                </c:pt>
                <c:pt idx="115">
                  <c:v>728.3</c:v>
                </c:pt>
                <c:pt idx="116">
                  <c:v>709.95</c:v>
                </c:pt>
                <c:pt idx="117">
                  <c:v>720.35</c:v>
                </c:pt>
                <c:pt idx="118">
                  <c:v>732.8</c:v>
                </c:pt>
                <c:pt idx="119">
                  <c:v>731.3</c:v>
                </c:pt>
                <c:pt idx="120">
                  <c:v>727.1</c:v>
                </c:pt>
                <c:pt idx="121">
                  <c:v>736</c:v>
                </c:pt>
                <c:pt idx="122">
                  <c:v>735.8</c:v>
                </c:pt>
                <c:pt idx="123">
                  <c:v>735.7</c:v>
                </c:pt>
                <c:pt idx="124">
                  <c:v>735.7</c:v>
                </c:pt>
                <c:pt idx="125">
                  <c:v>740.15</c:v>
                </c:pt>
                <c:pt idx="126">
                  <c:v>764.7</c:v>
                </c:pt>
                <c:pt idx="127">
                  <c:v>772.85</c:v>
                </c:pt>
                <c:pt idx="128">
                  <c:v>788.05</c:v>
                </c:pt>
                <c:pt idx="129">
                  <c:v>785.05</c:v>
                </c:pt>
                <c:pt idx="130">
                  <c:v>793.25</c:v>
                </c:pt>
                <c:pt idx="131">
                  <c:v>810.75</c:v>
                </c:pt>
                <c:pt idx="132">
                  <c:v>810.65</c:v>
                </c:pt>
                <c:pt idx="133">
                  <c:v>823.75</c:v>
                </c:pt>
                <c:pt idx="134">
                  <c:v>824.7</c:v>
                </c:pt>
                <c:pt idx="135">
                  <c:v>820</c:v>
                </c:pt>
                <c:pt idx="136">
                  <c:v>819.3</c:v>
                </c:pt>
                <c:pt idx="137">
                  <c:v>823.1</c:v>
                </c:pt>
                <c:pt idx="138">
                  <c:v>808.6</c:v>
                </c:pt>
                <c:pt idx="139">
                  <c:v>810.25</c:v>
                </c:pt>
                <c:pt idx="140">
                  <c:v>804.5</c:v>
                </c:pt>
                <c:pt idx="141">
                  <c:v>798.45</c:v>
                </c:pt>
                <c:pt idx="142">
                  <c:v>801.65</c:v>
                </c:pt>
                <c:pt idx="143">
                  <c:v>794.65</c:v>
                </c:pt>
                <c:pt idx="144">
                  <c:v>781.15</c:v>
                </c:pt>
                <c:pt idx="145">
                  <c:v>788.8</c:v>
                </c:pt>
                <c:pt idx="146">
                  <c:v>810.3</c:v>
                </c:pt>
                <c:pt idx="147">
                  <c:v>813.75</c:v>
                </c:pt>
                <c:pt idx="148">
                  <c:v>808.95</c:v>
                </c:pt>
                <c:pt idx="149">
                  <c:v>805.05</c:v>
                </c:pt>
                <c:pt idx="150">
                  <c:v>786.4</c:v>
                </c:pt>
                <c:pt idx="151">
                  <c:v>792.5</c:v>
                </c:pt>
                <c:pt idx="152">
                  <c:v>802.8</c:v>
                </c:pt>
                <c:pt idx="153">
                  <c:v>805.5</c:v>
                </c:pt>
                <c:pt idx="154">
                  <c:v>790.8</c:v>
                </c:pt>
                <c:pt idx="155">
                  <c:v>753.7</c:v>
                </c:pt>
                <c:pt idx="156">
                  <c:v>776.05</c:v>
                </c:pt>
                <c:pt idx="157">
                  <c:v>764.05</c:v>
                </c:pt>
                <c:pt idx="158">
                  <c:v>750.35</c:v>
                </c:pt>
                <c:pt idx="159">
                  <c:v>748.9</c:v>
                </c:pt>
                <c:pt idx="160">
                  <c:v>754.45</c:v>
                </c:pt>
                <c:pt idx="161">
                  <c:v>751.3</c:v>
                </c:pt>
                <c:pt idx="162">
                  <c:v>744.6</c:v>
                </c:pt>
                <c:pt idx="163">
                  <c:v>707.4</c:v>
                </c:pt>
                <c:pt idx="164">
                  <c:v>730.05</c:v>
                </c:pt>
                <c:pt idx="165">
                  <c:v>742.7</c:v>
                </c:pt>
                <c:pt idx="166">
                  <c:v>714.85</c:v>
                </c:pt>
                <c:pt idx="167">
                  <c:v>698.3</c:v>
                </c:pt>
                <c:pt idx="168">
                  <c:v>688.05</c:v>
                </c:pt>
                <c:pt idx="169">
                  <c:v>653.75</c:v>
                </c:pt>
                <c:pt idx="170">
                  <c:v>665</c:v>
                </c:pt>
                <c:pt idx="171">
                  <c:v>667.45</c:v>
                </c:pt>
                <c:pt idx="172">
                  <c:v>676.6</c:v>
                </c:pt>
                <c:pt idx="173">
                  <c:v>677.9</c:v>
                </c:pt>
                <c:pt idx="174">
                  <c:v>696.15</c:v>
                </c:pt>
                <c:pt idx="175">
                  <c:v>697.35</c:v>
                </c:pt>
                <c:pt idx="176">
                  <c:v>708</c:v>
                </c:pt>
                <c:pt idx="177">
                  <c:v>720.1</c:v>
                </c:pt>
                <c:pt idx="178">
                  <c:v>710.75</c:v>
                </c:pt>
                <c:pt idx="179">
                  <c:v>718.2</c:v>
                </c:pt>
                <c:pt idx="180">
                  <c:v>718.3</c:v>
                </c:pt>
                <c:pt idx="181">
                  <c:v>704.2</c:v>
                </c:pt>
                <c:pt idx="182">
                  <c:v>699.25</c:v>
                </c:pt>
                <c:pt idx="183">
                  <c:v>710.35</c:v>
                </c:pt>
                <c:pt idx="184">
                  <c:v>715.3</c:v>
                </c:pt>
                <c:pt idx="185">
                  <c:v>730.9</c:v>
                </c:pt>
                <c:pt idx="186">
                  <c:v>730.3</c:v>
                </c:pt>
                <c:pt idx="187">
                  <c:v>736.25</c:v>
                </c:pt>
                <c:pt idx="188">
                  <c:v>746.6</c:v>
                </c:pt>
                <c:pt idx="189">
                  <c:v>741.8</c:v>
                </c:pt>
                <c:pt idx="190">
                  <c:v>741.6</c:v>
                </c:pt>
                <c:pt idx="191">
                  <c:v>748.55</c:v>
                </c:pt>
                <c:pt idx="192">
                  <c:v>754.3</c:v>
                </c:pt>
                <c:pt idx="193">
                  <c:v>759.6</c:v>
                </c:pt>
                <c:pt idx="194">
                  <c:v>763.85</c:v>
                </c:pt>
                <c:pt idx="195">
                  <c:v>762.25</c:v>
                </c:pt>
                <c:pt idx="196">
                  <c:v>757.8</c:v>
                </c:pt>
                <c:pt idx="197">
                  <c:v>766.3</c:v>
                </c:pt>
                <c:pt idx="198">
                  <c:v>755.55</c:v>
                </c:pt>
                <c:pt idx="199">
                  <c:v>762.35</c:v>
                </c:pt>
                <c:pt idx="200">
                  <c:v>747.65</c:v>
                </c:pt>
                <c:pt idx="201">
                  <c:v>752.2</c:v>
                </c:pt>
                <c:pt idx="202">
                  <c:v>753.75</c:v>
                </c:pt>
                <c:pt idx="203">
                  <c:v>736.7</c:v>
                </c:pt>
                <c:pt idx="204">
                  <c:v>747.15</c:v>
                </c:pt>
                <c:pt idx="205">
                  <c:v>743.3</c:v>
                </c:pt>
                <c:pt idx="206">
                  <c:v>741</c:v>
                </c:pt>
                <c:pt idx="207">
                  <c:v>724.25</c:v>
                </c:pt>
                <c:pt idx="208">
                  <c:v>728.8</c:v>
                </c:pt>
                <c:pt idx="209">
                  <c:v>719.25</c:v>
                </c:pt>
                <c:pt idx="210">
                  <c:v>710.35</c:v>
                </c:pt>
                <c:pt idx="211">
                  <c:v>711.3</c:v>
                </c:pt>
                <c:pt idx="212">
                  <c:v>714.2</c:v>
                </c:pt>
                <c:pt idx="213">
                  <c:v>695.8</c:v>
                </c:pt>
                <c:pt idx="214">
                  <c:v>677.35</c:v>
                </c:pt>
                <c:pt idx="215">
                  <c:v>683</c:v>
                </c:pt>
                <c:pt idx="216">
                  <c:v>710</c:v>
                </c:pt>
                <c:pt idx="217">
                  <c:v>707.35</c:v>
                </c:pt>
                <c:pt idx="218">
                  <c:v>690.3</c:v>
                </c:pt>
                <c:pt idx="219">
                  <c:v>709.55</c:v>
                </c:pt>
                <c:pt idx="220">
                  <c:v>711.05</c:v>
                </c:pt>
                <c:pt idx="221">
                  <c:v>708.15</c:v>
                </c:pt>
                <c:pt idx="222">
                  <c:v>713.35</c:v>
                </c:pt>
                <c:pt idx="223">
                  <c:v>728.5</c:v>
                </c:pt>
                <c:pt idx="224">
                  <c:v>739.8</c:v>
                </c:pt>
                <c:pt idx="225">
                  <c:v>748.5</c:v>
                </c:pt>
                <c:pt idx="226">
                  <c:v>752.85</c:v>
                </c:pt>
                <c:pt idx="227">
                  <c:v>752.65</c:v>
                </c:pt>
                <c:pt idx="228">
                  <c:v>749.75</c:v>
                </c:pt>
                <c:pt idx="229">
                  <c:v>744.3</c:v>
                </c:pt>
                <c:pt idx="230">
                  <c:v>746.75</c:v>
                </c:pt>
                <c:pt idx="231">
                  <c:v>735.25</c:v>
                </c:pt>
                <c:pt idx="232">
                  <c:v>729.5</c:v>
                </c:pt>
                <c:pt idx="233">
                  <c:v>732.75</c:v>
                </c:pt>
                <c:pt idx="234">
                  <c:v>720</c:v>
                </c:pt>
                <c:pt idx="235">
                  <c:v>688</c:v>
                </c:pt>
                <c:pt idx="236">
                  <c:v>685.5</c:v>
                </c:pt>
                <c:pt idx="237">
                  <c:v>687.25</c:v>
                </c:pt>
                <c:pt idx="238">
                  <c:v>678.5</c:v>
                </c:pt>
                <c:pt idx="239">
                  <c:v>686.85</c:v>
                </c:pt>
                <c:pt idx="240">
                  <c:v>685.95</c:v>
                </c:pt>
                <c:pt idx="241">
                  <c:v>696.1</c:v>
                </c:pt>
                <c:pt idx="242">
                  <c:v>686.6</c:v>
                </c:pt>
                <c:pt idx="243">
                  <c:v>699.15</c:v>
                </c:pt>
                <c:pt idx="244">
                  <c:v>713.45</c:v>
                </c:pt>
                <c:pt idx="245">
                  <c:v>717.35</c:v>
                </c:pt>
                <c:pt idx="246">
                  <c:v>710.3</c:v>
                </c:pt>
                <c:pt idx="247">
                  <c:v>702.75</c:v>
                </c:pt>
                <c:pt idx="248">
                  <c:v>707.2</c:v>
                </c:pt>
                <c:pt idx="249">
                  <c:v>703.9</c:v>
                </c:pt>
                <c:pt idx="250">
                  <c:v>720.1</c:v>
                </c:pt>
                <c:pt idx="251">
                  <c:v>719.45</c:v>
                </c:pt>
                <c:pt idx="252">
                  <c:v>725.95</c:v>
                </c:pt>
                <c:pt idx="253">
                  <c:v>742</c:v>
                </c:pt>
                <c:pt idx="254">
                  <c:v>755.7</c:v>
                </c:pt>
                <c:pt idx="255">
                  <c:v>769.5</c:v>
                </c:pt>
                <c:pt idx="256">
                  <c:v>759.9</c:v>
                </c:pt>
                <c:pt idx="257">
                  <c:v>753.2</c:v>
                </c:pt>
                <c:pt idx="258">
                  <c:v>752.4</c:v>
                </c:pt>
                <c:pt idx="259">
                  <c:v>751.2</c:v>
                </c:pt>
                <c:pt idx="260">
                  <c:v>772</c:v>
                </c:pt>
                <c:pt idx="261">
                  <c:v>780.65</c:v>
                </c:pt>
                <c:pt idx="262">
                  <c:v>783.1</c:v>
                </c:pt>
                <c:pt idx="263">
                  <c:v>786</c:v>
                </c:pt>
                <c:pt idx="264">
                  <c:v>800.05</c:v>
                </c:pt>
                <c:pt idx="265">
                  <c:v>800.9</c:v>
                </c:pt>
                <c:pt idx="266">
                  <c:v>796.3</c:v>
                </c:pt>
                <c:pt idx="267">
                  <c:v>800.5</c:v>
                </c:pt>
                <c:pt idx="268">
                  <c:v>814.6</c:v>
                </c:pt>
                <c:pt idx="269">
                  <c:v>818.6</c:v>
                </c:pt>
                <c:pt idx="270">
                  <c:v>823.4</c:v>
                </c:pt>
                <c:pt idx="271">
                  <c:v>817.75</c:v>
                </c:pt>
                <c:pt idx="272">
                  <c:v>824.8</c:v>
                </c:pt>
                <c:pt idx="273">
                  <c:v>820.25</c:v>
                </c:pt>
                <c:pt idx="274">
                  <c:v>838.2</c:v>
                </c:pt>
                <c:pt idx="275">
                  <c:v>836.95</c:v>
                </c:pt>
                <c:pt idx="276">
                  <c:v>848.75</c:v>
                </c:pt>
                <c:pt idx="277">
                  <c:v>859.7</c:v>
                </c:pt>
                <c:pt idx="278">
                  <c:v>874.4</c:v>
                </c:pt>
                <c:pt idx="279">
                  <c:v>879.25</c:v>
                </c:pt>
                <c:pt idx="280">
                  <c:v>883.25</c:v>
                </c:pt>
                <c:pt idx="281">
                  <c:v>885.1</c:v>
                </c:pt>
                <c:pt idx="282">
                  <c:v>870.4</c:v>
                </c:pt>
                <c:pt idx="283">
                  <c:v>852.25</c:v>
                </c:pt>
                <c:pt idx="284">
                  <c:v>863.9</c:v>
                </c:pt>
                <c:pt idx="285">
                  <c:v>873.3</c:v>
                </c:pt>
                <c:pt idx="286">
                  <c:v>872.35</c:v>
                </c:pt>
                <c:pt idx="287">
                  <c:v>870.85</c:v>
                </c:pt>
                <c:pt idx="288">
                  <c:v>855.85</c:v>
                </c:pt>
                <c:pt idx="289">
                  <c:v>887.3</c:v>
                </c:pt>
                <c:pt idx="290">
                  <c:v>874.35</c:v>
                </c:pt>
                <c:pt idx="291">
                  <c:v>872.4</c:v>
                </c:pt>
                <c:pt idx="292">
                  <c:v>882.45</c:v>
                </c:pt>
                <c:pt idx="293">
                  <c:v>883.65</c:v>
                </c:pt>
                <c:pt idx="294">
                  <c:v>876.2</c:v>
                </c:pt>
                <c:pt idx="295">
                  <c:v>898.8</c:v>
                </c:pt>
                <c:pt idx="296">
                  <c:v>901.25</c:v>
                </c:pt>
                <c:pt idx="297">
                  <c:v>907.2</c:v>
                </c:pt>
                <c:pt idx="298">
                  <c:v>910</c:v>
                </c:pt>
                <c:pt idx="299">
                  <c:v>918.1</c:v>
                </c:pt>
                <c:pt idx="300">
                  <c:v>917.6</c:v>
                </c:pt>
                <c:pt idx="301">
                  <c:v>909.1</c:v>
                </c:pt>
                <c:pt idx="302">
                  <c:v>899.2</c:v>
                </c:pt>
                <c:pt idx="303">
                  <c:v>916.75</c:v>
                </c:pt>
                <c:pt idx="304">
                  <c:v>915.25</c:v>
                </c:pt>
                <c:pt idx="305">
                  <c:v>903.4</c:v>
                </c:pt>
                <c:pt idx="306">
                  <c:v>882.25</c:v>
                </c:pt>
                <c:pt idx="307">
                  <c:v>861.05</c:v>
                </c:pt>
                <c:pt idx="308">
                  <c:v>852.55</c:v>
                </c:pt>
                <c:pt idx="309">
                  <c:v>849.5</c:v>
                </c:pt>
                <c:pt idx="310">
                  <c:v>843.9</c:v>
                </c:pt>
                <c:pt idx="311">
                  <c:v>862</c:v>
                </c:pt>
                <c:pt idx="312">
                  <c:v>848.35</c:v>
                </c:pt>
                <c:pt idx="313">
                  <c:v>867.65</c:v>
                </c:pt>
                <c:pt idx="314">
                  <c:v>885.45</c:v>
                </c:pt>
                <c:pt idx="315">
                  <c:v>882.55</c:v>
                </c:pt>
                <c:pt idx="316">
                  <c:v>881.75</c:v>
                </c:pt>
                <c:pt idx="317">
                  <c:v>870.6</c:v>
                </c:pt>
                <c:pt idx="318">
                  <c:v>868.35</c:v>
                </c:pt>
                <c:pt idx="319">
                  <c:v>853.6</c:v>
                </c:pt>
                <c:pt idx="320">
                  <c:v>870.25</c:v>
                </c:pt>
                <c:pt idx="321">
                  <c:v>885.2</c:v>
                </c:pt>
                <c:pt idx="322">
                  <c:v>896.9</c:v>
                </c:pt>
                <c:pt idx="323">
                  <c:v>892.1</c:v>
                </c:pt>
                <c:pt idx="324">
                  <c:v>888.65</c:v>
                </c:pt>
                <c:pt idx="325">
                  <c:v>907.15</c:v>
                </c:pt>
                <c:pt idx="326">
                  <c:v>926.3</c:v>
                </c:pt>
                <c:pt idx="327">
                  <c:v>925.05</c:v>
                </c:pt>
                <c:pt idx="328">
                  <c:v>924.4</c:v>
                </c:pt>
                <c:pt idx="329">
                  <c:v>907.85</c:v>
                </c:pt>
                <c:pt idx="330">
                  <c:v>908.7</c:v>
                </c:pt>
                <c:pt idx="331">
                  <c:v>908.6</c:v>
                </c:pt>
                <c:pt idx="332">
                  <c:v>904.7</c:v>
                </c:pt>
                <c:pt idx="333">
                  <c:v>908.65</c:v>
                </c:pt>
                <c:pt idx="334">
                  <c:v>905.3</c:v>
                </c:pt>
                <c:pt idx="335">
                  <c:v>917.5</c:v>
                </c:pt>
                <c:pt idx="336">
                  <c:v>910.5</c:v>
                </c:pt>
                <c:pt idx="337">
                  <c:v>910.7</c:v>
                </c:pt>
                <c:pt idx="338">
                  <c:v>906.55</c:v>
                </c:pt>
                <c:pt idx="339">
                  <c:v>894.95</c:v>
                </c:pt>
                <c:pt idx="340">
                  <c:v>911.7</c:v>
                </c:pt>
                <c:pt idx="341">
                  <c:v>913.6</c:v>
                </c:pt>
                <c:pt idx="342">
                  <c:v>919.8</c:v>
                </c:pt>
                <c:pt idx="343">
                  <c:v>920.35</c:v>
                </c:pt>
                <c:pt idx="344">
                  <c:v>921.4</c:v>
                </c:pt>
                <c:pt idx="345">
                  <c:v>923.7</c:v>
                </c:pt>
                <c:pt idx="346">
                  <c:v>927.45</c:v>
                </c:pt>
                <c:pt idx="347">
                  <c:v>938.85</c:v>
                </c:pt>
                <c:pt idx="348">
                  <c:v>930.3</c:v>
                </c:pt>
                <c:pt idx="349">
                  <c:v>937.4</c:v>
                </c:pt>
                <c:pt idx="350">
                  <c:v>946.75</c:v>
                </c:pt>
                <c:pt idx="351">
                  <c:v>952.9</c:v>
                </c:pt>
                <c:pt idx="352">
                  <c:v>940.2</c:v>
                </c:pt>
                <c:pt idx="353">
                  <c:v>930.6</c:v>
                </c:pt>
                <c:pt idx="354">
                  <c:v>933.6</c:v>
                </c:pt>
                <c:pt idx="355">
                  <c:v>922.65</c:v>
                </c:pt>
                <c:pt idx="356">
                  <c:v>922.15</c:v>
                </c:pt>
                <c:pt idx="357">
                  <c:v>931.9</c:v>
                </c:pt>
                <c:pt idx="358">
                  <c:v>929.9</c:v>
                </c:pt>
                <c:pt idx="359">
                  <c:v>930.3</c:v>
                </c:pt>
                <c:pt idx="360">
                  <c:v>932.95</c:v>
                </c:pt>
                <c:pt idx="361">
                  <c:v>921.75</c:v>
                </c:pt>
                <c:pt idx="362">
                  <c:v>908.8</c:v>
                </c:pt>
                <c:pt idx="363">
                  <c:v>902</c:v>
                </c:pt>
                <c:pt idx="364">
                  <c:v>906.45</c:v>
                </c:pt>
                <c:pt idx="365">
                  <c:v>909.7</c:v>
                </c:pt>
                <c:pt idx="366">
                  <c:v>892.25</c:v>
                </c:pt>
                <c:pt idx="367">
                  <c:v>890.65</c:v>
                </c:pt>
                <c:pt idx="368">
                  <c:v>878.9</c:v>
                </c:pt>
                <c:pt idx="369">
                  <c:v>893.2</c:v>
                </c:pt>
                <c:pt idx="370">
                  <c:v>900.65</c:v>
                </c:pt>
                <c:pt idx="371">
                  <c:v>898.95</c:v>
                </c:pt>
                <c:pt idx="372">
                  <c:v>908.05</c:v>
                </c:pt>
                <c:pt idx="373">
                  <c:v>890.85</c:v>
                </c:pt>
                <c:pt idx="374">
                  <c:v>902.45</c:v>
                </c:pt>
                <c:pt idx="375">
                  <c:v>901.35</c:v>
                </c:pt>
                <c:pt idx="376">
                  <c:v>899.1</c:v>
                </c:pt>
                <c:pt idx="377">
                  <c:v>879.15</c:v>
                </c:pt>
                <c:pt idx="378">
                  <c:v>870.1</c:v>
                </c:pt>
                <c:pt idx="379">
                  <c:v>873.35</c:v>
                </c:pt>
                <c:pt idx="380">
                  <c:v>861.35</c:v>
                </c:pt>
                <c:pt idx="381">
                  <c:v>866.3</c:v>
                </c:pt>
                <c:pt idx="382">
                  <c:v>860.65</c:v>
                </c:pt>
                <c:pt idx="383">
                  <c:v>873.45</c:v>
                </c:pt>
                <c:pt idx="384">
                  <c:v>865.25</c:v>
                </c:pt>
                <c:pt idx="385">
                  <c:v>865.15</c:v>
                </c:pt>
                <c:pt idx="386">
                  <c:v>869.5</c:v>
                </c:pt>
                <c:pt idx="387">
                  <c:v>866.15</c:v>
                </c:pt>
                <c:pt idx="388">
                  <c:v>870.35</c:v>
                </c:pt>
                <c:pt idx="389">
                  <c:v>871.7</c:v>
                </c:pt>
                <c:pt idx="390">
                  <c:v>870.75</c:v>
                </c:pt>
                <c:pt idx="391">
                  <c:v>855.3</c:v>
                </c:pt>
                <c:pt idx="392">
                  <c:v>817.2</c:v>
                </c:pt>
                <c:pt idx="393">
                  <c:v>823.5</c:v>
                </c:pt>
                <c:pt idx="394">
                  <c:v>831.9</c:v>
                </c:pt>
                <c:pt idx="395">
                  <c:v>847.95</c:v>
                </c:pt>
                <c:pt idx="396">
                  <c:v>857.9</c:v>
                </c:pt>
                <c:pt idx="397">
                  <c:v>863.8</c:v>
                </c:pt>
                <c:pt idx="398">
                  <c:v>853.7</c:v>
                </c:pt>
                <c:pt idx="399">
                  <c:v>852.75</c:v>
                </c:pt>
                <c:pt idx="400">
                  <c:v>859.1</c:v>
                </c:pt>
                <c:pt idx="401">
                  <c:v>860.8</c:v>
                </c:pt>
                <c:pt idx="402">
                  <c:v>853.85</c:v>
                </c:pt>
                <c:pt idx="403">
                  <c:v>850.65</c:v>
                </c:pt>
                <c:pt idx="404">
                  <c:v>865.3</c:v>
                </c:pt>
                <c:pt idx="405">
                  <c:v>870.8</c:v>
                </c:pt>
                <c:pt idx="406">
                  <c:v>869.45</c:v>
                </c:pt>
                <c:pt idx="407">
                  <c:v>862.65</c:v>
                </c:pt>
                <c:pt idx="408">
                  <c:v>852.1</c:v>
                </c:pt>
                <c:pt idx="409">
                  <c:v>854.2</c:v>
                </c:pt>
                <c:pt idx="410">
                  <c:v>839.25</c:v>
                </c:pt>
                <c:pt idx="411">
                  <c:v>839.75</c:v>
                </c:pt>
                <c:pt idx="412">
                  <c:v>839.7</c:v>
                </c:pt>
                <c:pt idx="413">
                  <c:v>856.4</c:v>
                </c:pt>
                <c:pt idx="414">
                  <c:v>854.85</c:v>
                </c:pt>
                <c:pt idx="415">
                  <c:v>856.3</c:v>
                </c:pt>
                <c:pt idx="416">
                  <c:v>854</c:v>
                </c:pt>
                <c:pt idx="417">
                  <c:v>868.55</c:v>
                </c:pt>
                <c:pt idx="418">
                  <c:v>867.75</c:v>
                </c:pt>
                <c:pt idx="419">
                  <c:v>872.1</c:v>
                </c:pt>
                <c:pt idx="420">
                  <c:v>855.95</c:v>
                </c:pt>
                <c:pt idx="421">
                  <c:v>842.65</c:v>
                </c:pt>
                <c:pt idx="422">
                  <c:v>828.4</c:v>
                </c:pt>
                <c:pt idx="423">
                  <c:v>830.35</c:v>
                </c:pt>
                <c:pt idx="424">
                  <c:v>825.9</c:v>
                </c:pt>
                <c:pt idx="425">
                  <c:v>823.9</c:v>
                </c:pt>
                <c:pt idx="426">
                  <c:v>836.25</c:v>
                </c:pt>
                <c:pt idx="427">
                  <c:v>836.45</c:v>
                </c:pt>
                <c:pt idx="428">
                  <c:v>852.4</c:v>
                </c:pt>
                <c:pt idx="429">
                  <c:v>860.2</c:v>
                </c:pt>
                <c:pt idx="430">
                  <c:v>855.45</c:v>
                </c:pt>
                <c:pt idx="431">
                  <c:v>852.4</c:v>
                </c:pt>
                <c:pt idx="432">
                  <c:v>848.7</c:v>
                </c:pt>
                <c:pt idx="433">
                  <c:v>854.75</c:v>
                </c:pt>
                <c:pt idx="434">
                  <c:v>851</c:v>
                </c:pt>
                <c:pt idx="435">
                  <c:v>877.25</c:v>
                </c:pt>
                <c:pt idx="436">
                  <c:v>883.8</c:v>
                </c:pt>
                <c:pt idx="437">
                  <c:v>884.6</c:v>
                </c:pt>
                <c:pt idx="438">
                  <c:v>875</c:v>
                </c:pt>
                <c:pt idx="439">
                  <c:v>868.45</c:v>
                </c:pt>
                <c:pt idx="440">
                  <c:v>881.9</c:v>
                </c:pt>
                <c:pt idx="441">
                  <c:v>890.15</c:v>
                </c:pt>
                <c:pt idx="442">
                  <c:v>899</c:v>
                </c:pt>
                <c:pt idx="443">
                  <c:v>901.3</c:v>
                </c:pt>
                <c:pt idx="444">
                  <c:v>896.85</c:v>
                </c:pt>
                <c:pt idx="445">
                  <c:v>891.9</c:v>
                </c:pt>
                <c:pt idx="446">
                  <c:v>894.4</c:v>
                </c:pt>
                <c:pt idx="447">
                  <c:v>885.65</c:v>
                </c:pt>
                <c:pt idx="448">
                  <c:v>904.75</c:v>
                </c:pt>
                <c:pt idx="449">
                  <c:v>913.45</c:v>
                </c:pt>
                <c:pt idx="450">
                  <c:v>914.95</c:v>
                </c:pt>
                <c:pt idx="451">
                  <c:v>918.35</c:v>
                </c:pt>
                <c:pt idx="452">
                  <c:v>917.65</c:v>
                </c:pt>
                <c:pt idx="453">
                  <c:v>922.1</c:v>
                </c:pt>
                <c:pt idx="454">
                  <c:v>922.85</c:v>
                </c:pt>
                <c:pt idx="455">
                  <c:v>921.7</c:v>
                </c:pt>
                <c:pt idx="456">
                  <c:v>926.95</c:v>
                </c:pt>
                <c:pt idx="457">
                  <c:v>937.9</c:v>
                </c:pt>
                <c:pt idx="458">
                  <c:v>934.4</c:v>
                </c:pt>
                <c:pt idx="459">
                  <c:v>936.05</c:v>
                </c:pt>
                <c:pt idx="460">
                  <c:v>939.2</c:v>
                </c:pt>
                <c:pt idx="461">
                  <c:v>943.9</c:v>
                </c:pt>
                <c:pt idx="462">
                  <c:v>945.75</c:v>
                </c:pt>
                <c:pt idx="463">
                  <c:v>946.35</c:v>
                </c:pt>
                <c:pt idx="464">
                  <c:v>939.35</c:v>
                </c:pt>
                <c:pt idx="465">
                  <c:v>946.5</c:v>
                </c:pt>
                <c:pt idx="466">
                  <c:v>954.3</c:v>
                </c:pt>
                <c:pt idx="467">
                  <c:v>950.35</c:v>
                </c:pt>
                <c:pt idx="468">
                  <c:v>953.4</c:v>
                </c:pt>
                <c:pt idx="469">
                  <c:v>940.65</c:v>
                </c:pt>
                <c:pt idx="470">
                  <c:v>939.85</c:v>
                </c:pt>
                <c:pt idx="471">
                  <c:v>950.7</c:v>
                </c:pt>
                <c:pt idx="472">
                  <c:v>948.15</c:v>
                </c:pt>
                <c:pt idx="473">
                  <c:v>949.95</c:v>
                </c:pt>
                <c:pt idx="474">
                  <c:v>949.15</c:v>
                </c:pt>
                <c:pt idx="475">
                  <c:v>936.1</c:v>
                </c:pt>
                <c:pt idx="476">
                  <c:v>938.15</c:v>
                </c:pt>
                <c:pt idx="477">
                  <c:v>946.75</c:v>
                </c:pt>
                <c:pt idx="478">
                  <c:v>942.1</c:v>
                </c:pt>
                <c:pt idx="479">
                  <c:v>940.2</c:v>
                </c:pt>
                <c:pt idx="480">
                  <c:v>937.9</c:v>
                </c:pt>
                <c:pt idx="481">
                  <c:v>938.05</c:v>
                </c:pt>
                <c:pt idx="482">
                  <c:v>935.95</c:v>
                </c:pt>
                <c:pt idx="483">
                  <c:v>943.55</c:v>
                </c:pt>
                <c:pt idx="484">
                  <c:v>939.8</c:v>
                </c:pt>
                <c:pt idx="485">
                  <c:v>926.6</c:v>
                </c:pt>
                <c:pt idx="486">
                  <c:v>934.2</c:v>
                </c:pt>
                <c:pt idx="487">
                  <c:v>923.15</c:v>
                </c:pt>
                <c:pt idx="488">
                  <c:v>925.55</c:v>
                </c:pt>
                <c:pt idx="489">
                  <c:v>924.7</c:v>
                </c:pt>
                <c:pt idx="490">
                  <c:v>925.75</c:v>
                </c:pt>
                <c:pt idx="491">
                  <c:v>923.5</c:v>
                </c:pt>
                <c:pt idx="492">
                  <c:v>927.45</c:v>
                </c:pt>
                <c:pt idx="493">
                  <c:v>936.1</c:v>
                </c:pt>
                <c:pt idx="494">
                  <c:v>937.45</c:v>
                </c:pt>
                <c:pt idx="495">
                  <c:v>934.6</c:v>
                </c:pt>
                <c:pt idx="496">
                  <c:v>942.55</c:v>
                </c:pt>
                <c:pt idx="497">
                  <c:v>944.7</c:v>
                </c:pt>
                <c:pt idx="498">
                  <c:v>958</c:v>
                </c:pt>
                <c:pt idx="499">
                  <c:v>959.4</c:v>
                </c:pt>
                <c:pt idx="500">
                  <c:v>946.4</c:v>
                </c:pt>
                <c:pt idx="501">
                  <c:v>948.4</c:v>
                </c:pt>
                <c:pt idx="502">
                  <c:v>944.95</c:v>
                </c:pt>
                <c:pt idx="503">
                  <c:v>944.4</c:v>
                </c:pt>
                <c:pt idx="504">
                  <c:v>955.7</c:v>
                </c:pt>
                <c:pt idx="505">
                  <c:v>960.05</c:v>
                </c:pt>
                <c:pt idx="506">
                  <c:v>968.7</c:v>
                </c:pt>
                <c:pt idx="507">
                  <c:v>975.45</c:v>
                </c:pt>
                <c:pt idx="508">
                  <c:v>973.45</c:v>
                </c:pt>
                <c:pt idx="509">
                  <c:v>995.6</c:v>
                </c:pt>
                <c:pt idx="510">
                  <c:v>997</c:v>
                </c:pt>
                <c:pt idx="511">
                  <c:v>992</c:v>
                </c:pt>
                <c:pt idx="512">
                  <c:v>994.7</c:v>
                </c:pt>
                <c:pt idx="513">
                  <c:v>996.45</c:v>
                </c:pt>
                <c:pt idx="514">
                  <c:v>990.25</c:v>
                </c:pt>
                <c:pt idx="515">
                  <c:v>996.2</c:v>
                </c:pt>
                <c:pt idx="516">
                  <c:v>998.3</c:v>
                </c:pt>
                <c:pt idx="517">
                  <c:v>994.55</c:v>
                </c:pt>
                <c:pt idx="518">
                  <c:v>986.95</c:v>
                </c:pt>
                <c:pt idx="519">
                  <c:v>965</c:v>
                </c:pt>
                <c:pt idx="520">
                  <c:v>970.5</c:v>
                </c:pt>
                <c:pt idx="521">
                  <c:v>975.65</c:v>
                </c:pt>
                <c:pt idx="522">
                  <c:v>979.9</c:v>
                </c:pt>
                <c:pt idx="523">
                  <c:v>972.7</c:v>
                </c:pt>
                <c:pt idx="524">
                  <c:v>964.1</c:v>
                </c:pt>
                <c:pt idx="525">
                  <c:v>952.85</c:v>
                </c:pt>
                <c:pt idx="526">
                  <c:v>959.55</c:v>
                </c:pt>
                <c:pt idx="527">
                  <c:v>956.5</c:v>
                </c:pt>
                <c:pt idx="528">
                  <c:v>951.65</c:v>
                </c:pt>
                <c:pt idx="529">
                  <c:v>950.65</c:v>
                </c:pt>
                <c:pt idx="530">
                  <c:v>955.2</c:v>
                </c:pt>
                <c:pt idx="531">
                  <c:v>952</c:v>
                </c:pt>
                <c:pt idx="532">
                  <c:v>966.85</c:v>
                </c:pt>
                <c:pt idx="533">
                  <c:v>968.95</c:v>
                </c:pt>
                <c:pt idx="534">
                  <c:v>970.4</c:v>
                </c:pt>
                <c:pt idx="535">
                  <c:v>970.55</c:v>
                </c:pt>
                <c:pt idx="536">
                  <c:v>967.75</c:v>
                </c:pt>
                <c:pt idx="537">
                  <c:v>958.9</c:v>
                </c:pt>
                <c:pt idx="538">
                  <c:v>958.75</c:v>
                </c:pt>
                <c:pt idx="539">
                  <c:v>968.7</c:v>
                </c:pt>
                <c:pt idx="540">
                  <c:v>967.35</c:v>
                </c:pt>
                <c:pt idx="541">
                  <c:v>968.4</c:v>
                </c:pt>
                <c:pt idx="542">
                  <c:v>957.5</c:v>
                </c:pt>
                <c:pt idx="543">
                  <c:v>965.65</c:v>
                </c:pt>
                <c:pt idx="544">
                  <c:v>970.55</c:v>
                </c:pt>
                <c:pt idx="545">
                  <c:v>978.25</c:v>
                </c:pt>
                <c:pt idx="546">
                  <c:v>990.5</c:v>
                </c:pt>
                <c:pt idx="547">
                  <c:v>989.8</c:v>
                </c:pt>
                <c:pt idx="548">
                  <c:v>987.7</c:v>
                </c:pt>
                <c:pt idx="549">
                  <c:v>992.45</c:v>
                </c:pt>
                <c:pt idx="550">
                  <c:v>990.2</c:v>
                </c:pt>
                <c:pt idx="551">
                  <c:v>987.15</c:v>
                </c:pt>
                <c:pt idx="552">
                  <c:v>959.3</c:v>
                </c:pt>
                <c:pt idx="553">
                  <c:v>950.3</c:v>
                </c:pt>
                <c:pt idx="554">
                  <c:v>956.35</c:v>
                </c:pt>
                <c:pt idx="555">
                  <c:v>948.7</c:v>
                </c:pt>
                <c:pt idx="556">
                  <c:v>943.1</c:v>
                </c:pt>
                <c:pt idx="557">
                  <c:v>942.6</c:v>
                </c:pt>
                <c:pt idx="558">
                  <c:v>951.9</c:v>
                </c:pt>
                <c:pt idx="559">
                  <c:v>940.3</c:v>
                </c:pt>
                <c:pt idx="560">
                  <c:v>930.05</c:v>
                </c:pt>
                <c:pt idx="561">
                  <c:v>940.85</c:v>
                </c:pt>
                <c:pt idx="562">
                  <c:v>945.2</c:v>
                </c:pt>
                <c:pt idx="563">
                  <c:v>938.6</c:v>
                </c:pt>
                <c:pt idx="564">
                  <c:v>951.2</c:v>
                </c:pt>
                <c:pt idx="565">
                  <c:v>953.1</c:v>
                </c:pt>
                <c:pt idx="566">
                  <c:v>954.25</c:v>
                </c:pt>
                <c:pt idx="567">
                  <c:v>951.3</c:v>
                </c:pt>
                <c:pt idx="568">
                  <c:v>951.4</c:v>
                </c:pt>
                <c:pt idx="569">
                  <c:v>953.9</c:v>
                </c:pt>
                <c:pt idx="570">
                  <c:v>943.75</c:v>
                </c:pt>
                <c:pt idx="571">
                  <c:v>935.75</c:v>
                </c:pt>
                <c:pt idx="572">
                  <c:v>932.75</c:v>
                </c:pt>
                <c:pt idx="573">
                  <c:v>929.95</c:v>
                </c:pt>
                <c:pt idx="574">
                  <c:v>916.1</c:v>
                </c:pt>
                <c:pt idx="575">
                  <c:v>908.65</c:v>
                </c:pt>
                <c:pt idx="576">
                  <c:v>912.75</c:v>
                </c:pt>
                <c:pt idx="577">
                  <c:v>924.9</c:v>
                </c:pt>
                <c:pt idx="578">
                  <c:v>915.35</c:v>
                </c:pt>
                <c:pt idx="579">
                  <c:v>914.05</c:v>
                </c:pt>
                <c:pt idx="580">
                  <c:v>919.95</c:v>
                </c:pt>
                <c:pt idx="581">
                  <c:v>933.8</c:v>
                </c:pt>
                <c:pt idx="582">
                  <c:v>945.45</c:v>
                </c:pt>
                <c:pt idx="583">
                  <c:v>948.1</c:v>
                </c:pt>
                <c:pt idx="584">
                  <c:v>935.75</c:v>
                </c:pt>
                <c:pt idx="585">
                  <c:v>937.35</c:v>
                </c:pt>
                <c:pt idx="586">
                  <c:v>938.6</c:v>
                </c:pt>
                <c:pt idx="587">
                  <c:v>942.35</c:v>
                </c:pt>
                <c:pt idx="588">
                  <c:v>934.45</c:v>
                </c:pt>
                <c:pt idx="589">
                  <c:v>941.1</c:v>
                </c:pt>
                <c:pt idx="590">
                  <c:v>936</c:v>
                </c:pt>
                <c:pt idx="591">
                  <c:v>921.85</c:v>
                </c:pt>
                <c:pt idx="592">
                  <c:v>921.45</c:v>
                </c:pt>
                <c:pt idx="593">
                  <c:v>926.1</c:v>
                </c:pt>
                <c:pt idx="594">
                  <c:v>922.75</c:v>
                </c:pt>
                <c:pt idx="595">
                  <c:v>923</c:v>
                </c:pt>
                <c:pt idx="596">
                  <c:v>929.4</c:v>
                </c:pt>
                <c:pt idx="597">
                  <c:v>925.5</c:v>
                </c:pt>
                <c:pt idx="598">
                  <c:v>939.6</c:v>
                </c:pt>
                <c:pt idx="599">
                  <c:v>934.95</c:v>
                </c:pt>
                <c:pt idx="600">
                  <c:v>946.7</c:v>
                </c:pt>
                <c:pt idx="601">
                  <c:v>991.2</c:v>
                </c:pt>
                <c:pt idx="602">
                  <c:v>1013.45</c:v>
                </c:pt>
                <c:pt idx="603">
                  <c:v>1003.25</c:v>
                </c:pt>
                <c:pt idx="604">
                  <c:v>999</c:v>
                </c:pt>
                <c:pt idx="605">
                  <c:v>1010.85</c:v>
                </c:pt>
                <c:pt idx="606">
                  <c:v>1017.1</c:v>
                </c:pt>
                <c:pt idx="607">
                  <c:v>1015.7</c:v>
                </c:pt>
                <c:pt idx="608">
                  <c:v>1013.9</c:v>
                </c:pt>
                <c:pt idx="609">
                  <c:v>1033.6500000000001</c:v>
                </c:pt>
                <c:pt idx="610">
                  <c:v>1037.4000000000001</c:v>
                </c:pt>
                <c:pt idx="611">
                  <c:v>1021.45</c:v>
                </c:pt>
                <c:pt idx="612">
                  <c:v>1015.45</c:v>
                </c:pt>
                <c:pt idx="613">
                  <c:v>1006.65</c:v>
                </c:pt>
                <c:pt idx="614">
                  <c:v>1004.4</c:v>
                </c:pt>
                <c:pt idx="615">
                  <c:v>994.3</c:v>
                </c:pt>
                <c:pt idx="616">
                  <c:v>995.1</c:v>
                </c:pt>
                <c:pt idx="617">
                  <c:v>1002.25</c:v>
                </c:pt>
                <c:pt idx="618">
                  <c:v>1005.9</c:v>
                </c:pt>
                <c:pt idx="619">
                  <c:v>996.6</c:v>
                </c:pt>
                <c:pt idx="620">
                  <c:v>999.4</c:v>
                </c:pt>
                <c:pt idx="621">
                  <c:v>982.25</c:v>
                </c:pt>
                <c:pt idx="622">
                  <c:v>984.05</c:v>
                </c:pt>
                <c:pt idx="623">
                  <c:v>987.15</c:v>
                </c:pt>
                <c:pt idx="624">
                  <c:v>993.7</c:v>
                </c:pt>
                <c:pt idx="625">
                  <c:v>982</c:v>
                </c:pt>
                <c:pt idx="626">
                  <c:v>979.75</c:v>
                </c:pt>
                <c:pt idx="627">
                  <c:v>993.05</c:v>
                </c:pt>
                <c:pt idx="628">
                  <c:v>991.15</c:v>
                </c:pt>
                <c:pt idx="629">
                  <c:v>1003.5</c:v>
                </c:pt>
                <c:pt idx="630">
                  <c:v>1009.85</c:v>
                </c:pt>
                <c:pt idx="631">
                  <c:v>1009.05</c:v>
                </c:pt>
                <c:pt idx="632">
                  <c:v>981.75</c:v>
                </c:pt>
                <c:pt idx="633">
                  <c:v>986.35</c:v>
                </c:pt>
                <c:pt idx="634">
                  <c:v>999.2</c:v>
                </c:pt>
                <c:pt idx="635">
                  <c:v>1008.7</c:v>
                </c:pt>
                <c:pt idx="636">
                  <c:v>1029.05</c:v>
                </c:pt>
                <c:pt idx="637">
                  <c:v>999.2</c:v>
                </c:pt>
                <c:pt idx="638">
                  <c:v>1009.95</c:v>
                </c:pt>
                <c:pt idx="639">
                  <c:v>1016.4</c:v>
                </c:pt>
                <c:pt idx="640">
                  <c:v>1016.9</c:v>
                </c:pt>
                <c:pt idx="641">
                  <c:v>1028.1500000000001</c:v>
                </c:pt>
                <c:pt idx="642">
                  <c:v>1025.1500000000001</c:v>
                </c:pt>
                <c:pt idx="643">
                  <c:v>1024</c:v>
                </c:pt>
                <c:pt idx="644">
                  <c:v>1023.5</c:v>
                </c:pt>
                <c:pt idx="645">
                  <c:v>1026.4000000000001</c:v>
                </c:pt>
                <c:pt idx="646">
                  <c:v>1022.15</c:v>
                </c:pt>
                <c:pt idx="647">
                  <c:v>989.3</c:v>
                </c:pt>
                <c:pt idx="648">
                  <c:v>1010.7</c:v>
                </c:pt>
                <c:pt idx="649">
                  <c:v>996.1</c:v>
                </c:pt>
                <c:pt idx="650">
                  <c:v>1019.8</c:v>
                </c:pt>
                <c:pt idx="651">
                  <c:v>1022.7</c:v>
                </c:pt>
                <c:pt idx="652">
                  <c:v>1016.65</c:v>
                </c:pt>
                <c:pt idx="653">
                  <c:v>1023.25</c:v>
                </c:pt>
                <c:pt idx="654">
                  <c:v>1043.75</c:v>
                </c:pt>
                <c:pt idx="655">
                  <c:v>1048.75</c:v>
                </c:pt>
                <c:pt idx="656">
                  <c:v>1051.95</c:v>
                </c:pt>
                <c:pt idx="657">
                  <c:v>1062.7</c:v>
                </c:pt>
                <c:pt idx="658">
                  <c:v>1061.3</c:v>
                </c:pt>
                <c:pt idx="659">
                  <c:v>1054.2</c:v>
                </c:pt>
                <c:pt idx="660">
                  <c:v>1060.2</c:v>
                </c:pt>
                <c:pt idx="661">
                  <c:v>1046.2</c:v>
                </c:pt>
                <c:pt idx="662">
                  <c:v>1052.2</c:v>
                </c:pt>
                <c:pt idx="663">
                  <c:v>1086.9000000000001</c:v>
                </c:pt>
                <c:pt idx="664">
                  <c:v>1084.6500000000001</c:v>
                </c:pt>
                <c:pt idx="665">
                  <c:v>1092.3499999999999</c:v>
                </c:pt>
                <c:pt idx="666">
                  <c:v>1088.05</c:v>
                </c:pt>
                <c:pt idx="667">
                  <c:v>1097.0999999999999</c:v>
                </c:pt>
                <c:pt idx="668">
                  <c:v>1087.95</c:v>
                </c:pt>
                <c:pt idx="669">
                  <c:v>1078.7</c:v>
                </c:pt>
                <c:pt idx="670">
                  <c:v>1076.8499999999999</c:v>
                </c:pt>
                <c:pt idx="671">
                  <c:v>1083.95</c:v>
                </c:pt>
                <c:pt idx="672">
                  <c:v>1083.5999999999999</c:v>
                </c:pt>
                <c:pt idx="673">
                  <c:v>1080.3499999999999</c:v>
                </c:pt>
                <c:pt idx="674">
                  <c:v>1081.2</c:v>
                </c:pt>
                <c:pt idx="675">
                  <c:v>1083.95</c:v>
                </c:pt>
                <c:pt idx="676">
                  <c:v>1084.5</c:v>
                </c:pt>
                <c:pt idx="677">
                  <c:v>1081.8</c:v>
                </c:pt>
                <c:pt idx="678">
                  <c:v>1090.3</c:v>
                </c:pt>
                <c:pt idx="679">
                  <c:v>1083.7</c:v>
                </c:pt>
                <c:pt idx="680">
                  <c:v>1083.75</c:v>
                </c:pt>
                <c:pt idx="681">
                  <c:v>1093.3</c:v>
                </c:pt>
                <c:pt idx="682">
                  <c:v>1099.6500000000001</c:v>
                </c:pt>
                <c:pt idx="683">
                  <c:v>1081.2</c:v>
                </c:pt>
                <c:pt idx="684">
                  <c:v>1077.2</c:v>
                </c:pt>
                <c:pt idx="685">
                  <c:v>1078.8499999999999</c:v>
                </c:pt>
                <c:pt idx="686">
                  <c:v>1083.4000000000001</c:v>
                </c:pt>
                <c:pt idx="687">
                  <c:v>1087.1500000000001</c:v>
                </c:pt>
                <c:pt idx="688">
                  <c:v>1107.05</c:v>
                </c:pt>
                <c:pt idx="689">
                  <c:v>1109.4000000000001</c:v>
                </c:pt>
                <c:pt idx="690">
                  <c:v>1104.4000000000001</c:v>
                </c:pt>
                <c:pt idx="691">
                  <c:v>1078.3499999999999</c:v>
                </c:pt>
                <c:pt idx="692">
                  <c:v>1067.05</c:v>
                </c:pt>
                <c:pt idx="693">
                  <c:v>1055.45</c:v>
                </c:pt>
                <c:pt idx="694">
                  <c:v>1067.25</c:v>
                </c:pt>
                <c:pt idx="695">
                  <c:v>1086.6500000000001</c:v>
                </c:pt>
                <c:pt idx="696">
                  <c:v>1090.25</c:v>
                </c:pt>
                <c:pt idx="697">
                  <c:v>1096.75</c:v>
                </c:pt>
                <c:pt idx="698">
                  <c:v>1113.75</c:v>
                </c:pt>
                <c:pt idx="699">
                  <c:v>1107.9000000000001</c:v>
                </c:pt>
                <c:pt idx="700">
                  <c:v>1160.1500000000001</c:v>
                </c:pt>
                <c:pt idx="701">
                  <c:v>1150.4000000000001</c:v>
                </c:pt>
                <c:pt idx="702">
                  <c:v>1139.45</c:v>
                </c:pt>
                <c:pt idx="703">
                  <c:v>1142.05</c:v>
                </c:pt>
                <c:pt idx="704">
                  <c:v>1146.3</c:v>
                </c:pt>
                <c:pt idx="705">
                  <c:v>1131.9000000000001</c:v>
                </c:pt>
                <c:pt idx="706">
                  <c:v>1123</c:v>
                </c:pt>
                <c:pt idx="707">
                  <c:v>1115.7</c:v>
                </c:pt>
                <c:pt idx="708">
                  <c:v>1117.05</c:v>
                </c:pt>
                <c:pt idx="709">
                  <c:v>1128</c:v>
                </c:pt>
                <c:pt idx="710">
                  <c:v>1120.55</c:v>
                </c:pt>
                <c:pt idx="711">
                  <c:v>1124.3499999999999</c:v>
                </c:pt>
                <c:pt idx="712">
                  <c:v>1131.05</c:v>
                </c:pt>
                <c:pt idx="713">
                  <c:v>1130.5</c:v>
                </c:pt>
                <c:pt idx="714">
                  <c:v>1130.75</c:v>
                </c:pt>
                <c:pt idx="715">
                  <c:v>1120.95</c:v>
                </c:pt>
                <c:pt idx="716">
                  <c:v>1111.0999999999999</c:v>
                </c:pt>
                <c:pt idx="717">
                  <c:v>1134.5</c:v>
                </c:pt>
                <c:pt idx="718">
                  <c:v>1131.95</c:v>
                </c:pt>
                <c:pt idx="719">
                  <c:v>1129.8</c:v>
                </c:pt>
                <c:pt idx="720">
                  <c:v>1126.95</c:v>
                </c:pt>
                <c:pt idx="721">
                  <c:v>1102</c:v>
                </c:pt>
                <c:pt idx="722">
                  <c:v>1113.7</c:v>
                </c:pt>
                <c:pt idx="723">
                  <c:v>1121.05</c:v>
                </c:pt>
                <c:pt idx="724">
                  <c:v>1160</c:v>
                </c:pt>
                <c:pt idx="725">
                  <c:v>1071.45</c:v>
                </c:pt>
                <c:pt idx="726">
                  <c:v>1108.6500000000001</c:v>
                </c:pt>
                <c:pt idx="727">
                  <c:v>1110.4000000000001</c:v>
                </c:pt>
                <c:pt idx="728">
                  <c:v>1121.7</c:v>
                </c:pt>
                <c:pt idx="729">
                  <c:v>1123.8</c:v>
                </c:pt>
                <c:pt idx="730">
                  <c:v>1118.2</c:v>
                </c:pt>
                <c:pt idx="731">
                  <c:v>1119.55</c:v>
                </c:pt>
                <c:pt idx="732">
                  <c:v>1107.3499999999999</c:v>
                </c:pt>
                <c:pt idx="733">
                  <c:v>1105.6500000000001</c:v>
                </c:pt>
                <c:pt idx="734">
                  <c:v>1122.8499999999999</c:v>
                </c:pt>
                <c:pt idx="735">
                  <c:v>1144.45</c:v>
                </c:pt>
                <c:pt idx="736">
                  <c:v>1156.8</c:v>
                </c:pt>
                <c:pt idx="737">
                  <c:v>1158.6500000000001</c:v>
                </c:pt>
                <c:pt idx="738">
                  <c:v>1170.0999999999999</c:v>
                </c:pt>
                <c:pt idx="739">
                  <c:v>1197.95</c:v>
                </c:pt>
                <c:pt idx="740">
                  <c:v>1218</c:v>
                </c:pt>
                <c:pt idx="741">
                  <c:v>1219.9000000000001</c:v>
                </c:pt>
                <c:pt idx="742">
                  <c:v>1199.5999999999999</c:v>
                </c:pt>
                <c:pt idx="743">
                  <c:v>1211.8499999999999</c:v>
                </c:pt>
                <c:pt idx="744">
                  <c:v>1190.5999999999999</c:v>
                </c:pt>
                <c:pt idx="745">
                  <c:v>1201.5999999999999</c:v>
                </c:pt>
                <c:pt idx="746">
                  <c:v>1233</c:v>
                </c:pt>
                <c:pt idx="747">
                  <c:v>1233.4000000000001</c:v>
                </c:pt>
                <c:pt idx="748">
                  <c:v>1235.05</c:v>
                </c:pt>
                <c:pt idx="749">
                  <c:v>1248.25</c:v>
                </c:pt>
                <c:pt idx="750">
                  <c:v>1243.2</c:v>
                </c:pt>
                <c:pt idx="751">
                  <c:v>1238.45</c:v>
                </c:pt>
                <c:pt idx="752">
                  <c:v>1232.9000000000001</c:v>
                </c:pt>
                <c:pt idx="753">
                  <c:v>1229.95</c:v>
                </c:pt>
                <c:pt idx="754">
                  <c:v>1239.9000000000001</c:v>
                </c:pt>
                <c:pt idx="755">
                  <c:v>1250.3</c:v>
                </c:pt>
                <c:pt idx="756">
                  <c:v>1248.6500000000001</c:v>
                </c:pt>
                <c:pt idx="757">
                  <c:v>1241.1500000000001</c:v>
                </c:pt>
                <c:pt idx="758">
                  <c:v>1226.75</c:v>
                </c:pt>
                <c:pt idx="759">
                  <c:v>1223</c:v>
                </c:pt>
                <c:pt idx="760">
                  <c:v>1197.9000000000001</c:v>
                </c:pt>
                <c:pt idx="761">
                  <c:v>1207.2</c:v>
                </c:pt>
                <c:pt idx="762">
                  <c:v>1212.7</c:v>
                </c:pt>
                <c:pt idx="763">
                  <c:v>1209.45</c:v>
                </c:pt>
                <c:pt idx="764">
                  <c:v>1214.9000000000001</c:v>
                </c:pt>
                <c:pt idx="765">
                  <c:v>1210.0999999999999</c:v>
                </c:pt>
                <c:pt idx="766">
                  <c:v>1196.55</c:v>
                </c:pt>
                <c:pt idx="767">
                  <c:v>1172.5999999999999</c:v>
                </c:pt>
                <c:pt idx="768">
                  <c:v>1166.8499999999999</c:v>
                </c:pt>
                <c:pt idx="769">
                  <c:v>1172.45</c:v>
                </c:pt>
                <c:pt idx="770">
                  <c:v>1164.5999999999999</c:v>
                </c:pt>
                <c:pt idx="771">
                  <c:v>1171.5999999999999</c:v>
                </c:pt>
                <c:pt idx="772">
                  <c:v>1172.8</c:v>
                </c:pt>
                <c:pt idx="773">
                  <c:v>1168.3499999999999</c:v>
                </c:pt>
                <c:pt idx="774">
                  <c:v>1161.6500000000001</c:v>
                </c:pt>
                <c:pt idx="775">
                  <c:v>1187.25</c:v>
                </c:pt>
                <c:pt idx="776">
                  <c:v>1175.9000000000001</c:v>
                </c:pt>
                <c:pt idx="777">
                  <c:v>1179.45</c:v>
                </c:pt>
                <c:pt idx="778">
                  <c:v>1174.8499999999999</c:v>
                </c:pt>
                <c:pt idx="779">
                  <c:v>1191.0999999999999</c:v>
                </c:pt>
                <c:pt idx="780">
                  <c:v>1203.5</c:v>
                </c:pt>
                <c:pt idx="781">
                  <c:v>1213.3</c:v>
                </c:pt>
                <c:pt idx="782">
                  <c:v>1226.3499999999999</c:v>
                </c:pt>
                <c:pt idx="783">
                  <c:v>1223.8499999999999</c:v>
                </c:pt>
                <c:pt idx="784">
                  <c:v>1221.9000000000001</c:v>
                </c:pt>
                <c:pt idx="785">
                  <c:v>1229.2</c:v>
                </c:pt>
                <c:pt idx="786">
                  <c:v>1229.95</c:v>
                </c:pt>
                <c:pt idx="787">
                  <c:v>1247.7</c:v>
                </c:pt>
                <c:pt idx="788">
                  <c:v>1236.3499999999999</c:v>
                </c:pt>
                <c:pt idx="789">
                  <c:v>1235.95</c:v>
                </c:pt>
                <c:pt idx="790">
                  <c:v>1208.1500000000001</c:v>
                </c:pt>
                <c:pt idx="791">
                  <c:v>1235</c:v>
                </c:pt>
                <c:pt idx="792">
                  <c:v>1237.3</c:v>
                </c:pt>
                <c:pt idx="793">
                  <c:v>1236.3499999999999</c:v>
                </c:pt>
                <c:pt idx="794">
                  <c:v>1252.1500000000001</c:v>
                </c:pt>
                <c:pt idx="795">
                  <c:v>1250.3499999999999</c:v>
                </c:pt>
                <c:pt idx="796">
                  <c:v>1262.8499999999999</c:v>
                </c:pt>
                <c:pt idx="797">
                  <c:v>1268.0999999999999</c:v>
                </c:pt>
                <c:pt idx="798">
                  <c:v>1288.3499999999999</c:v>
                </c:pt>
                <c:pt idx="799">
                  <c:v>1292</c:v>
                </c:pt>
                <c:pt idx="800">
                  <c:v>1338.45</c:v>
                </c:pt>
                <c:pt idx="801">
                  <c:v>1321.9</c:v>
                </c:pt>
                <c:pt idx="802">
                  <c:v>1318.6</c:v>
                </c:pt>
                <c:pt idx="803">
                  <c:v>1323.85</c:v>
                </c:pt>
                <c:pt idx="804">
                  <c:v>1329.05</c:v>
                </c:pt>
                <c:pt idx="805">
                  <c:v>1306.5999999999999</c:v>
                </c:pt>
                <c:pt idx="806">
                  <c:v>1273</c:v>
                </c:pt>
                <c:pt idx="807">
                  <c:v>1274.4000000000001</c:v>
                </c:pt>
                <c:pt idx="808">
                  <c:v>1256.3499999999999</c:v>
                </c:pt>
                <c:pt idx="809">
                  <c:v>1239.75</c:v>
                </c:pt>
                <c:pt idx="810">
                  <c:v>1233.9000000000001</c:v>
                </c:pt>
                <c:pt idx="811">
                  <c:v>1236.5999999999999</c:v>
                </c:pt>
                <c:pt idx="812">
                  <c:v>1244.1500000000001</c:v>
                </c:pt>
                <c:pt idx="813">
                  <c:v>1243.5</c:v>
                </c:pt>
                <c:pt idx="814">
                  <c:v>1223</c:v>
                </c:pt>
                <c:pt idx="815">
                  <c:v>1231.75</c:v>
                </c:pt>
                <c:pt idx="816">
                  <c:v>1255.5</c:v>
                </c:pt>
                <c:pt idx="817">
                  <c:v>1243.1500000000001</c:v>
                </c:pt>
                <c:pt idx="818">
                  <c:v>1231.25</c:v>
                </c:pt>
                <c:pt idx="819">
                  <c:v>1264.5</c:v>
                </c:pt>
                <c:pt idx="820">
                  <c:v>1259.05</c:v>
                </c:pt>
                <c:pt idx="821">
                  <c:v>1267.5</c:v>
                </c:pt>
                <c:pt idx="822">
                  <c:v>1251.5999999999999</c:v>
                </c:pt>
                <c:pt idx="823">
                  <c:v>1252.75</c:v>
                </c:pt>
                <c:pt idx="824">
                  <c:v>1255.45</c:v>
                </c:pt>
                <c:pt idx="825">
                  <c:v>1292.8499999999999</c:v>
                </c:pt>
                <c:pt idx="826">
                  <c:v>1331.85</c:v>
                </c:pt>
                <c:pt idx="827">
                  <c:v>1312.15</c:v>
                </c:pt>
                <c:pt idx="828">
                  <c:v>1292.25</c:v>
                </c:pt>
                <c:pt idx="829">
                  <c:v>1291.8</c:v>
                </c:pt>
                <c:pt idx="830">
                  <c:v>1277.2</c:v>
                </c:pt>
                <c:pt idx="831">
                  <c:v>1296.7</c:v>
                </c:pt>
                <c:pt idx="832">
                  <c:v>1302.3499999999999</c:v>
                </c:pt>
                <c:pt idx="833">
                  <c:v>1278.7</c:v>
                </c:pt>
                <c:pt idx="834">
                  <c:v>1258.8499999999999</c:v>
                </c:pt>
                <c:pt idx="835">
                  <c:v>1269.3</c:v>
                </c:pt>
                <c:pt idx="836">
                  <c:v>1270.5999999999999</c:v>
                </c:pt>
                <c:pt idx="837">
                  <c:v>1253.7</c:v>
                </c:pt>
                <c:pt idx="838">
                  <c:v>1256.95</c:v>
                </c:pt>
                <c:pt idx="839">
                  <c:v>1253.45</c:v>
                </c:pt>
                <c:pt idx="840">
                  <c:v>1249.0999999999999</c:v>
                </c:pt>
                <c:pt idx="841">
                  <c:v>1250.55</c:v>
                </c:pt>
                <c:pt idx="842">
                  <c:v>1278.05</c:v>
                </c:pt>
                <c:pt idx="843">
                  <c:v>1300.95</c:v>
                </c:pt>
                <c:pt idx="844">
                  <c:v>1304.95</c:v>
                </c:pt>
                <c:pt idx="845">
                  <c:v>1300.7</c:v>
                </c:pt>
                <c:pt idx="846">
                  <c:v>1286.3499999999999</c:v>
                </c:pt>
                <c:pt idx="847">
                  <c:v>1300.0999999999999</c:v>
                </c:pt>
                <c:pt idx="848">
                  <c:v>1304.6500000000001</c:v>
                </c:pt>
                <c:pt idx="849">
                  <c:v>1308.4000000000001</c:v>
                </c:pt>
                <c:pt idx="850">
                  <c:v>1316.05</c:v>
                </c:pt>
                <c:pt idx="851">
                  <c:v>1336.5</c:v>
                </c:pt>
                <c:pt idx="852">
                  <c:v>1328.75</c:v>
                </c:pt>
                <c:pt idx="853">
                  <c:v>1322.3</c:v>
                </c:pt>
                <c:pt idx="854">
                  <c:v>1330.45</c:v>
                </c:pt>
                <c:pt idx="855">
                  <c:v>1327.5</c:v>
                </c:pt>
                <c:pt idx="856">
                  <c:v>1329.25</c:v>
                </c:pt>
                <c:pt idx="857">
                  <c:v>1344.9</c:v>
                </c:pt>
                <c:pt idx="858">
                  <c:v>1346.1</c:v>
                </c:pt>
                <c:pt idx="859">
                  <c:v>1333.75</c:v>
                </c:pt>
                <c:pt idx="860">
                  <c:v>1314.15</c:v>
                </c:pt>
                <c:pt idx="861">
                  <c:v>1286.9000000000001</c:v>
                </c:pt>
                <c:pt idx="862">
                  <c:v>1288.4000000000001</c:v>
                </c:pt>
                <c:pt idx="863">
                  <c:v>1296.8</c:v>
                </c:pt>
                <c:pt idx="864">
                  <c:v>1297.25</c:v>
                </c:pt>
                <c:pt idx="865">
                  <c:v>1297.3499999999999</c:v>
                </c:pt>
                <c:pt idx="866">
                  <c:v>1307.55</c:v>
                </c:pt>
                <c:pt idx="867">
                  <c:v>1294.6500000000001</c:v>
                </c:pt>
                <c:pt idx="868">
                  <c:v>1281.6500000000001</c:v>
                </c:pt>
                <c:pt idx="869">
                  <c:v>1283.6500000000001</c:v>
                </c:pt>
                <c:pt idx="870">
                  <c:v>1290.5999999999999</c:v>
                </c:pt>
                <c:pt idx="871">
                  <c:v>1265.05</c:v>
                </c:pt>
                <c:pt idx="872">
                  <c:v>1264.0999999999999</c:v>
                </c:pt>
                <c:pt idx="873">
                  <c:v>1279.25</c:v>
                </c:pt>
                <c:pt idx="874">
                  <c:v>1263.75</c:v>
                </c:pt>
                <c:pt idx="875">
                  <c:v>1262.4000000000001</c:v>
                </c:pt>
                <c:pt idx="876">
                  <c:v>1249.8499999999999</c:v>
                </c:pt>
                <c:pt idx="877">
                  <c:v>1229.75</c:v>
                </c:pt>
                <c:pt idx="878">
                  <c:v>1240.3</c:v>
                </c:pt>
                <c:pt idx="879">
                  <c:v>1238.25</c:v>
                </c:pt>
                <c:pt idx="880">
                  <c:v>1249.0999999999999</c:v>
                </c:pt>
                <c:pt idx="881">
                  <c:v>1225.45</c:v>
                </c:pt>
                <c:pt idx="882">
                  <c:v>1232.95</c:v>
                </c:pt>
                <c:pt idx="883">
                  <c:v>1196.1500000000001</c:v>
                </c:pt>
                <c:pt idx="884">
                  <c:v>1200.45</c:v>
                </c:pt>
                <c:pt idx="885">
                  <c:v>1201.75</c:v>
                </c:pt>
                <c:pt idx="886">
                  <c:v>1209.2</c:v>
                </c:pt>
                <c:pt idx="887">
                  <c:v>1227.95</c:v>
                </c:pt>
                <c:pt idx="888">
                  <c:v>1246.9000000000001</c:v>
                </c:pt>
                <c:pt idx="889">
                  <c:v>1251.6500000000001</c:v>
                </c:pt>
                <c:pt idx="890">
                  <c:v>1255.5999999999999</c:v>
                </c:pt>
                <c:pt idx="891">
                  <c:v>1252.8</c:v>
                </c:pt>
                <c:pt idx="892">
                  <c:v>1255.55</c:v>
                </c:pt>
                <c:pt idx="893">
                  <c:v>1253</c:v>
                </c:pt>
                <c:pt idx="894">
                  <c:v>1268.2</c:v>
                </c:pt>
                <c:pt idx="895">
                  <c:v>1267.7</c:v>
                </c:pt>
                <c:pt idx="896">
                  <c:v>1272.4000000000001</c:v>
                </c:pt>
                <c:pt idx="897">
                  <c:v>1256.9000000000001</c:v>
                </c:pt>
                <c:pt idx="898">
                  <c:v>1262.5999999999999</c:v>
                </c:pt>
                <c:pt idx="899">
                  <c:v>1252.75</c:v>
                </c:pt>
                <c:pt idx="900">
                  <c:v>1251.8</c:v>
                </c:pt>
                <c:pt idx="901">
                  <c:v>1248.9000000000001</c:v>
                </c:pt>
                <c:pt idx="902">
                  <c:v>1260.0999999999999</c:v>
                </c:pt>
                <c:pt idx="903">
                  <c:v>1251.1500000000001</c:v>
                </c:pt>
                <c:pt idx="904">
                  <c:v>1243.05</c:v>
                </c:pt>
                <c:pt idx="905">
                  <c:v>1261.6500000000001</c:v>
                </c:pt>
                <c:pt idx="906">
                  <c:v>1249.95</c:v>
                </c:pt>
                <c:pt idx="907">
                  <c:v>1232.95</c:v>
                </c:pt>
                <c:pt idx="908">
                  <c:v>1218.3499999999999</c:v>
                </c:pt>
                <c:pt idx="909">
                  <c:v>1224.1500000000001</c:v>
                </c:pt>
                <c:pt idx="910">
                  <c:v>1222.45</c:v>
                </c:pt>
                <c:pt idx="911">
                  <c:v>1204.0999999999999</c:v>
                </c:pt>
                <c:pt idx="912">
                  <c:v>1206.2</c:v>
                </c:pt>
                <c:pt idx="913">
                  <c:v>1210.4000000000001</c:v>
                </c:pt>
                <c:pt idx="914">
                  <c:v>1215.7</c:v>
                </c:pt>
                <c:pt idx="915">
                  <c:v>1218.05</c:v>
                </c:pt>
                <c:pt idx="916">
                  <c:v>1214.55</c:v>
                </c:pt>
                <c:pt idx="917">
                  <c:v>1214.8499999999999</c:v>
                </c:pt>
                <c:pt idx="918">
                  <c:v>1245.4000000000001</c:v>
                </c:pt>
                <c:pt idx="919">
                  <c:v>1243.95</c:v>
                </c:pt>
                <c:pt idx="920">
                  <c:v>1250.05</c:v>
                </c:pt>
                <c:pt idx="921">
                  <c:v>1269</c:v>
                </c:pt>
                <c:pt idx="922">
                  <c:v>1309.8499999999999</c:v>
                </c:pt>
                <c:pt idx="923">
                  <c:v>1313.1</c:v>
                </c:pt>
                <c:pt idx="924">
                  <c:v>1321.7</c:v>
                </c:pt>
                <c:pt idx="925">
                  <c:v>1343.1</c:v>
                </c:pt>
                <c:pt idx="926">
                  <c:v>1358.15</c:v>
                </c:pt>
                <c:pt idx="927">
                  <c:v>1343.7</c:v>
                </c:pt>
                <c:pt idx="928">
                  <c:v>1335.9</c:v>
                </c:pt>
                <c:pt idx="929">
                  <c:v>1336.65</c:v>
                </c:pt>
                <c:pt idx="930">
                  <c:v>1348.35</c:v>
                </c:pt>
                <c:pt idx="931">
                  <c:v>1318.45</c:v>
                </c:pt>
                <c:pt idx="932">
                  <c:v>1331.25</c:v>
                </c:pt>
                <c:pt idx="933">
                  <c:v>1329.55</c:v>
                </c:pt>
                <c:pt idx="934">
                  <c:v>1335.3</c:v>
                </c:pt>
                <c:pt idx="935">
                  <c:v>1287.55</c:v>
                </c:pt>
                <c:pt idx="936">
                  <c:v>1299.9000000000001</c:v>
                </c:pt>
                <c:pt idx="937">
                  <c:v>1300.8</c:v>
                </c:pt>
                <c:pt idx="938">
                  <c:v>1311.65</c:v>
                </c:pt>
                <c:pt idx="939">
                  <c:v>1350.2</c:v>
                </c:pt>
                <c:pt idx="940">
                  <c:v>1356.4</c:v>
                </c:pt>
                <c:pt idx="941">
                  <c:v>1406.7</c:v>
                </c:pt>
                <c:pt idx="942">
                  <c:v>1409.8</c:v>
                </c:pt>
                <c:pt idx="943">
                  <c:v>1416.5</c:v>
                </c:pt>
                <c:pt idx="944">
                  <c:v>1424.4</c:v>
                </c:pt>
                <c:pt idx="945">
                  <c:v>1402.7</c:v>
                </c:pt>
                <c:pt idx="946">
                  <c:v>1404.8</c:v>
                </c:pt>
                <c:pt idx="947">
                  <c:v>1428.8</c:v>
                </c:pt>
                <c:pt idx="948">
                  <c:v>1429.8</c:v>
                </c:pt>
                <c:pt idx="949">
                  <c:v>1427</c:v>
                </c:pt>
                <c:pt idx="950">
                  <c:v>1432.4</c:v>
                </c:pt>
                <c:pt idx="951">
                  <c:v>1429.4</c:v>
                </c:pt>
                <c:pt idx="952">
                  <c:v>1431.6</c:v>
                </c:pt>
                <c:pt idx="953">
                  <c:v>1435.4</c:v>
                </c:pt>
                <c:pt idx="954">
                  <c:v>1435.5</c:v>
                </c:pt>
                <c:pt idx="955">
                  <c:v>1388.9</c:v>
                </c:pt>
                <c:pt idx="956">
                  <c:v>1448.5</c:v>
                </c:pt>
                <c:pt idx="957">
                  <c:v>1430.6</c:v>
                </c:pt>
                <c:pt idx="958">
                  <c:v>1426.2</c:v>
                </c:pt>
                <c:pt idx="959">
                  <c:v>1450.8</c:v>
                </c:pt>
                <c:pt idx="960">
                  <c:v>1454</c:v>
                </c:pt>
                <c:pt idx="961">
                  <c:v>1449</c:v>
                </c:pt>
                <c:pt idx="962">
                  <c:v>1438.2</c:v>
                </c:pt>
                <c:pt idx="963">
                  <c:v>1444.7</c:v>
                </c:pt>
                <c:pt idx="964">
                  <c:v>1442.1</c:v>
                </c:pt>
                <c:pt idx="965">
                  <c:v>1449.8</c:v>
                </c:pt>
                <c:pt idx="966">
                  <c:v>1460.6</c:v>
                </c:pt>
                <c:pt idx="967">
                  <c:v>1446.4</c:v>
                </c:pt>
                <c:pt idx="968">
                  <c:v>1453.8</c:v>
                </c:pt>
                <c:pt idx="969">
                  <c:v>1456.5</c:v>
                </c:pt>
                <c:pt idx="970">
                  <c:v>1445.8</c:v>
                </c:pt>
                <c:pt idx="971">
                  <c:v>1450.5</c:v>
                </c:pt>
                <c:pt idx="972">
                  <c:v>1437.9</c:v>
                </c:pt>
                <c:pt idx="973">
                  <c:v>1431</c:v>
                </c:pt>
                <c:pt idx="974">
                  <c:v>1454.8</c:v>
                </c:pt>
                <c:pt idx="975">
                  <c:v>1459.7</c:v>
                </c:pt>
                <c:pt idx="976">
                  <c:v>1434.8</c:v>
                </c:pt>
                <c:pt idx="977">
                  <c:v>1422.9</c:v>
                </c:pt>
                <c:pt idx="978">
                  <c:v>1431</c:v>
                </c:pt>
                <c:pt idx="979">
                  <c:v>1425.2</c:v>
                </c:pt>
                <c:pt idx="980">
                  <c:v>1416.1</c:v>
                </c:pt>
                <c:pt idx="981">
                  <c:v>1426.9</c:v>
                </c:pt>
                <c:pt idx="982">
                  <c:v>1423.2</c:v>
                </c:pt>
                <c:pt idx="983">
                  <c:v>1412.6</c:v>
                </c:pt>
                <c:pt idx="984">
                  <c:v>1411.3</c:v>
                </c:pt>
                <c:pt idx="985">
                  <c:v>1427.1</c:v>
                </c:pt>
                <c:pt idx="986">
                  <c:v>1420.1</c:v>
                </c:pt>
                <c:pt idx="987">
                  <c:v>1424.1</c:v>
                </c:pt>
                <c:pt idx="988">
                  <c:v>1425.8</c:v>
                </c:pt>
                <c:pt idx="989">
                  <c:v>1439.1</c:v>
                </c:pt>
                <c:pt idx="990">
                  <c:v>1462.2</c:v>
                </c:pt>
                <c:pt idx="991">
                  <c:v>1445.8</c:v>
                </c:pt>
                <c:pt idx="992">
                  <c:v>1432</c:v>
                </c:pt>
                <c:pt idx="993">
                  <c:v>1427.8</c:v>
                </c:pt>
                <c:pt idx="994">
                  <c:v>1425.9</c:v>
                </c:pt>
                <c:pt idx="995">
                  <c:v>1442.8</c:v>
                </c:pt>
                <c:pt idx="996">
                  <c:v>1435.7</c:v>
                </c:pt>
                <c:pt idx="997">
                  <c:v>1442</c:v>
                </c:pt>
                <c:pt idx="998">
                  <c:v>1431.9</c:v>
                </c:pt>
                <c:pt idx="999">
                  <c:v>1424.1</c:v>
                </c:pt>
                <c:pt idx="1000">
                  <c:v>1421.9</c:v>
                </c:pt>
                <c:pt idx="1001">
                  <c:v>1423</c:v>
                </c:pt>
                <c:pt idx="1002">
                  <c:v>1430.8</c:v>
                </c:pt>
                <c:pt idx="1003">
                  <c:v>1426.4</c:v>
                </c:pt>
                <c:pt idx="1004">
                  <c:v>1418.7</c:v>
                </c:pt>
                <c:pt idx="1005">
                  <c:v>1425.8</c:v>
                </c:pt>
                <c:pt idx="1006">
                  <c:v>1465.8</c:v>
                </c:pt>
                <c:pt idx="1007">
                  <c:v>1473.6</c:v>
                </c:pt>
                <c:pt idx="1008">
                  <c:v>1488.6</c:v>
                </c:pt>
                <c:pt idx="1009">
                  <c:v>1483.4</c:v>
                </c:pt>
                <c:pt idx="1010">
                  <c:v>1477.1</c:v>
                </c:pt>
                <c:pt idx="1011">
                  <c:v>1488.4</c:v>
                </c:pt>
                <c:pt idx="1012">
                  <c:v>1486.2</c:v>
                </c:pt>
                <c:pt idx="1013">
                  <c:v>1482.4</c:v>
                </c:pt>
                <c:pt idx="1014">
                  <c:v>1481.4</c:v>
                </c:pt>
                <c:pt idx="1015">
                  <c:v>1471.6</c:v>
                </c:pt>
                <c:pt idx="1016">
                  <c:v>1463.2</c:v>
                </c:pt>
                <c:pt idx="1017">
                  <c:v>1444.4</c:v>
                </c:pt>
                <c:pt idx="1018">
                  <c:v>1443.6</c:v>
                </c:pt>
                <c:pt idx="1019">
                  <c:v>1440.3</c:v>
                </c:pt>
                <c:pt idx="1020">
                  <c:v>1435.9</c:v>
                </c:pt>
                <c:pt idx="1021">
                  <c:v>1436.6</c:v>
                </c:pt>
                <c:pt idx="1022">
                  <c:v>1422</c:v>
                </c:pt>
                <c:pt idx="1023">
                  <c:v>1420.8</c:v>
                </c:pt>
                <c:pt idx="1024">
                  <c:v>1427.3</c:v>
                </c:pt>
                <c:pt idx="1025">
                  <c:v>1434.6</c:v>
                </c:pt>
                <c:pt idx="1026">
                  <c:v>1436.3</c:v>
                </c:pt>
                <c:pt idx="1027">
                  <c:v>1430.6</c:v>
                </c:pt>
                <c:pt idx="1028">
                  <c:v>1446</c:v>
                </c:pt>
                <c:pt idx="1029">
                  <c:v>1436.4</c:v>
                </c:pt>
                <c:pt idx="1030">
                  <c:v>1433.2</c:v>
                </c:pt>
                <c:pt idx="1031">
                  <c:v>1416.6</c:v>
                </c:pt>
                <c:pt idx="1032">
                  <c:v>1399.1</c:v>
                </c:pt>
                <c:pt idx="1033">
                  <c:v>1397.8</c:v>
                </c:pt>
                <c:pt idx="1034">
                  <c:v>1411</c:v>
                </c:pt>
                <c:pt idx="1035">
                  <c:v>1394.2</c:v>
                </c:pt>
                <c:pt idx="1036">
                  <c:v>1397</c:v>
                </c:pt>
                <c:pt idx="1037">
                  <c:v>1405.5</c:v>
                </c:pt>
                <c:pt idx="1038">
                  <c:v>1402.8</c:v>
                </c:pt>
                <c:pt idx="1039">
                  <c:v>1402.7</c:v>
                </c:pt>
                <c:pt idx="1040">
                  <c:v>1403.7</c:v>
                </c:pt>
                <c:pt idx="1041">
                  <c:v>1403.9</c:v>
                </c:pt>
                <c:pt idx="1042">
                  <c:v>1401.6</c:v>
                </c:pt>
                <c:pt idx="1043">
                  <c:v>1417.7</c:v>
                </c:pt>
                <c:pt idx="1044">
                  <c:v>1419.4</c:v>
                </c:pt>
                <c:pt idx="1045">
                  <c:v>1421.6</c:v>
                </c:pt>
                <c:pt idx="1046">
                  <c:v>1419.2</c:v>
                </c:pt>
                <c:pt idx="1047">
                  <c:v>1421.7</c:v>
                </c:pt>
                <c:pt idx="1048">
                  <c:v>1402.2</c:v>
                </c:pt>
                <c:pt idx="1049">
                  <c:v>1401.5</c:v>
                </c:pt>
                <c:pt idx="1050">
                  <c:v>1394.3</c:v>
                </c:pt>
                <c:pt idx="1051">
                  <c:v>1382.7</c:v>
                </c:pt>
                <c:pt idx="1052">
                  <c:v>1375.8</c:v>
                </c:pt>
                <c:pt idx="1053">
                  <c:v>1359.6</c:v>
                </c:pt>
                <c:pt idx="1054">
                  <c:v>1348.1</c:v>
                </c:pt>
                <c:pt idx="1055">
                  <c:v>1348</c:v>
                </c:pt>
                <c:pt idx="1056">
                  <c:v>1372</c:v>
                </c:pt>
                <c:pt idx="1057">
                  <c:v>1365.2</c:v>
                </c:pt>
                <c:pt idx="1058">
                  <c:v>1363.4</c:v>
                </c:pt>
                <c:pt idx="1059">
                  <c:v>1375.9</c:v>
                </c:pt>
                <c:pt idx="1060">
                  <c:v>1370.3</c:v>
                </c:pt>
                <c:pt idx="1061">
                  <c:v>1376.2</c:v>
                </c:pt>
                <c:pt idx="1062">
                  <c:v>1380.3</c:v>
                </c:pt>
                <c:pt idx="1063">
                  <c:v>1379.4</c:v>
                </c:pt>
                <c:pt idx="1064">
                  <c:v>1384.1</c:v>
                </c:pt>
                <c:pt idx="1065">
                  <c:v>1398.4</c:v>
                </c:pt>
                <c:pt idx="1066">
                  <c:v>1417.3</c:v>
                </c:pt>
                <c:pt idx="1067">
                  <c:v>1436.6</c:v>
                </c:pt>
                <c:pt idx="1068">
                  <c:v>1390.3</c:v>
                </c:pt>
                <c:pt idx="1069">
                  <c:v>1382</c:v>
                </c:pt>
                <c:pt idx="1070">
                  <c:v>1363.7</c:v>
                </c:pt>
                <c:pt idx="1071">
                  <c:v>1377.7</c:v>
                </c:pt>
                <c:pt idx="1072">
                  <c:v>1377.6</c:v>
                </c:pt>
                <c:pt idx="1073">
                  <c:v>1363.1</c:v>
                </c:pt>
                <c:pt idx="1074">
                  <c:v>1370.4</c:v>
                </c:pt>
                <c:pt idx="1075">
                  <c:v>1362.4</c:v>
                </c:pt>
                <c:pt idx="1076">
                  <c:v>1345.3</c:v>
                </c:pt>
                <c:pt idx="1077">
                  <c:v>1346.4</c:v>
                </c:pt>
                <c:pt idx="1078">
                  <c:v>1336.9</c:v>
                </c:pt>
                <c:pt idx="1079">
                  <c:v>1320.4</c:v>
                </c:pt>
                <c:pt idx="1080">
                  <c:v>1343</c:v>
                </c:pt>
                <c:pt idx="1081">
                  <c:v>1348</c:v>
                </c:pt>
                <c:pt idx="1082">
                  <c:v>1358.3</c:v>
                </c:pt>
                <c:pt idx="1083">
                  <c:v>1358.9</c:v>
                </c:pt>
                <c:pt idx="1084">
                  <c:v>1385.9</c:v>
                </c:pt>
                <c:pt idx="1085">
                  <c:v>1373</c:v>
                </c:pt>
                <c:pt idx="1086">
                  <c:v>1379</c:v>
                </c:pt>
                <c:pt idx="1087">
                  <c:v>1373.4</c:v>
                </c:pt>
                <c:pt idx="1088">
                  <c:v>1383.1</c:v>
                </c:pt>
                <c:pt idx="1089">
                  <c:v>1383</c:v>
                </c:pt>
                <c:pt idx="1090">
                  <c:v>1369.5</c:v>
                </c:pt>
                <c:pt idx="1091">
                  <c:v>1368.4</c:v>
                </c:pt>
                <c:pt idx="1092">
                  <c:v>1357.8</c:v>
                </c:pt>
                <c:pt idx="1093">
                  <c:v>1375</c:v>
                </c:pt>
                <c:pt idx="1094">
                  <c:v>1392.2</c:v>
                </c:pt>
                <c:pt idx="1095">
                  <c:v>1388.8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E-4F09-A009-75EA661A12AE}"/>
            </c:ext>
          </c:extLst>
        </c:ser>
        <c:ser>
          <c:idx val="1"/>
          <c:order val="1"/>
          <c:tx>
            <c:v>Icici secuirties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Sheet1!$A$3:$A$1098</c:f>
              <c:numCache>
                <c:formatCode>m/d/yyyy</c:formatCode>
                <c:ptCount val="1096"/>
                <c:pt idx="0">
                  <c:v>44378</c:v>
                </c:pt>
                <c:pt idx="1">
                  <c:v>44379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44385</c:v>
                </c:pt>
                <c:pt idx="6">
                  <c:v>44386</c:v>
                </c:pt>
                <c:pt idx="7">
                  <c:v>44389</c:v>
                </c:pt>
                <c:pt idx="8">
                  <c:v>44390</c:v>
                </c:pt>
                <c:pt idx="9">
                  <c:v>44391</c:v>
                </c:pt>
                <c:pt idx="10">
                  <c:v>44392</c:v>
                </c:pt>
                <c:pt idx="11">
                  <c:v>44393</c:v>
                </c:pt>
                <c:pt idx="12">
                  <c:v>44396</c:v>
                </c:pt>
                <c:pt idx="13">
                  <c:v>44397</c:v>
                </c:pt>
                <c:pt idx="14">
                  <c:v>44399</c:v>
                </c:pt>
                <c:pt idx="15">
                  <c:v>44400</c:v>
                </c:pt>
                <c:pt idx="16">
                  <c:v>44403</c:v>
                </c:pt>
                <c:pt idx="17">
                  <c:v>44404</c:v>
                </c:pt>
                <c:pt idx="18">
                  <c:v>44405</c:v>
                </c:pt>
                <c:pt idx="19">
                  <c:v>44406</c:v>
                </c:pt>
                <c:pt idx="20">
                  <c:v>44407</c:v>
                </c:pt>
                <c:pt idx="21">
                  <c:v>44410</c:v>
                </c:pt>
                <c:pt idx="22">
                  <c:v>44411</c:v>
                </c:pt>
                <c:pt idx="23">
                  <c:v>44412</c:v>
                </c:pt>
                <c:pt idx="24">
                  <c:v>44413</c:v>
                </c:pt>
                <c:pt idx="25">
                  <c:v>44414</c:v>
                </c:pt>
                <c:pt idx="26">
                  <c:v>44417</c:v>
                </c:pt>
                <c:pt idx="27">
                  <c:v>44418</c:v>
                </c:pt>
                <c:pt idx="28">
                  <c:v>44419</c:v>
                </c:pt>
                <c:pt idx="29">
                  <c:v>44420</c:v>
                </c:pt>
                <c:pt idx="30">
                  <c:v>44421</c:v>
                </c:pt>
                <c:pt idx="31">
                  <c:v>44424</c:v>
                </c:pt>
                <c:pt idx="32">
                  <c:v>44425</c:v>
                </c:pt>
                <c:pt idx="33">
                  <c:v>44426</c:v>
                </c:pt>
                <c:pt idx="34">
                  <c:v>44428</c:v>
                </c:pt>
                <c:pt idx="35">
                  <c:v>44431</c:v>
                </c:pt>
                <c:pt idx="36">
                  <c:v>44432</c:v>
                </c:pt>
                <c:pt idx="37">
                  <c:v>44433</c:v>
                </c:pt>
                <c:pt idx="38">
                  <c:v>44434</c:v>
                </c:pt>
                <c:pt idx="39">
                  <c:v>44435</c:v>
                </c:pt>
                <c:pt idx="40">
                  <c:v>44438</c:v>
                </c:pt>
                <c:pt idx="41">
                  <c:v>44439</c:v>
                </c:pt>
                <c:pt idx="42">
                  <c:v>44440</c:v>
                </c:pt>
                <c:pt idx="43">
                  <c:v>44441</c:v>
                </c:pt>
                <c:pt idx="44">
                  <c:v>44442</c:v>
                </c:pt>
                <c:pt idx="45">
                  <c:v>44445</c:v>
                </c:pt>
                <c:pt idx="46">
                  <c:v>44446</c:v>
                </c:pt>
                <c:pt idx="47">
                  <c:v>44447</c:v>
                </c:pt>
                <c:pt idx="48">
                  <c:v>44448</c:v>
                </c:pt>
                <c:pt idx="49">
                  <c:v>44452</c:v>
                </c:pt>
                <c:pt idx="50">
                  <c:v>44453</c:v>
                </c:pt>
                <c:pt idx="51">
                  <c:v>44454</c:v>
                </c:pt>
                <c:pt idx="52">
                  <c:v>44455</c:v>
                </c:pt>
                <c:pt idx="53">
                  <c:v>44456</c:v>
                </c:pt>
                <c:pt idx="54">
                  <c:v>44459</c:v>
                </c:pt>
                <c:pt idx="55">
                  <c:v>44460</c:v>
                </c:pt>
                <c:pt idx="56">
                  <c:v>44461</c:v>
                </c:pt>
                <c:pt idx="57">
                  <c:v>44462</c:v>
                </c:pt>
                <c:pt idx="58">
                  <c:v>44463</c:v>
                </c:pt>
                <c:pt idx="59">
                  <c:v>44466</c:v>
                </c:pt>
                <c:pt idx="60">
                  <c:v>44467</c:v>
                </c:pt>
                <c:pt idx="61">
                  <c:v>44468</c:v>
                </c:pt>
                <c:pt idx="62">
                  <c:v>44469</c:v>
                </c:pt>
                <c:pt idx="63">
                  <c:v>44470</c:v>
                </c:pt>
                <c:pt idx="64">
                  <c:v>44473</c:v>
                </c:pt>
                <c:pt idx="65">
                  <c:v>44474</c:v>
                </c:pt>
                <c:pt idx="66">
                  <c:v>44475</c:v>
                </c:pt>
                <c:pt idx="67">
                  <c:v>44476</c:v>
                </c:pt>
                <c:pt idx="68">
                  <c:v>44477</c:v>
                </c:pt>
                <c:pt idx="69">
                  <c:v>44480</c:v>
                </c:pt>
                <c:pt idx="70">
                  <c:v>44481</c:v>
                </c:pt>
                <c:pt idx="71">
                  <c:v>44482</c:v>
                </c:pt>
                <c:pt idx="72">
                  <c:v>44483</c:v>
                </c:pt>
                <c:pt idx="73">
                  <c:v>44487</c:v>
                </c:pt>
                <c:pt idx="74">
                  <c:v>44488</c:v>
                </c:pt>
                <c:pt idx="75">
                  <c:v>44489</c:v>
                </c:pt>
                <c:pt idx="76">
                  <c:v>44490</c:v>
                </c:pt>
                <c:pt idx="77">
                  <c:v>44491</c:v>
                </c:pt>
                <c:pt idx="78">
                  <c:v>44494</c:v>
                </c:pt>
                <c:pt idx="79">
                  <c:v>44495</c:v>
                </c:pt>
                <c:pt idx="80">
                  <c:v>44496</c:v>
                </c:pt>
                <c:pt idx="81">
                  <c:v>44497</c:v>
                </c:pt>
                <c:pt idx="82">
                  <c:v>44498</c:v>
                </c:pt>
                <c:pt idx="83">
                  <c:v>44501</c:v>
                </c:pt>
                <c:pt idx="84">
                  <c:v>44502</c:v>
                </c:pt>
                <c:pt idx="85">
                  <c:v>44503</c:v>
                </c:pt>
                <c:pt idx="86">
                  <c:v>44504</c:v>
                </c:pt>
                <c:pt idx="87">
                  <c:v>44508</c:v>
                </c:pt>
                <c:pt idx="88">
                  <c:v>44509</c:v>
                </c:pt>
                <c:pt idx="89">
                  <c:v>44510</c:v>
                </c:pt>
                <c:pt idx="90">
                  <c:v>44511</c:v>
                </c:pt>
                <c:pt idx="91">
                  <c:v>44512</c:v>
                </c:pt>
                <c:pt idx="92">
                  <c:v>44515</c:v>
                </c:pt>
                <c:pt idx="93">
                  <c:v>44516</c:v>
                </c:pt>
                <c:pt idx="94">
                  <c:v>44517</c:v>
                </c:pt>
                <c:pt idx="95">
                  <c:v>44518</c:v>
                </c:pt>
                <c:pt idx="96">
                  <c:v>44522</c:v>
                </c:pt>
                <c:pt idx="97">
                  <c:v>44523</c:v>
                </c:pt>
                <c:pt idx="98">
                  <c:v>44524</c:v>
                </c:pt>
                <c:pt idx="99">
                  <c:v>44525</c:v>
                </c:pt>
                <c:pt idx="100">
                  <c:v>44526</c:v>
                </c:pt>
                <c:pt idx="101">
                  <c:v>44529</c:v>
                </c:pt>
                <c:pt idx="102">
                  <c:v>44530</c:v>
                </c:pt>
                <c:pt idx="103">
                  <c:v>44531</c:v>
                </c:pt>
                <c:pt idx="104">
                  <c:v>44532</c:v>
                </c:pt>
                <c:pt idx="105">
                  <c:v>44533</c:v>
                </c:pt>
                <c:pt idx="106">
                  <c:v>44536</c:v>
                </c:pt>
                <c:pt idx="107">
                  <c:v>44537</c:v>
                </c:pt>
                <c:pt idx="108">
                  <c:v>44538</c:v>
                </c:pt>
                <c:pt idx="109">
                  <c:v>44539</c:v>
                </c:pt>
                <c:pt idx="110">
                  <c:v>44540</c:v>
                </c:pt>
                <c:pt idx="111">
                  <c:v>44543</c:v>
                </c:pt>
                <c:pt idx="112">
                  <c:v>44544</c:v>
                </c:pt>
                <c:pt idx="113">
                  <c:v>44545</c:v>
                </c:pt>
                <c:pt idx="114">
                  <c:v>44546</c:v>
                </c:pt>
                <c:pt idx="115">
                  <c:v>44547</c:v>
                </c:pt>
                <c:pt idx="116">
                  <c:v>44550</c:v>
                </c:pt>
                <c:pt idx="117">
                  <c:v>44551</c:v>
                </c:pt>
                <c:pt idx="118">
                  <c:v>44552</c:v>
                </c:pt>
                <c:pt idx="119">
                  <c:v>44553</c:v>
                </c:pt>
                <c:pt idx="120">
                  <c:v>44554</c:v>
                </c:pt>
                <c:pt idx="121">
                  <c:v>44557</c:v>
                </c:pt>
                <c:pt idx="122">
                  <c:v>44558</c:v>
                </c:pt>
                <c:pt idx="123">
                  <c:v>44559</c:v>
                </c:pt>
                <c:pt idx="124">
                  <c:v>44560</c:v>
                </c:pt>
                <c:pt idx="125">
                  <c:v>44561</c:v>
                </c:pt>
                <c:pt idx="126">
                  <c:v>44564</c:v>
                </c:pt>
                <c:pt idx="127">
                  <c:v>44565</c:v>
                </c:pt>
                <c:pt idx="128">
                  <c:v>44566</c:v>
                </c:pt>
                <c:pt idx="129">
                  <c:v>44567</c:v>
                </c:pt>
                <c:pt idx="130">
                  <c:v>44568</c:v>
                </c:pt>
                <c:pt idx="131">
                  <c:v>44571</c:v>
                </c:pt>
                <c:pt idx="132">
                  <c:v>44572</c:v>
                </c:pt>
                <c:pt idx="133">
                  <c:v>44573</c:v>
                </c:pt>
                <c:pt idx="134">
                  <c:v>44574</c:v>
                </c:pt>
                <c:pt idx="135">
                  <c:v>44575</c:v>
                </c:pt>
                <c:pt idx="136">
                  <c:v>44578</c:v>
                </c:pt>
                <c:pt idx="137">
                  <c:v>44579</c:v>
                </c:pt>
                <c:pt idx="138">
                  <c:v>44580</c:v>
                </c:pt>
                <c:pt idx="139">
                  <c:v>44581</c:v>
                </c:pt>
                <c:pt idx="140">
                  <c:v>44582</c:v>
                </c:pt>
                <c:pt idx="141">
                  <c:v>44585</c:v>
                </c:pt>
                <c:pt idx="142">
                  <c:v>44586</c:v>
                </c:pt>
                <c:pt idx="143">
                  <c:v>44588</c:v>
                </c:pt>
                <c:pt idx="144">
                  <c:v>44589</c:v>
                </c:pt>
                <c:pt idx="145">
                  <c:v>44592</c:v>
                </c:pt>
                <c:pt idx="146">
                  <c:v>44593</c:v>
                </c:pt>
                <c:pt idx="147">
                  <c:v>44594</c:v>
                </c:pt>
                <c:pt idx="148">
                  <c:v>44595</c:v>
                </c:pt>
                <c:pt idx="149">
                  <c:v>44596</c:v>
                </c:pt>
                <c:pt idx="150">
                  <c:v>44599</c:v>
                </c:pt>
                <c:pt idx="151">
                  <c:v>44600</c:v>
                </c:pt>
                <c:pt idx="152">
                  <c:v>44601</c:v>
                </c:pt>
                <c:pt idx="153">
                  <c:v>44602</c:v>
                </c:pt>
                <c:pt idx="154">
                  <c:v>44603</c:v>
                </c:pt>
                <c:pt idx="155">
                  <c:v>44606</c:v>
                </c:pt>
                <c:pt idx="156">
                  <c:v>44607</c:v>
                </c:pt>
                <c:pt idx="157">
                  <c:v>44608</c:v>
                </c:pt>
                <c:pt idx="158">
                  <c:v>44609</c:v>
                </c:pt>
                <c:pt idx="159">
                  <c:v>44610</c:v>
                </c:pt>
                <c:pt idx="160">
                  <c:v>44613</c:v>
                </c:pt>
                <c:pt idx="161">
                  <c:v>44614</c:v>
                </c:pt>
                <c:pt idx="162">
                  <c:v>44615</c:v>
                </c:pt>
                <c:pt idx="163">
                  <c:v>44616</c:v>
                </c:pt>
                <c:pt idx="164">
                  <c:v>44617</c:v>
                </c:pt>
                <c:pt idx="165">
                  <c:v>44620</c:v>
                </c:pt>
                <c:pt idx="166">
                  <c:v>44622</c:v>
                </c:pt>
                <c:pt idx="167">
                  <c:v>44623</c:v>
                </c:pt>
                <c:pt idx="168">
                  <c:v>44624</c:v>
                </c:pt>
                <c:pt idx="169">
                  <c:v>44627</c:v>
                </c:pt>
                <c:pt idx="170">
                  <c:v>44628</c:v>
                </c:pt>
                <c:pt idx="171">
                  <c:v>44629</c:v>
                </c:pt>
                <c:pt idx="172">
                  <c:v>44630</c:v>
                </c:pt>
                <c:pt idx="173">
                  <c:v>44631</c:v>
                </c:pt>
                <c:pt idx="174">
                  <c:v>44634</c:v>
                </c:pt>
                <c:pt idx="175">
                  <c:v>44635</c:v>
                </c:pt>
                <c:pt idx="176">
                  <c:v>44636</c:v>
                </c:pt>
                <c:pt idx="177">
                  <c:v>44637</c:v>
                </c:pt>
                <c:pt idx="178">
                  <c:v>44641</c:v>
                </c:pt>
                <c:pt idx="179">
                  <c:v>44642</c:v>
                </c:pt>
                <c:pt idx="180">
                  <c:v>44643</c:v>
                </c:pt>
                <c:pt idx="181">
                  <c:v>44644</c:v>
                </c:pt>
                <c:pt idx="182">
                  <c:v>44645</c:v>
                </c:pt>
                <c:pt idx="183">
                  <c:v>44648</c:v>
                </c:pt>
                <c:pt idx="184">
                  <c:v>44649</c:v>
                </c:pt>
                <c:pt idx="185">
                  <c:v>44650</c:v>
                </c:pt>
                <c:pt idx="186">
                  <c:v>44651</c:v>
                </c:pt>
                <c:pt idx="187">
                  <c:v>44652</c:v>
                </c:pt>
                <c:pt idx="188">
                  <c:v>44655</c:v>
                </c:pt>
                <c:pt idx="189">
                  <c:v>44656</c:v>
                </c:pt>
                <c:pt idx="190">
                  <c:v>44657</c:v>
                </c:pt>
                <c:pt idx="191">
                  <c:v>44658</c:v>
                </c:pt>
                <c:pt idx="192">
                  <c:v>44659</c:v>
                </c:pt>
                <c:pt idx="193">
                  <c:v>44662</c:v>
                </c:pt>
                <c:pt idx="194">
                  <c:v>44663</c:v>
                </c:pt>
                <c:pt idx="195">
                  <c:v>44664</c:v>
                </c:pt>
                <c:pt idx="196">
                  <c:v>44669</c:v>
                </c:pt>
                <c:pt idx="197">
                  <c:v>44670</c:v>
                </c:pt>
                <c:pt idx="198">
                  <c:v>44671</c:v>
                </c:pt>
                <c:pt idx="199">
                  <c:v>44672</c:v>
                </c:pt>
                <c:pt idx="200">
                  <c:v>44673</c:v>
                </c:pt>
                <c:pt idx="201">
                  <c:v>44676</c:v>
                </c:pt>
                <c:pt idx="202">
                  <c:v>44677</c:v>
                </c:pt>
                <c:pt idx="203">
                  <c:v>44678</c:v>
                </c:pt>
                <c:pt idx="204">
                  <c:v>44679</c:v>
                </c:pt>
                <c:pt idx="205">
                  <c:v>44680</c:v>
                </c:pt>
                <c:pt idx="206">
                  <c:v>44683</c:v>
                </c:pt>
                <c:pt idx="207">
                  <c:v>44685</c:v>
                </c:pt>
                <c:pt idx="208">
                  <c:v>44686</c:v>
                </c:pt>
                <c:pt idx="209">
                  <c:v>44687</c:v>
                </c:pt>
                <c:pt idx="210">
                  <c:v>44690</c:v>
                </c:pt>
                <c:pt idx="211">
                  <c:v>44691</c:v>
                </c:pt>
                <c:pt idx="212">
                  <c:v>44692</c:v>
                </c:pt>
                <c:pt idx="213">
                  <c:v>44693</c:v>
                </c:pt>
                <c:pt idx="214">
                  <c:v>44694</c:v>
                </c:pt>
                <c:pt idx="215">
                  <c:v>44697</c:v>
                </c:pt>
                <c:pt idx="216">
                  <c:v>44698</c:v>
                </c:pt>
                <c:pt idx="217">
                  <c:v>44699</c:v>
                </c:pt>
                <c:pt idx="218">
                  <c:v>44700</c:v>
                </c:pt>
                <c:pt idx="219">
                  <c:v>44701</c:v>
                </c:pt>
                <c:pt idx="220">
                  <c:v>44704</c:v>
                </c:pt>
                <c:pt idx="221">
                  <c:v>44705</c:v>
                </c:pt>
                <c:pt idx="222">
                  <c:v>44706</c:v>
                </c:pt>
                <c:pt idx="223">
                  <c:v>44707</c:v>
                </c:pt>
                <c:pt idx="224">
                  <c:v>44708</c:v>
                </c:pt>
                <c:pt idx="225">
                  <c:v>44711</c:v>
                </c:pt>
                <c:pt idx="226">
                  <c:v>44712</c:v>
                </c:pt>
                <c:pt idx="227">
                  <c:v>44713</c:v>
                </c:pt>
                <c:pt idx="228">
                  <c:v>44714</c:v>
                </c:pt>
                <c:pt idx="229">
                  <c:v>44715</c:v>
                </c:pt>
                <c:pt idx="230">
                  <c:v>44718</c:v>
                </c:pt>
                <c:pt idx="231">
                  <c:v>44719</c:v>
                </c:pt>
                <c:pt idx="232">
                  <c:v>44720</c:v>
                </c:pt>
                <c:pt idx="233">
                  <c:v>44721</c:v>
                </c:pt>
                <c:pt idx="234">
                  <c:v>44722</c:v>
                </c:pt>
                <c:pt idx="235">
                  <c:v>44725</c:v>
                </c:pt>
                <c:pt idx="236">
                  <c:v>44726</c:v>
                </c:pt>
                <c:pt idx="237">
                  <c:v>44727</c:v>
                </c:pt>
                <c:pt idx="238">
                  <c:v>44728</c:v>
                </c:pt>
                <c:pt idx="239">
                  <c:v>44729</c:v>
                </c:pt>
                <c:pt idx="240">
                  <c:v>44732</c:v>
                </c:pt>
                <c:pt idx="241">
                  <c:v>44733</c:v>
                </c:pt>
                <c:pt idx="242">
                  <c:v>44734</c:v>
                </c:pt>
                <c:pt idx="243">
                  <c:v>44735</c:v>
                </c:pt>
                <c:pt idx="244">
                  <c:v>44736</c:v>
                </c:pt>
                <c:pt idx="245">
                  <c:v>44739</c:v>
                </c:pt>
                <c:pt idx="246">
                  <c:v>44740</c:v>
                </c:pt>
                <c:pt idx="247">
                  <c:v>44741</c:v>
                </c:pt>
                <c:pt idx="248">
                  <c:v>44742</c:v>
                </c:pt>
                <c:pt idx="249">
                  <c:v>44743</c:v>
                </c:pt>
                <c:pt idx="250">
                  <c:v>44746</c:v>
                </c:pt>
                <c:pt idx="251">
                  <c:v>44747</c:v>
                </c:pt>
                <c:pt idx="252">
                  <c:v>44748</c:v>
                </c:pt>
                <c:pt idx="253">
                  <c:v>44749</c:v>
                </c:pt>
                <c:pt idx="254">
                  <c:v>44750</c:v>
                </c:pt>
                <c:pt idx="255">
                  <c:v>44753</c:v>
                </c:pt>
                <c:pt idx="256">
                  <c:v>44754</c:v>
                </c:pt>
                <c:pt idx="257">
                  <c:v>44755</c:v>
                </c:pt>
                <c:pt idx="258">
                  <c:v>44756</c:v>
                </c:pt>
                <c:pt idx="259">
                  <c:v>44757</c:v>
                </c:pt>
                <c:pt idx="260">
                  <c:v>44760</c:v>
                </c:pt>
                <c:pt idx="261">
                  <c:v>44761</c:v>
                </c:pt>
                <c:pt idx="262">
                  <c:v>44762</c:v>
                </c:pt>
                <c:pt idx="263">
                  <c:v>44763</c:v>
                </c:pt>
                <c:pt idx="264">
                  <c:v>44764</c:v>
                </c:pt>
                <c:pt idx="265">
                  <c:v>44767</c:v>
                </c:pt>
                <c:pt idx="266">
                  <c:v>44768</c:v>
                </c:pt>
                <c:pt idx="267">
                  <c:v>44769</c:v>
                </c:pt>
                <c:pt idx="268">
                  <c:v>44770</c:v>
                </c:pt>
                <c:pt idx="269">
                  <c:v>44771</c:v>
                </c:pt>
                <c:pt idx="270">
                  <c:v>44774</c:v>
                </c:pt>
                <c:pt idx="271">
                  <c:v>44775</c:v>
                </c:pt>
                <c:pt idx="272">
                  <c:v>44776</c:v>
                </c:pt>
                <c:pt idx="273">
                  <c:v>44777</c:v>
                </c:pt>
                <c:pt idx="274">
                  <c:v>44778</c:v>
                </c:pt>
                <c:pt idx="275">
                  <c:v>44781</c:v>
                </c:pt>
                <c:pt idx="276">
                  <c:v>44783</c:v>
                </c:pt>
                <c:pt idx="277">
                  <c:v>44784</c:v>
                </c:pt>
                <c:pt idx="278">
                  <c:v>44785</c:v>
                </c:pt>
                <c:pt idx="279">
                  <c:v>44789</c:v>
                </c:pt>
                <c:pt idx="280">
                  <c:v>44790</c:v>
                </c:pt>
                <c:pt idx="281">
                  <c:v>44791</c:v>
                </c:pt>
                <c:pt idx="282">
                  <c:v>44792</c:v>
                </c:pt>
                <c:pt idx="283">
                  <c:v>44795</c:v>
                </c:pt>
                <c:pt idx="284">
                  <c:v>44796</c:v>
                </c:pt>
                <c:pt idx="285">
                  <c:v>44797</c:v>
                </c:pt>
                <c:pt idx="286">
                  <c:v>44798</c:v>
                </c:pt>
                <c:pt idx="287">
                  <c:v>44799</c:v>
                </c:pt>
                <c:pt idx="288">
                  <c:v>44802</c:v>
                </c:pt>
                <c:pt idx="289">
                  <c:v>44803</c:v>
                </c:pt>
                <c:pt idx="290">
                  <c:v>44805</c:v>
                </c:pt>
                <c:pt idx="291">
                  <c:v>44806</c:v>
                </c:pt>
                <c:pt idx="292">
                  <c:v>44809</c:v>
                </c:pt>
                <c:pt idx="293">
                  <c:v>44810</c:v>
                </c:pt>
                <c:pt idx="294">
                  <c:v>44811</c:v>
                </c:pt>
                <c:pt idx="295">
                  <c:v>44812</c:v>
                </c:pt>
                <c:pt idx="296">
                  <c:v>44813</c:v>
                </c:pt>
                <c:pt idx="297">
                  <c:v>44816</c:v>
                </c:pt>
                <c:pt idx="298">
                  <c:v>44817</c:v>
                </c:pt>
                <c:pt idx="299">
                  <c:v>44818</c:v>
                </c:pt>
                <c:pt idx="300">
                  <c:v>44819</c:v>
                </c:pt>
                <c:pt idx="301">
                  <c:v>44820</c:v>
                </c:pt>
                <c:pt idx="302">
                  <c:v>44823</c:v>
                </c:pt>
                <c:pt idx="303">
                  <c:v>44824</c:v>
                </c:pt>
                <c:pt idx="304">
                  <c:v>44825</c:v>
                </c:pt>
                <c:pt idx="305">
                  <c:v>44826</c:v>
                </c:pt>
                <c:pt idx="306">
                  <c:v>44827</c:v>
                </c:pt>
                <c:pt idx="307">
                  <c:v>44830</c:v>
                </c:pt>
                <c:pt idx="308">
                  <c:v>44831</c:v>
                </c:pt>
                <c:pt idx="309">
                  <c:v>44832</c:v>
                </c:pt>
                <c:pt idx="310">
                  <c:v>44833</c:v>
                </c:pt>
                <c:pt idx="311">
                  <c:v>44834</c:v>
                </c:pt>
                <c:pt idx="312">
                  <c:v>44837</c:v>
                </c:pt>
                <c:pt idx="313">
                  <c:v>44838</c:v>
                </c:pt>
                <c:pt idx="314">
                  <c:v>44840</c:v>
                </c:pt>
                <c:pt idx="315">
                  <c:v>44841</c:v>
                </c:pt>
                <c:pt idx="316">
                  <c:v>44844</c:v>
                </c:pt>
                <c:pt idx="317">
                  <c:v>44845</c:v>
                </c:pt>
                <c:pt idx="318">
                  <c:v>44846</c:v>
                </c:pt>
                <c:pt idx="319">
                  <c:v>44847</c:v>
                </c:pt>
                <c:pt idx="320">
                  <c:v>44848</c:v>
                </c:pt>
                <c:pt idx="321">
                  <c:v>44851</c:v>
                </c:pt>
                <c:pt idx="322">
                  <c:v>44852</c:v>
                </c:pt>
                <c:pt idx="323">
                  <c:v>44853</c:v>
                </c:pt>
                <c:pt idx="324">
                  <c:v>44854</c:v>
                </c:pt>
                <c:pt idx="325">
                  <c:v>44855</c:v>
                </c:pt>
                <c:pt idx="326">
                  <c:v>44858</c:v>
                </c:pt>
                <c:pt idx="327">
                  <c:v>44859</c:v>
                </c:pt>
                <c:pt idx="328">
                  <c:v>44861</c:v>
                </c:pt>
                <c:pt idx="329">
                  <c:v>44862</c:v>
                </c:pt>
                <c:pt idx="330">
                  <c:v>44865</c:v>
                </c:pt>
                <c:pt idx="331">
                  <c:v>44866</c:v>
                </c:pt>
                <c:pt idx="332">
                  <c:v>44867</c:v>
                </c:pt>
                <c:pt idx="333">
                  <c:v>44868</c:v>
                </c:pt>
                <c:pt idx="334">
                  <c:v>44869</c:v>
                </c:pt>
                <c:pt idx="335">
                  <c:v>44872</c:v>
                </c:pt>
                <c:pt idx="336">
                  <c:v>44874</c:v>
                </c:pt>
                <c:pt idx="337">
                  <c:v>44875</c:v>
                </c:pt>
                <c:pt idx="338">
                  <c:v>44876</c:v>
                </c:pt>
                <c:pt idx="339">
                  <c:v>44879</c:v>
                </c:pt>
                <c:pt idx="340">
                  <c:v>44880</c:v>
                </c:pt>
                <c:pt idx="341">
                  <c:v>44881</c:v>
                </c:pt>
                <c:pt idx="342">
                  <c:v>44882</c:v>
                </c:pt>
                <c:pt idx="343">
                  <c:v>44883</c:v>
                </c:pt>
                <c:pt idx="344">
                  <c:v>44886</c:v>
                </c:pt>
                <c:pt idx="345">
                  <c:v>44887</c:v>
                </c:pt>
                <c:pt idx="346">
                  <c:v>44888</c:v>
                </c:pt>
                <c:pt idx="347">
                  <c:v>44889</c:v>
                </c:pt>
                <c:pt idx="348">
                  <c:v>44890</c:v>
                </c:pt>
                <c:pt idx="349">
                  <c:v>44893</c:v>
                </c:pt>
                <c:pt idx="350">
                  <c:v>44894</c:v>
                </c:pt>
                <c:pt idx="351">
                  <c:v>44895</c:v>
                </c:pt>
                <c:pt idx="352">
                  <c:v>44896</c:v>
                </c:pt>
                <c:pt idx="353">
                  <c:v>44897</c:v>
                </c:pt>
                <c:pt idx="354">
                  <c:v>44900</c:v>
                </c:pt>
                <c:pt idx="355">
                  <c:v>44901</c:v>
                </c:pt>
                <c:pt idx="356">
                  <c:v>44902</c:v>
                </c:pt>
                <c:pt idx="357">
                  <c:v>44903</c:v>
                </c:pt>
                <c:pt idx="358">
                  <c:v>44904</c:v>
                </c:pt>
                <c:pt idx="359">
                  <c:v>44907</c:v>
                </c:pt>
                <c:pt idx="360">
                  <c:v>44908</c:v>
                </c:pt>
                <c:pt idx="361">
                  <c:v>44909</c:v>
                </c:pt>
                <c:pt idx="362">
                  <c:v>44910</c:v>
                </c:pt>
                <c:pt idx="363">
                  <c:v>44911</c:v>
                </c:pt>
                <c:pt idx="364">
                  <c:v>44914</c:v>
                </c:pt>
                <c:pt idx="365">
                  <c:v>44915</c:v>
                </c:pt>
                <c:pt idx="366">
                  <c:v>44916</c:v>
                </c:pt>
                <c:pt idx="367">
                  <c:v>44917</c:v>
                </c:pt>
                <c:pt idx="368">
                  <c:v>44918</c:v>
                </c:pt>
                <c:pt idx="369">
                  <c:v>44921</c:v>
                </c:pt>
                <c:pt idx="370">
                  <c:v>44922</c:v>
                </c:pt>
                <c:pt idx="371">
                  <c:v>44923</c:v>
                </c:pt>
                <c:pt idx="372">
                  <c:v>44924</c:v>
                </c:pt>
                <c:pt idx="373">
                  <c:v>44925</c:v>
                </c:pt>
                <c:pt idx="374">
                  <c:v>44928</c:v>
                </c:pt>
                <c:pt idx="375">
                  <c:v>44929</c:v>
                </c:pt>
                <c:pt idx="376">
                  <c:v>44930</c:v>
                </c:pt>
                <c:pt idx="377">
                  <c:v>44931</c:v>
                </c:pt>
                <c:pt idx="378">
                  <c:v>44932</c:v>
                </c:pt>
                <c:pt idx="379">
                  <c:v>44935</c:v>
                </c:pt>
                <c:pt idx="380">
                  <c:v>44936</c:v>
                </c:pt>
                <c:pt idx="381">
                  <c:v>44937</c:v>
                </c:pt>
                <c:pt idx="382">
                  <c:v>44938</c:v>
                </c:pt>
                <c:pt idx="383">
                  <c:v>44939</c:v>
                </c:pt>
                <c:pt idx="384">
                  <c:v>44942</c:v>
                </c:pt>
                <c:pt idx="385">
                  <c:v>44943</c:v>
                </c:pt>
                <c:pt idx="386">
                  <c:v>44944</c:v>
                </c:pt>
                <c:pt idx="387">
                  <c:v>44945</c:v>
                </c:pt>
                <c:pt idx="388">
                  <c:v>44946</c:v>
                </c:pt>
                <c:pt idx="389">
                  <c:v>44949</c:v>
                </c:pt>
                <c:pt idx="390">
                  <c:v>44950</c:v>
                </c:pt>
                <c:pt idx="391">
                  <c:v>44951</c:v>
                </c:pt>
                <c:pt idx="392">
                  <c:v>44953</c:v>
                </c:pt>
                <c:pt idx="393">
                  <c:v>44956</c:v>
                </c:pt>
                <c:pt idx="394">
                  <c:v>44957</c:v>
                </c:pt>
                <c:pt idx="395">
                  <c:v>44958</c:v>
                </c:pt>
                <c:pt idx="396">
                  <c:v>44959</c:v>
                </c:pt>
                <c:pt idx="397">
                  <c:v>44960</c:v>
                </c:pt>
                <c:pt idx="398">
                  <c:v>44963</c:v>
                </c:pt>
                <c:pt idx="399">
                  <c:v>44964</c:v>
                </c:pt>
                <c:pt idx="400">
                  <c:v>44965</c:v>
                </c:pt>
                <c:pt idx="401">
                  <c:v>44966</c:v>
                </c:pt>
                <c:pt idx="402">
                  <c:v>44967</c:v>
                </c:pt>
                <c:pt idx="403">
                  <c:v>44970</c:v>
                </c:pt>
                <c:pt idx="404">
                  <c:v>44971</c:v>
                </c:pt>
                <c:pt idx="405">
                  <c:v>44972</c:v>
                </c:pt>
                <c:pt idx="406">
                  <c:v>44973</c:v>
                </c:pt>
                <c:pt idx="407">
                  <c:v>44974</c:v>
                </c:pt>
                <c:pt idx="408">
                  <c:v>44977</c:v>
                </c:pt>
                <c:pt idx="409">
                  <c:v>44978</c:v>
                </c:pt>
                <c:pt idx="410">
                  <c:v>44979</c:v>
                </c:pt>
                <c:pt idx="411">
                  <c:v>44980</c:v>
                </c:pt>
                <c:pt idx="412">
                  <c:v>44981</c:v>
                </c:pt>
                <c:pt idx="413">
                  <c:v>44984</c:v>
                </c:pt>
                <c:pt idx="414">
                  <c:v>44985</c:v>
                </c:pt>
                <c:pt idx="415">
                  <c:v>44986</c:v>
                </c:pt>
                <c:pt idx="416">
                  <c:v>44987</c:v>
                </c:pt>
                <c:pt idx="417">
                  <c:v>44988</c:v>
                </c:pt>
                <c:pt idx="418">
                  <c:v>44991</c:v>
                </c:pt>
                <c:pt idx="419">
                  <c:v>44993</c:v>
                </c:pt>
                <c:pt idx="420">
                  <c:v>44994</c:v>
                </c:pt>
                <c:pt idx="421">
                  <c:v>44995</c:v>
                </c:pt>
                <c:pt idx="422">
                  <c:v>44998</c:v>
                </c:pt>
                <c:pt idx="423">
                  <c:v>44999</c:v>
                </c:pt>
                <c:pt idx="424">
                  <c:v>45000</c:v>
                </c:pt>
                <c:pt idx="425">
                  <c:v>45001</c:v>
                </c:pt>
                <c:pt idx="426">
                  <c:v>45002</c:v>
                </c:pt>
                <c:pt idx="427">
                  <c:v>45005</c:v>
                </c:pt>
                <c:pt idx="428">
                  <c:v>45006</c:v>
                </c:pt>
                <c:pt idx="429">
                  <c:v>45007</c:v>
                </c:pt>
                <c:pt idx="430">
                  <c:v>45008</c:v>
                </c:pt>
                <c:pt idx="431">
                  <c:v>45009</c:v>
                </c:pt>
                <c:pt idx="432">
                  <c:v>45012</c:v>
                </c:pt>
                <c:pt idx="433">
                  <c:v>45013</c:v>
                </c:pt>
                <c:pt idx="434">
                  <c:v>45014</c:v>
                </c:pt>
                <c:pt idx="435">
                  <c:v>45016</c:v>
                </c:pt>
                <c:pt idx="436">
                  <c:v>45019</c:v>
                </c:pt>
                <c:pt idx="437">
                  <c:v>45021</c:v>
                </c:pt>
                <c:pt idx="438">
                  <c:v>45022</c:v>
                </c:pt>
                <c:pt idx="439">
                  <c:v>45026</c:v>
                </c:pt>
                <c:pt idx="440">
                  <c:v>45027</c:v>
                </c:pt>
                <c:pt idx="441">
                  <c:v>45028</c:v>
                </c:pt>
                <c:pt idx="442">
                  <c:v>45029</c:v>
                </c:pt>
                <c:pt idx="443">
                  <c:v>45033</c:v>
                </c:pt>
                <c:pt idx="444">
                  <c:v>45034</c:v>
                </c:pt>
                <c:pt idx="445">
                  <c:v>45035</c:v>
                </c:pt>
                <c:pt idx="446">
                  <c:v>45036</c:v>
                </c:pt>
                <c:pt idx="447">
                  <c:v>45037</c:v>
                </c:pt>
                <c:pt idx="448">
                  <c:v>45040</c:v>
                </c:pt>
                <c:pt idx="449">
                  <c:v>45041</c:v>
                </c:pt>
                <c:pt idx="450">
                  <c:v>45042</c:v>
                </c:pt>
                <c:pt idx="451">
                  <c:v>45043</c:v>
                </c:pt>
                <c:pt idx="452">
                  <c:v>45044</c:v>
                </c:pt>
                <c:pt idx="453">
                  <c:v>45048</c:v>
                </c:pt>
                <c:pt idx="454">
                  <c:v>45049</c:v>
                </c:pt>
                <c:pt idx="455">
                  <c:v>45050</c:v>
                </c:pt>
                <c:pt idx="456">
                  <c:v>45051</c:v>
                </c:pt>
                <c:pt idx="457">
                  <c:v>45054</c:v>
                </c:pt>
                <c:pt idx="458">
                  <c:v>45055</c:v>
                </c:pt>
                <c:pt idx="459">
                  <c:v>45056</c:v>
                </c:pt>
                <c:pt idx="460">
                  <c:v>45057</c:v>
                </c:pt>
                <c:pt idx="461">
                  <c:v>45058</c:v>
                </c:pt>
                <c:pt idx="462">
                  <c:v>45061</c:v>
                </c:pt>
                <c:pt idx="463">
                  <c:v>45062</c:v>
                </c:pt>
                <c:pt idx="464">
                  <c:v>45063</c:v>
                </c:pt>
                <c:pt idx="465">
                  <c:v>45064</c:v>
                </c:pt>
                <c:pt idx="466">
                  <c:v>45065</c:v>
                </c:pt>
                <c:pt idx="467">
                  <c:v>45068</c:v>
                </c:pt>
                <c:pt idx="468">
                  <c:v>45069</c:v>
                </c:pt>
                <c:pt idx="469">
                  <c:v>45070</c:v>
                </c:pt>
                <c:pt idx="470">
                  <c:v>45071</c:v>
                </c:pt>
                <c:pt idx="471">
                  <c:v>45072</c:v>
                </c:pt>
                <c:pt idx="472">
                  <c:v>45075</c:v>
                </c:pt>
                <c:pt idx="473">
                  <c:v>45076</c:v>
                </c:pt>
                <c:pt idx="474">
                  <c:v>45077</c:v>
                </c:pt>
                <c:pt idx="475">
                  <c:v>45078</c:v>
                </c:pt>
                <c:pt idx="476">
                  <c:v>45079</c:v>
                </c:pt>
                <c:pt idx="477">
                  <c:v>45082</c:v>
                </c:pt>
                <c:pt idx="478">
                  <c:v>45083</c:v>
                </c:pt>
                <c:pt idx="479">
                  <c:v>45084</c:v>
                </c:pt>
                <c:pt idx="480">
                  <c:v>45085</c:v>
                </c:pt>
                <c:pt idx="481">
                  <c:v>45086</c:v>
                </c:pt>
                <c:pt idx="482">
                  <c:v>45089</c:v>
                </c:pt>
                <c:pt idx="483">
                  <c:v>45090</c:v>
                </c:pt>
                <c:pt idx="484">
                  <c:v>45091</c:v>
                </c:pt>
                <c:pt idx="485">
                  <c:v>45092</c:v>
                </c:pt>
                <c:pt idx="486">
                  <c:v>45093</c:v>
                </c:pt>
                <c:pt idx="487">
                  <c:v>45096</c:v>
                </c:pt>
                <c:pt idx="488">
                  <c:v>45097</c:v>
                </c:pt>
                <c:pt idx="489">
                  <c:v>45098</c:v>
                </c:pt>
                <c:pt idx="490">
                  <c:v>45099</c:v>
                </c:pt>
                <c:pt idx="491">
                  <c:v>45100</c:v>
                </c:pt>
                <c:pt idx="492">
                  <c:v>45103</c:v>
                </c:pt>
                <c:pt idx="493">
                  <c:v>45104</c:v>
                </c:pt>
                <c:pt idx="494">
                  <c:v>45105</c:v>
                </c:pt>
                <c:pt idx="495">
                  <c:v>45107</c:v>
                </c:pt>
                <c:pt idx="496">
                  <c:v>45110</c:v>
                </c:pt>
                <c:pt idx="497">
                  <c:v>45111</c:v>
                </c:pt>
                <c:pt idx="498">
                  <c:v>45112</c:v>
                </c:pt>
                <c:pt idx="499">
                  <c:v>45113</c:v>
                </c:pt>
                <c:pt idx="500">
                  <c:v>45114</c:v>
                </c:pt>
                <c:pt idx="501">
                  <c:v>45117</c:v>
                </c:pt>
                <c:pt idx="502">
                  <c:v>45118</c:v>
                </c:pt>
                <c:pt idx="503">
                  <c:v>45119</c:v>
                </c:pt>
                <c:pt idx="504">
                  <c:v>45120</c:v>
                </c:pt>
                <c:pt idx="505">
                  <c:v>45121</c:v>
                </c:pt>
                <c:pt idx="506">
                  <c:v>45124</c:v>
                </c:pt>
                <c:pt idx="507">
                  <c:v>45125</c:v>
                </c:pt>
                <c:pt idx="508">
                  <c:v>45126</c:v>
                </c:pt>
                <c:pt idx="509">
                  <c:v>45127</c:v>
                </c:pt>
                <c:pt idx="510">
                  <c:v>45128</c:v>
                </c:pt>
                <c:pt idx="511">
                  <c:v>45131</c:v>
                </c:pt>
                <c:pt idx="512">
                  <c:v>45132</c:v>
                </c:pt>
                <c:pt idx="513">
                  <c:v>45133</c:v>
                </c:pt>
                <c:pt idx="514">
                  <c:v>45134</c:v>
                </c:pt>
                <c:pt idx="515">
                  <c:v>45135</c:v>
                </c:pt>
                <c:pt idx="516">
                  <c:v>45138</c:v>
                </c:pt>
                <c:pt idx="517">
                  <c:v>45139</c:v>
                </c:pt>
                <c:pt idx="518">
                  <c:v>45140</c:v>
                </c:pt>
                <c:pt idx="519">
                  <c:v>45141</c:v>
                </c:pt>
                <c:pt idx="520">
                  <c:v>45142</c:v>
                </c:pt>
                <c:pt idx="521">
                  <c:v>45145</c:v>
                </c:pt>
                <c:pt idx="522">
                  <c:v>45146</c:v>
                </c:pt>
                <c:pt idx="523">
                  <c:v>45147</c:v>
                </c:pt>
                <c:pt idx="524">
                  <c:v>45148</c:v>
                </c:pt>
                <c:pt idx="525">
                  <c:v>45149</c:v>
                </c:pt>
                <c:pt idx="526">
                  <c:v>45152</c:v>
                </c:pt>
                <c:pt idx="527">
                  <c:v>45154</c:v>
                </c:pt>
                <c:pt idx="528">
                  <c:v>45155</c:v>
                </c:pt>
                <c:pt idx="529">
                  <c:v>45156</c:v>
                </c:pt>
                <c:pt idx="530">
                  <c:v>45159</c:v>
                </c:pt>
                <c:pt idx="531">
                  <c:v>45160</c:v>
                </c:pt>
                <c:pt idx="532">
                  <c:v>45161</c:v>
                </c:pt>
                <c:pt idx="533">
                  <c:v>45162</c:v>
                </c:pt>
                <c:pt idx="534">
                  <c:v>45163</c:v>
                </c:pt>
                <c:pt idx="535">
                  <c:v>45166</c:v>
                </c:pt>
                <c:pt idx="536">
                  <c:v>45167</c:v>
                </c:pt>
                <c:pt idx="537">
                  <c:v>45168</c:v>
                </c:pt>
                <c:pt idx="538">
                  <c:v>45169</c:v>
                </c:pt>
                <c:pt idx="539">
                  <c:v>45170</c:v>
                </c:pt>
                <c:pt idx="540">
                  <c:v>45173</c:v>
                </c:pt>
                <c:pt idx="541">
                  <c:v>45174</c:v>
                </c:pt>
                <c:pt idx="542">
                  <c:v>45175</c:v>
                </c:pt>
                <c:pt idx="543">
                  <c:v>45176</c:v>
                </c:pt>
                <c:pt idx="544">
                  <c:v>45177</c:v>
                </c:pt>
                <c:pt idx="545">
                  <c:v>45180</c:v>
                </c:pt>
                <c:pt idx="546">
                  <c:v>45181</c:v>
                </c:pt>
                <c:pt idx="547">
                  <c:v>45182</c:v>
                </c:pt>
                <c:pt idx="548">
                  <c:v>45183</c:v>
                </c:pt>
                <c:pt idx="549">
                  <c:v>45184</c:v>
                </c:pt>
                <c:pt idx="550">
                  <c:v>45187</c:v>
                </c:pt>
                <c:pt idx="551">
                  <c:v>45189</c:v>
                </c:pt>
                <c:pt idx="552">
                  <c:v>45190</c:v>
                </c:pt>
                <c:pt idx="553">
                  <c:v>45191</c:v>
                </c:pt>
                <c:pt idx="554">
                  <c:v>45194</c:v>
                </c:pt>
                <c:pt idx="555">
                  <c:v>45195</c:v>
                </c:pt>
                <c:pt idx="556">
                  <c:v>45196</c:v>
                </c:pt>
                <c:pt idx="557">
                  <c:v>45197</c:v>
                </c:pt>
                <c:pt idx="558">
                  <c:v>45198</c:v>
                </c:pt>
                <c:pt idx="559">
                  <c:v>45202</c:v>
                </c:pt>
                <c:pt idx="560">
                  <c:v>45203</c:v>
                </c:pt>
                <c:pt idx="561">
                  <c:v>45204</c:v>
                </c:pt>
                <c:pt idx="562">
                  <c:v>45205</c:v>
                </c:pt>
                <c:pt idx="563">
                  <c:v>45208</c:v>
                </c:pt>
                <c:pt idx="564">
                  <c:v>45209</c:v>
                </c:pt>
                <c:pt idx="565">
                  <c:v>45210</c:v>
                </c:pt>
                <c:pt idx="566">
                  <c:v>45211</c:v>
                </c:pt>
                <c:pt idx="567">
                  <c:v>45212</c:v>
                </c:pt>
                <c:pt idx="568">
                  <c:v>45215</c:v>
                </c:pt>
                <c:pt idx="569">
                  <c:v>45216</c:v>
                </c:pt>
                <c:pt idx="570">
                  <c:v>45217</c:v>
                </c:pt>
                <c:pt idx="571">
                  <c:v>45218</c:v>
                </c:pt>
                <c:pt idx="572">
                  <c:v>45219</c:v>
                </c:pt>
                <c:pt idx="573">
                  <c:v>45222</c:v>
                </c:pt>
                <c:pt idx="574">
                  <c:v>45224</c:v>
                </c:pt>
                <c:pt idx="575">
                  <c:v>45225</c:v>
                </c:pt>
                <c:pt idx="576">
                  <c:v>45226</c:v>
                </c:pt>
                <c:pt idx="577">
                  <c:v>45229</c:v>
                </c:pt>
                <c:pt idx="578">
                  <c:v>45230</c:v>
                </c:pt>
                <c:pt idx="579">
                  <c:v>45231</c:v>
                </c:pt>
                <c:pt idx="580">
                  <c:v>45232</c:v>
                </c:pt>
                <c:pt idx="581">
                  <c:v>45233</c:v>
                </c:pt>
                <c:pt idx="582">
                  <c:v>45236</c:v>
                </c:pt>
                <c:pt idx="583">
                  <c:v>45237</c:v>
                </c:pt>
                <c:pt idx="584">
                  <c:v>45238</c:v>
                </c:pt>
                <c:pt idx="585">
                  <c:v>45239</c:v>
                </c:pt>
                <c:pt idx="586">
                  <c:v>45240</c:v>
                </c:pt>
                <c:pt idx="587">
                  <c:v>45242</c:v>
                </c:pt>
                <c:pt idx="588">
                  <c:v>45243</c:v>
                </c:pt>
                <c:pt idx="589">
                  <c:v>45245</c:v>
                </c:pt>
                <c:pt idx="590">
                  <c:v>45246</c:v>
                </c:pt>
                <c:pt idx="591">
                  <c:v>45247</c:v>
                </c:pt>
                <c:pt idx="592">
                  <c:v>45250</c:v>
                </c:pt>
                <c:pt idx="593">
                  <c:v>45251</c:v>
                </c:pt>
                <c:pt idx="594">
                  <c:v>45252</c:v>
                </c:pt>
                <c:pt idx="595">
                  <c:v>45253</c:v>
                </c:pt>
                <c:pt idx="596">
                  <c:v>45254</c:v>
                </c:pt>
                <c:pt idx="597">
                  <c:v>45258</c:v>
                </c:pt>
                <c:pt idx="598">
                  <c:v>45259</c:v>
                </c:pt>
                <c:pt idx="599">
                  <c:v>45260</c:v>
                </c:pt>
                <c:pt idx="600">
                  <c:v>45261</c:v>
                </c:pt>
                <c:pt idx="601">
                  <c:v>45264</c:v>
                </c:pt>
                <c:pt idx="602">
                  <c:v>45265</c:v>
                </c:pt>
                <c:pt idx="603">
                  <c:v>45266</c:v>
                </c:pt>
                <c:pt idx="604">
                  <c:v>45267</c:v>
                </c:pt>
                <c:pt idx="605">
                  <c:v>45268</c:v>
                </c:pt>
                <c:pt idx="606">
                  <c:v>45271</c:v>
                </c:pt>
                <c:pt idx="607">
                  <c:v>45272</c:v>
                </c:pt>
                <c:pt idx="608">
                  <c:v>45273</c:v>
                </c:pt>
                <c:pt idx="609">
                  <c:v>45274</c:v>
                </c:pt>
                <c:pt idx="610">
                  <c:v>45275</c:v>
                </c:pt>
                <c:pt idx="611">
                  <c:v>45278</c:v>
                </c:pt>
                <c:pt idx="612">
                  <c:v>45279</c:v>
                </c:pt>
                <c:pt idx="613">
                  <c:v>45280</c:v>
                </c:pt>
                <c:pt idx="614">
                  <c:v>45281</c:v>
                </c:pt>
                <c:pt idx="615">
                  <c:v>45282</c:v>
                </c:pt>
                <c:pt idx="616">
                  <c:v>45286</c:v>
                </c:pt>
                <c:pt idx="617">
                  <c:v>45287</c:v>
                </c:pt>
                <c:pt idx="618">
                  <c:v>45288</c:v>
                </c:pt>
                <c:pt idx="619">
                  <c:v>45289</c:v>
                </c:pt>
                <c:pt idx="620">
                  <c:v>45292</c:v>
                </c:pt>
                <c:pt idx="621">
                  <c:v>45293</c:v>
                </c:pt>
                <c:pt idx="622">
                  <c:v>45294</c:v>
                </c:pt>
                <c:pt idx="623">
                  <c:v>45295</c:v>
                </c:pt>
                <c:pt idx="624">
                  <c:v>45296</c:v>
                </c:pt>
                <c:pt idx="625">
                  <c:v>45299</c:v>
                </c:pt>
                <c:pt idx="626">
                  <c:v>45300</c:v>
                </c:pt>
                <c:pt idx="627">
                  <c:v>45301</c:v>
                </c:pt>
                <c:pt idx="628">
                  <c:v>45302</c:v>
                </c:pt>
                <c:pt idx="629">
                  <c:v>45303</c:v>
                </c:pt>
                <c:pt idx="630">
                  <c:v>45306</c:v>
                </c:pt>
                <c:pt idx="631">
                  <c:v>45307</c:v>
                </c:pt>
                <c:pt idx="632">
                  <c:v>45308</c:v>
                </c:pt>
                <c:pt idx="633">
                  <c:v>45309</c:v>
                </c:pt>
                <c:pt idx="634">
                  <c:v>45310</c:v>
                </c:pt>
                <c:pt idx="635">
                  <c:v>45311</c:v>
                </c:pt>
                <c:pt idx="636">
                  <c:v>45314</c:v>
                </c:pt>
                <c:pt idx="637">
                  <c:v>45315</c:v>
                </c:pt>
                <c:pt idx="638">
                  <c:v>45316</c:v>
                </c:pt>
                <c:pt idx="639">
                  <c:v>45320</c:v>
                </c:pt>
                <c:pt idx="640">
                  <c:v>45321</c:v>
                </c:pt>
                <c:pt idx="641">
                  <c:v>45322</c:v>
                </c:pt>
                <c:pt idx="642">
                  <c:v>45323</c:v>
                </c:pt>
                <c:pt idx="643">
                  <c:v>45324</c:v>
                </c:pt>
                <c:pt idx="644">
                  <c:v>45327</c:v>
                </c:pt>
                <c:pt idx="645">
                  <c:v>45328</c:v>
                </c:pt>
                <c:pt idx="646">
                  <c:v>45329</c:v>
                </c:pt>
                <c:pt idx="647">
                  <c:v>45330</c:v>
                </c:pt>
                <c:pt idx="648">
                  <c:v>45331</c:v>
                </c:pt>
                <c:pt idx="649">
                  <c:v>45334</c:v>
                </c:pt>
                <c:pt idx="650">
                  <c:v>45335</c:v>
                </c:pt>
                <c:pt idx="651">
                  <c:v>45336</c:v>
                </c:pt>
                <c:pt idx="652">
                  <c:v>45337</c:v>
                </c:pt>
                <c:pt idx="653">
                  <c:v>45338</c:v>
                </c:pt>
                <c:pt idx="654">
                  <c:v>45341</c:v>
                </c:pt>
                <c:pt idx="655">
                  <c:v>45342</c:v>
                </c:pt>
                <c:pt idx="656">
                  <c:v>45343</c:v>
                </c:pt>
                <c:pt idx="657">
                  <c:v>45344</c:v>
                </c:pt>
                <c:pt idx="658">
                  <c:v>45345</c:v>
                </c:pt>
                <c:pt idx="659">
                  <c:v>45348</c:v>
                </c:pt>
                <c:pt idx="660">
                  <c:v>45349</c:v>
                </c:pt>
                <c:pt idx="661">
                  <c:v>45350</c:v>
                </c:pt>
                <c:pt idx="662">
                  <c:v>45351</c:v>
                </c:pt>
                <c:pt idx="663">
                  <c:v>45352</c:v>
                </c:pt>
                <c:pt idx="664">
                  <c:v>45353</c:v>
                </c:pt>
                <c:pt idx="665">
                  <c:v>45355</c:v>
                </c:pt>
                <c:pt idx="666">
                  <c:v>45356</c:v>
                </c:pt>
                <c:pt idx="667">
                  <c:v>45357</c:v>
                </c:pt>
                <c:pt idx="668">
                  <c:v>45358</c:v>
                </c:pt>
                <c:pt idx="669">
                  <c:v>45362</c:v>
                </c:pt>
                <c:pt idx="670">
                  <c:v>45363</c:v>
                </c:pt>
                <c:pt idx="671">
                  <c:v>45364</c:v>
                </c:pt>
                <c:pt idx="672">
                  <c:v>45365</c:v>
                </c:pt>
                <c:pt idx="673">
                  <c:v>45366</c:v>
                </c:pt>
                <c:pt idx="674">
                  <c:v>45369</c:v>
                </c:pt>
                <c:pt idx="675">
                  <c:v>45370</c:v>
                </c:pt>
                <c:pt idx="676">
                  <c:v>45371</c:v>
                </c:pt>
                <c:pt idx="677">
                  <c:v>45372</c:v>
                </c:pt>
                <c:pt idx="678">
                  <c:v>45373</c:v>
                </c:pt>
                <c:pt idx="679">
                  <c:v>45377</c:v>
                </c:pt>
                <c:pt idx="680">
                  <c:v>45378</c:v>
                </c:pt>
                <c:pt idx="681">
                  <c:v>45379</c:v>
                </c:pt>
                <c:pt idx="682">
                  <c:v>45383</c:v>
                </c:pt>
                <c:pt idx="683">
                  <c:v>45384</c:v>
                </c:pt>
                <c:pt idx="684">
                  <c:v>45385</c:v>
                </c:pt>
                <c:pt idx="685">
                  <c:v>45386</c:v>
                </c:pt>
                <c:pt idx="686">
                  <c:v>45387</c:v>
                </c:pt>
                <c:pt idx="687">
                  <c:v>45390</c:v>
                </c:pt>
                <c:pt idx="688">
                  <c:v>45391</c:v>
                </c:pt>
                <c:pt idx="689">
                  <c:v>45392</c:v>
                </c:pt>
                <c:pt idx="690">
                  <c:v>45394</c:v>
                </c:pt>
                <c:pt idx="691">
                  <c:v>45397</c:v>
                </c:pt>
                <c:pt idx="692">
                  <c:v>45398</c:v>
                </c:pt>
                <c:pt idx="693">
                  <c:v>45400</c:v>
                </c:pt>
                <c:pt idx="694">
                  <c:v>45401</c:v>
                </c:pt>
                <c:pt idx="695">
                  <c:v>45404</c:v>
                </c:pt>
                <c:pt idx="696">
                  <c:v>45405</c:v>
                </c:pt>
                <c:pt idx="697">
                  <c:v>45406</c:v>
                </c:pt>
                <c:pt idx="698">
                  <c:v>45407</c:v>
                </c:pt>
                <c:pt idx="699">
                  <c:v>45408</c:v>
                </c:pt>
                <c:pt idx="700">
                  <c:v>45411</c:v>
                </c:pt>
                <c:pt idx="701">
                  <c:v>45412</c:v>
                </c:pt>
                <c:pt idx="702">
                  <c:v>45414</c:v>
                </c:pt>
                <c:pt idx="703">
                  <c:v>45415</c:v>
                </c:pt>
                <c:pt idx="704">
                  <c:v>45418</c:v>
                </c:pt>
                <c:pt idx="705">
                  <c:v>45419</c:v>
                </c:pt>
                <c:pt idx="706">
                  <c:v>45420</c:v>
                </c:pt>
                <c:pt idx="707">
                  <c:v>45421</c:v>
                </c:pt>
                <c:pt idx="708">
                  <c:v>45422</c:v>
                </c:pt>
                <c:pt idx="709">
                  <c:v>45425</c:v>
                </c:pt>
                <c:pt idx="710">
                  <c:v>45426</c:v>
                </c:pt>
                <c:pt idx="711">
                  <c:v>45427</c:v>
                </c:pt>
                <c:pt idx="712">
                  <c:v>45428</c:v>
                </c:pt>
                <c:pt idx="713">
                  <c:v>45429</c:v>
                </c:pt>
                <c:pt idx="714">
                  <c:v>45430</c:v>
                </c:pt>
                <c:pt idx="715">
                  <c:v>45433</c:v>
                </c:pt>
                <c:pt idx="716">
                  <c:v>45434</c:v>
                </c:pt>
                <c:pt idx="717">
                  <c:v>45435</c:v>
                </c:pt>
                <c:pt idx="718">
                  <c:v>45436</c:v>
                </c:pt>
                <c:pt idx="719">
                  <c:v>45439</c:v>
                </c:pt>
                <c:pt idx="720">
                  <c:v>45440</c:v>
                </c:pt>
                <c:pt idx="721">
                  <c:v>45441</c:v>
                </c:pt>
                <c:pt idx="722">
                  <c:v>45442</c:v>
                </c:pt>
                <c:pt idx="723">
                  <c:v>45443</c:v>
                </c:pt>
                <c:pt idx="724">
                  <c:v>45446</c:v>
                </c:pt>
                <c:pt idx="725">
                  <c:v>45447</c:v>
                </c:pt>
                <c:pt idx="726">
                  <c:v>45448</c:v>
                </c:pt>
                <c:pt idx="727">
                  <c:v>45449</c:v>
                </c:pt>
                <c:pt idx="728">
                  <c:v>45450</c:v>
                </c:pt>
                <c:pt idx="729">
                  <c:v>45453</c:v>
                </c:pt>
                <c:pt idx="730">
                  <c:v>45454</c:v>
                </c:pt>
                <c:pt idx="731">
                  <c:v>45455</c:v>
                </c:pt>
                <c:pt idx="732">
                  <c:v>45456</c:v>
                </c:pt>
                <c:pt idx="733">
                  <c:v>45457</c:v>
                </c:pt>
                <c:pt idx="734">
                  <c:v>45461</c:v>
                </c:pt>
                <c:pt idx="735">
                  <c:v>45462</c:v>
                </c:pt>
                <c:pt idx="736">
                  <c:v>45463</c:v>
                </c:pt>
                <c:pt idx="737">
                  <c:v>45464</c:v>
                </c:pt>
                <c:pt idx="738">
                  <c:v>45467</c:v>
                </c:pt>
                <c:pt idx="739">
                  <c:v>45468</c:v>
                </c:pt>
                <c:pt idx="740">
                  <c:v>45469</c:v>
                </c:pt>
                <c:pt idx="741">
                  <c:v>45470</c:v>
                </c:pt>
                <c:pt idx="742">
                  <c:v>45471</c:v>
                </c:pt>
                <c:pt idx="743">
                  <c:v>45474</c:v>
                </c:pt>
                <c:pt idx="744">
                  <c:v>45475</c:v>
                </c:pt>
                <c:pt idx="745">
                  <c:v>45476</c:v>
                </c:pt>
                <c:pt idx="746">
                  <c:v>45477</c:v>
                </c:pt>
                <c:pt idx="747">
                  <c:v>45478</c:v>
                </c:pt>
                <c:pt idx="748">
                  <c:v>45481</c:v>
                </c:pt>
                <c:pt idx="749">
                  <c:v>45482</c:v>
                </c:pt>
                <c:pt idx="750">
                  <c:v>45483</c:v>
                </c:pt>
                <c:pt idx="751">
                  <c:v>45484</c:v>
                </c:pt>
                <c:pt idx="752">
                  <c:v>45485</c:v>
                </c:pt>
                <c:pt idx="753">
                  <c:v>45488</c:v>
                </c:pt>
                <c:pt idx="754">
                  <c:v>45489</c:v>
                </c:pt>
                <c:pt idx="755">
                  <c:v>45491</c:v>
                </c:pt>
                <c:pt idx="756">
                  <c:v>45492</c:v>
                </c:pt>
                <c:pt idx="757">
                  <c:v>45495</c:v>
                </c:pt>
                <c:pt idx="758">
                  <c:v>45496</c:v>
                </c:pt>
                <c:pt idx="759">
                  <c:v>45497</c:v>
                </c:pt>
                <c:pt idx="760">
                  <c:v>45498</c:v>
                </c:pt>
                <c:pt idx="761">
                  <c:v>45499</c:v>
                </c:pt>
                <c:pt idx="762">
                  <c:v>45502</c:v>
                </c:pt>
                <c:pt idx="763">
                  <c:v>45503</c:v>
                </c:pt>
                <c:pt idx="764">
                  <c:v>45504</c:v>
                </c:pt>
                <c:pt idx="765">
                  <c:v>45505</c:v>
                </c:pt>
                <c:pt idx="766">
                  <c:v>45506</c:v>
                </c:pt>
                <c:pt idx="767">
                  <c:v>45509</c:v>
                </c:pt>
                <c:pt idx="768">
                  <c:v>45510</c:v>
                </c:pt>
                <c:pt idx="769">
                  <c:v>45511</c:v>
                </c:pt>
                <c:pt idx="770">
                  <c:v>45512</c:v>
                </c:pt>
                <c:pt idx="771">
                  <c:v>45513</c:v>
                </c:pt>
                <c:pt idx="772">
                  <c:v>45516</c:v>
                </c:pt>
                <c:pt idx="773">
                  <c:v>45517</c:v>
                </c:pt>
                <c:pt idx="774">
                  <c:v>45518</c:v>
                </c:pt>
                <c:pt idx="775">
                  <c:v>45520</c:v>
                </c:pt>
                <c:pt idx="776">
                  <c:v>45523</c:v>
                </c:pt>
                <c:pt idx="777">
                  <c:v>45524</c:v>
                </c:pt>
                <c:pt idx="778">
                  <c:v>45525</c:v>
                </c:pt>
                <c:pt idx="779">
                  <c:v>45526</c:v>
                </c:pt>
                <c:pt idx="780">
                  <c:v>45527</c:v>
                </c:pt>
                <c:pt idx="781">
                  <c:v>45530</c:v>
                </c:pt>
                <c:pt idx="782">
                  <c:v>45531</c:v>
                </c:pt>
                <c:pt idx="783">
                  <c:v>45532</c:v>
                </c:pt>
                <c:pt idx="784">
                  <c:v>45533</c:v>
                </c:pt>
                <c:pt idx="785">
                  <c:v>45534</c:v>
                </c:pt>
                <c:pt idx="786">
                  <c:v>45537</c:v>
                </c:pt>
                <c:pt idx="787">
                  <c:v>45538</c:v>
                </c:pt>
                <c:pt idx="788">
                  <c:v>45539</c:v>
                </c:pt>
                <c:pt idx="789">
                  <c:v>45540</c:v>
                </c:pt>
                <c:pt idx="790">
                  <c:v>45541</c:v>
                </c:pt>
                <c:pt idx="791">
                  <c:v>45544</c:v>
                </c:pt>
                <c:pt idx="792">
                  <c:v>45545</c:v>
                </c:pt>
                <c:pt idx="793">
                  <c:v>45546</c:v>
                </c:pt>
                <c:pt idx="794">
                  <c:v>45547</c:v>
                </c:pt>
                <c:pt idx="795">
                  <c:v>45548</c:v>
                </c:pt>
                <c:pt idx="796">
                  <c:v>45551</c:v>
                </c:pt>
                <c:pt idx="797">
                  <c:v>45552</c:v>
                </c:pt>
                <c:pt idx="798">
                  <c:v>45553</c:v>
                </c:pt>
                <c:pt idx="799">
                  <c:v>45554</c:v>
                </c:pt>
                <c:pt idx="800">
                  <c:v>45555</c:v>
                </c:pt>
                <c:pt idx="801">
                  <c:v>45558</c:v>
                </c:pt>
                <c:pt idx="802">
                  <c:v>45559</c:v>
                </c:pt>
                <c:pt idx="803">
                  <c:v>45560</c:v>
                </c:pt>
                <c:pt idx="804">
                  <c:v>45561</c:v>
                </c:pt>
                <c:pt idx="805">
                  <c:v>45562</c:v>
                </c:pt>
                <c:pt idx="806">
                  <c:v>45565</c:v>
                </c:pt>
                <c:pt idx="807">
                  <c:v>45566</c:v>
                </c:pt>
                <c:pt idx="808">
                  <c:v>45568</c:v>
                </c:pt>
                <c:pt idx="809">
                  <c:v>45569</c:v>
                </c:pt>
                <c:pt idx="810">
                  <c:v>45572</c:v>
                </c:pt>
                <c:pt idx="811">
                  <c:v>45573</c:v>
                </c:pt>
                <c:pt idx="812">
                  <c:v>45574</c:v>
                </c:pt>
                <c:pt idx="813">
                  <c:v>45575</c:v>
                </c:pt>
                <c:pt idx="814">
                  <c:v>45576</c:v>
                </c:pt>
                <c:pt idx="815">
                  <c:v>45579</c:v>
                </c:pt>
                <c:pt idx="816">
                  <c:v>45580</c:v>
                </c:pt>
                <c:pt idx="817">
                  <c:v>45581</c:v>
                </c:pt>
                <c:pt idx="818">
                  <c:v>45582</c:v>
                </c:pt>
                <c:pt idx="819">
                  <c:v>45583</c:v>
                </c:pt>
                <c:pt idx="820">
                  <c:v>45586</c:v>
                </c:pt>
                <c:pt idx="821">
                  <c:v>45587</c:v>
                </c:pt>
                <c:pt idx="822">
                  <c:v>45588</c:v>
                </c:pt>
                <c:pt idx="823">
                  <c:v>45589</c:v>
                </c:pt>
                <c:pt idx="824">
                  <c:v>45590</c:v>
                </c:pt>
                <c:pt idx="825">
                  <c:v>45593</c:v>
                </c:pt>
                <c:pt idx="826">
                  <c:v>45594</c:v>
                </c:pt>
                <c:pt idx="827">
                  <c:v>45595</c:v>
                </c:pt>
                <c:pt idx="828">
                  <c:v>45596</c:v>
                </c:pt>
                <c:pt idx="829">
                  <c:v>45597</c:v>
                </c:pt>
                <c:pt idx="830">
                  <c:v>45600</c:v>
                </c:pt>
                <c:pt idx="831">
                  <c:v>45601</c:v>
                </c:pt>
                <c:pt idx="832">
                  <c:v>45602</c:v>
                </c:pt>
                <c:pt idx="833">
                  <c:v>45603</c:v>
                </c:pt>
                <c:pt idx="834">
                  <c:v>45604</c:v>
                </c:pt>
                <c:pt idx="835">
                  <c:v>45607</c:v>
                </c:pt>
                <c:pt idx="836">
                  <c:v>45608</c:v>
                </c:pt>
                <c:pt idx="837">
                  <c:v>45609</c:v>
                </c:pt>
                <c:pt idx="838">
                  <c:v>45610</c:v>
                </c:pt>
                <c:pt idx="839">
                  <c:v>45614</c:v>
                </c:pt>
                <c:pt idx="840">
                  <c:v>45615</c:v>
                </c:pt>
                <c:pt idx="841">
                  <c:v>45617</c:v>
                </c:pt>
                <c:pt idx="842">
                  <c:v>45618</c:v>
                </c:pt>
                <c:pt idx="843">
                  <c:v>45621</c:v>
                </c:pt>
                <c:pt idx="844">
                  <c:v>45622</c:v>
                </c:pt>
                <c:pt idx="845">
                  <c:v>45623</c:v>
                </c:pt>
                <c:pt idx="846">
                  <c:v>45624</c:v>
                </c:pt>
                <c:pt idx="847">
                  <c:v>45625</c:v>
                </c:pt>
                <c:pt idx="848">
                  <c:v>45628</c:v>
                </c:pt>
                <c:pt idx="849">
                  <c:v>45629</c:v>
                </c:pt>
                <c:pt idx="850">
                  <c:v>45630</c:v>
                </c:pt>
                <c:pt idx="851">
                  <c:v>45631</c:v>
                </c:pt>
                <c:pt idx="852">
                  <c:v>45632</c:v>
                </c:pt>
                <c:pt idx="853">
                  <c:v>45635</c:v>
                </c:pt>
                <c:pt idx="854">
                  <c:v>45636</c:v>
                </c:pt>
                <c:pt idx="855">
                  <c:v>45637</c:v>
                </c:pt>
                <c:pt idx="856">
                  <c:v>45638</c:v>
                </c:pt>
                <c:pt idx="857">
                  <c:v>45639</c:v>
                </c:pt>
                <c:pt idx="858">
                  <c:v>45642</c:v>
                </c:pt>
                <c:pt idx="859">
                  <c:v>45643</c:v>
                </c:pt>
                <c:pt idx="860">
                  <c:v>45644</c:v>
                </c:pt>
                <c:pt idx="861">
                  <c:v>45645</c:v>
                </c:pt>
                <c:pt idx="862">
                  <c:v>45646</c:v>
                </c:pt>
                <c:pt idx="863">
                  <c:v>45649</c:v>
                </c:pt>
                <c:pt idx="864">
                  <c:v>45650</c:v>
                </c:pt>
                <c:pt idx="865">
                  <c:v>45652</c:v>
                </c:pt>
                <c:pt idx="866">
                  <c:v>45653</c:v>
                </c:pt>
                <c:pt idx="867">
                  <c:v>45656</c:v>
                </c:pt>
                <c:pt idx="868">
                  <c:v>45657</c:v>
                </c:pt>
                <c:pt idx="869">
                  <c:v>45658</c:v>
                </c:pt>
                <c:pt idx="870">
                  <c:v>45659</c:v>
                </c:pt>
                <c:pt idx="871">
                  <c:v>45660</c:v>
                </c:pt>
                <c:pt idx="872">
                  <c:v>45663</c:v>
                </c:pt>
                <c:pt idx="873">
                  <c:v>45664</c:v>
                </c:pt>
                <c:pt idx="874">
                  <c:v>45665</c:v>
                </c:pt>
                <c:pt idx="875">
                  <c:v>45666</c:v>
                </c:pt>
                <c:pt idx="876">
                  <c:v>45667</c:v>
                </c:pt>
                <c:pt idx="877">
                  <c:v>45670</c:v>
                </c:pt>
                <c:pt idx="878">
                  <c:v>45671</c:v>
                </c:pt>
                <c:pt idx="879">
                  <c:v>45672</c:v>
                </c:pt>
                <c:pt idx="880">
                  <c:v>45673</c:v>
                </c:pt>
                <c:pt idx="881">
                  <c:v>45674</c:v>
                </c:pt>
                <c:pt idx="882">
                  <c:v>45677</c:v>
                </c:pt>
                <c:pt idx="883">
                  <c:v>45678</c:v>
                </c:pt>
                <c:pt idx="884">
                  <c:v>45679</c:v>
                </c:pt>
                <c:pt idx="885">
                  <c:v>45680</c:v>
                </c:pt>
                <c:pt idx="886">
                  <c:v>45681</c:v>
                </c:pt>
                <c:pt idx="887">
                  <c:v>45684</c:v>
                </c:pt>
                <c:pt idx="888">
                  <c:v>45685</c:v>
                </c:pt>
                <c:pt idx="889">
                  <c:v>45686</c:v>
                </c:pt>
                <c:pt idx="890">
                  <c:v>45687</c:v>
                </c:pt>
                <c:pt idx="891">
                  <c:v>45688</c:v>
                </c:pt>
                <c:pt idx="892">
                  <c:v>45689</c:v>
                </c:pt>
                <c:pt idx="893">
                  <c:v>45691</c:v>
                </c:pt>
                <c:pt idx="894">
                  <c:v>45692</c:v>
                </c:pt>
                <c:pt idx="895">
                  <c:v>45693</c:v>
                </c:pt>
                <c:pt idx="896">
                  <c:v>45694</c:v>
                </c:pt>
                <c:pt idx="897">
                  <c:v>45695</c:v>
                </c:pt>
                <c:pt idx="898">
                  <c:v>45698</c:v>
                </c:pt>
                <c:pt idx="899">
                  <c:v>45699</c:v>
                </c:pt>
                <c:pt idx="900">
                  <c:v>45700</c:v>
                </c:pt>
                <c:pt idx="901">
                  <c:v>45701</c:v>
                </c:pt>
                <c:pt idx="902">
                  <c:v>45702</c:v>
                </c:pt>
                <c:pt idx="903">
                  <c:v>45705</c:v>
                </c:pt>
                <c:pt idx="904">
                  <c:v>45706</c:v>
                </c:pt>
                <c:pt idx="905">
                  <c:v>45707</c:v>
                </c:pt>
                <c:pt idx="906">
                  <c:v>45708</c:v>
                </c:pt>
                <c:pt idx="907">
                  <c:v>45709</c:v>
                </c:pt>
                <c:pt idx="908">
                  <c:v>45712</c:v>
                </c:pt>
                <c:pt idx="909">
                  <c:v>45713</c:v>
                </c:pt>
                <c:pt idx="910">
                  <c:v>45715</c:v>
                </c:pt>
                <c:pt idx="911">
                  <c:v>45716</c:v>
                </c:pt>
                <c:pt idx="912">
                  <c:v>45719</c:v>
                </c:pt>
                <c:pt idx="913">
                  <c:v>45720</c:v>
                </c:pt>
                <c:pt idx="914">
                  <c:v>45721</c:v>
                </c:pt>
                <c:pt idx="915">
                  <c:v>45722</c:v>
                </c:pt>
                <c:pt idx="916">
                  <c:v>45723</c:v>
                </c:pt>
                <c:pt idx="917">
                  <c:v>45726</c:v>
                </c:pt>
                <c:pt idx="918">
                  <c:v>45727</c:v>
                </c:pt>
                <c:pt idx="919">
                  <c:v>45728</c:v>
                </c:pt>
                <c:pt idx="920">
                  <c:v>45729</c:v>
                </c:pt>
                <c:pt idx="921">
                  <c:v>45733</c:v>
                </c:pt>
                <c:pt idx="922">
                  <c:v>45734</c:v>
                </c:pt>
                <c:pt idx="923">
                  <c:v>45735</c:v>
                </c:pt>
                <c:pt idx="924">
                  <c:v>45736</c:v>
                </c:pt>
                <c:pt idx="925">
                  <c:v>45737</c:v>
                </c:pt>
                <c:pt idx="926">
                  <c:v>45740</c:v>
                </c:pt>
                <c:pt idx="927">
                  <c:v>45741</c:v>
                </c:pt>
                <c:pt idx="928">
                  <c:v>45742</c:v>
                </c:pt>
                <c:pt idx="929">
                  <c:v>45743</c:v>
                </c:pt>
                <c:pt idx="930">
                  <c:v>45744</c:v>
                </c:pt>
                <c:pt idx="931">
                  <c:v>45748</c:v>
                </c:pt>
                <c:pt idx="932">
                  <c:v>45749</c:v>
                </c:pt>
                <c:pt idx="933">
                  <c:v>45750</c:v>
                </c:pt>
                <c:pt idx="934">
                  <c:v>45751</c:v>
                </c:pt>
                <c:pt idx="935">
                  <c:v>45754</c:v>
                </c:pt>
                <c:pt idx="936">
                  <c:v>45755</c:v>
                </c:pt>
                <c:pt idx="937">
                  <c:v>45756</c:v>
                </c:pt>
                <c:pt idx="938">
                  <c:v>45758</c:v>
                </c:pt>
                <c:pt idx="939">
                  <c:v>45762</c:v>
                </c:pt>
                <c:pt idx="940">
                  <c:v>45763</c:v>
                </c:pt>
                <c:pt idx="941">
                  <c:v>45764</c:v>
                </c:pt>
                <c:pt idx="942">
                  <c:v>45768</c:v>
                </c:pt>
                <c:pt idx="943">
                  <c:v>45769</c:v>
                </c:pt>
                <c:pt idx="944">
                  <c:v>45770</c:v>
                </c:pt>
                <c:pt idx="945">
                  <c:v>45771</c:v>
                </c:pt>
                <c:pt idx="946">
                  <c:v>45772</c:v>
                </c:pt>
                <c:pt idx="947">
                  <c:v>45775</c:v>
                </c:pt>
                <c:pt idx="948">
                  <c:v>45776</c:v>
                </c:pt>
                <c:pt idx="949">
                  <c:v>45777</c:v>
                </c:pt>
                <c:pt idx="950">
                  <c:v>45779</c:v>
                </c:pt>
                <c:pt idx="951">
                  <c:v>45782</c:v>
                </c:pt>
                <c:pt idx="952">
                  <c:v>45783</c:v>
                </c:pt>
                <c:pt idx="953">
                  <c:v>45784</c:v>
                </c:pt>
                <c:pt idx="954">
                  <c:v>45785</c:v>
                </c:pt>
                <c:pt idx="955">
                  <c:v>45786</c:v>
                </c:pt>
                <c:pt idx="956">
                  <c:v>45789</c:v>
                </c:pt>
                <c:pt idx="957">
                  <c:v>45790</c:v>
                </c:pt>
                <c:pt idx="958">
                  <c:v>45791</c:v>
                </c:pt>
                <c:pt idx="959">
                  <c:v>45792</c:v>
                </c:pt>
                <c:pt idx="960">
                  <c:v>45793</c:v>
                </c:pt>
                <c:pt idx="961">
                  <c:v>45796</c:v>
                </c:pt>
                <c:pt idx="962">
                  <c:v>45797</c:v>
                </c:pt>
                <c:pt idx="963">
                  <c:v>45798</c:v>
                </c:pt>
                <c:pt idx="964">
                  <c:v>45799</c:v>
                </c:pt>
                <c:pt idx="965">
                  <c:v>45800</c:v>
                </c:pt>
                <c:pt idx="966">
                  <c:v>45803</c:v>
                </c:pt>
                <c:pt idx="967">
                  <c:v>45804</c:v>
                </c:pt>
                <c:pt idx="968">
                  <c:v>45805</c:v>
                </c:pt>
                <c:pt idx="969">
                  <c:v>45806</c:v>
                </c:pt>
                <c:pt idx="970">
                  <c:v>45807</c:v>
                </c:pt>
                <c:pt idx="971">
                  <c:v>45810</c:v>
                </c:pt>
                <c:pt idx="972">
                  <c:v>45811</c:v>
                </c:pt>
                <c:pt idx="973">
                  <c:v>45812</c:v>
                </c:pt>
                <c:pt idx="974">
                  <c:v>45813</c:v>
                </c:pt>
                <c:pt idx="975">
                  <c:v>45814</c:v>
                </c:pt>
                <c:pt idx="976">
                  <c:v>45817</c:v>
                </c:pt>
                <c:pt idx="977">
                  <c:v>45818</c:v>
                </c:pt>
                <c:pt idx="978">
                  <c:v>45819</c:v>
                </c:pt>
                <c:pt idx="979">
                  <c:v>45820</c:v>
                </c:pt>
                <c:pt idx="980">
                  <c:v>45821</c:v>
                </c:pt>
                <c:pt idx="981">
                  <c:v>45824</c:v>
                </c:pt>
                <c:pt idx="982">
                  <c:v>45825</c:v>
                </c:pt>
                <c:pt idx="983">
                  <c:v>45826</c:v>
                </c:pt>
                <c:pt idx="984">
                  <c:v>45827</c:v>
                </c:pt>
                <c:pt idx="985">
                  <c:v>45828</c:v>
                </c:pt>
                <c:pt idx="986">
                  <c:v>45831</c:v>
                </c:pt>
                <c:pt idx="987">
                  <c:v>45832</c:v>
                </c:pt>
                <c:pt idx="988">
                  <c:v>45833</c:v>
                </c:pt>
                <c:pt idx="989">
                  <c:v>45834</c:v>
                </c:pt>
                <c:pt idx="990">
                  <c:v>45835</c:v>
                </c:pt>
                <c:pt idx="991">
                  <c:v>45838</c:v>
                </c:pt>
                <c:pt idx="992">
                  <c:v>45839</c:v>
                </c:pt>
                <c:pt idx="993">
                  <c:v>45840</c:v>
                </c:pt>
                <c:pt idx="994">
                  <c:v>45841</c:v>
                </c:pt>
                <c:pt idx="995">
                  <c:v>45842</c:v>
                </c:pt>
                <c:pt idx="996">
                  <c:v>45845</c:v>
                </c:pt>
                <c:pt idx="997">
                  <c:v>45846</c:v>
                </c:pt>
                <c:pt idx="998">
                  <c:v>45847</c:v>
                </c:pt>
                <c:pt idx="999">
                  <c:v>45848</c:v>
                </c:pt>
                <c:pt idx="1000">
                  <c:v>45849</c:v>
                </c:pt>
                <c:pt idx="1001">
                  <c:v>45852</c:v>
                </c:pt>
                <c:pt idx="1002">
                  <c:v>45853</c:v>
                </c:pt>
                <c:pt idx="1003">
                  <c:v>45854</c:v>
                </c:pt>
                <c:pt idx="1004">
                  <c:v>45855</c:v>
                </c:pt>
                <c:pt idx="1005">
                  <c:v>45856</c:v>
                </c:pt>
                <c:pt idx="1006">
                  <c:v>45859</c:v>
                </c:pt>
                <c:pt idx="1007">
                  <c:v>45860</c:v>
                </c:pt>
                <c:pt idx="1008">
                  <c:v>45861</c:v>
                </c:pt>
                <c:pt idx="1009">
                  <c:v>45862</c:v>
                </c:pt>
                <c:pt idx="1010">
                  <c:v>45863</c:v>
                </c:pt>
                <c:pt idx="1011">
                  <c:v>45866</c:v>
                </c:pt>
                <c:pt idx="1012">
                  <c:v>45867</c:v>
                </c:pt>
                <c:pt idx="1013">
                  <c:v>45868</c:v>
                </c:pt>
                <c:pt idx="1014">
                  <c:v>45869</c:v>
                </c:pt>
                <c:pt idx="1015">
                  <c:v>45870</c:v>
                </c:pt>
                <c:pt idx="1016">
                  <c:v>45873</c:v>
                </c:pt>
                <c:pt idx="1017">
                  <c:v>45874</c:v>
                </c:pt>
                <c:pt idx="1018">
                  <c:v>45875</c:v>
                </c:pt>
                <c:pt idx="1019">
                  <c:v>45876</c:v>
                </c:pt>
                <c:pt idx="1020">
                  <c:v>45877</c:v>
                </c:pt>
                <c:pt idx="1021">
                  <c:v>45880</c:v>
                </c:pt>
                <c:pt idx="1022">
                  <c:v>45881</c:v>
                </c:pt>
                <c:pt idx="1023">
                  <c:v>45882</c:v>
                </c:pt>
                <c:pt idx="1024">
                  <c:v>45883</c:v>
                </c:pt>
                <c:pt idx="1025">
                  <c:v>45887</c:v>
                </c:pt>
                <c:pt idx="1026">
                  <c:v>45888</c:v>
                </c:pt>
                <c:pt idx="1027">
                  <c:v>45889</c:v>
                </c:pt>
                <c:pt idx="1028">
                  <c:v>45890</c:v>
                </c:pt>
                <c:pt idx="1029">
                  <c:v>45891</c:v>
                </c:pt>
                <c:pt idx="1030">
                  <c:v>45894</c:v>
                </c:pt>
                <c:pt idx="1031">
                  <c:v>45895</c:v>
                </c:pt>
                <c:pt idx="1032">
                  <c:v>45897</c:v>
                </c:pt>
                <c:pt idx="1033">
                  <c:v>45898</c:v>
                </c:pt>
                <c:pt idx="1034">
                  <c:v>45901</c:v>
                </c:pt>
                <c:pt idx="1035">
                  <c:v>45902</c:v>
                </c:pt>
                <c:pt idx="1036">
                  <c:v>45903</c:v>
                </c:pt>
                <c:pt idx="1037">
                  <c:v>45904</c:v>
                </c:pt>
                <c:pt idx="1038">
                  <c:v>45905</c:v>
                </c:pt>
                <c:pt idx="1039">
                  <c:v>45908</c:v>
                </c:pt>
                <c:pt idx="1040">
                  <c:v>45909</c:v>
                </c:pt>
                <c:pt idx="1041">
                  <c:v>45910</c:v>
                </c:pt>
                <c:pt idx="1042">
                  <c:v>45911</c:v>
                </c:pt>
                <c:pt idx="1043">
                  <c:v>45912</c:v>
                </c:pt>
                <c:pt idx="1044">
                  <c:v>45915</c:v>
                </c:pt>
                <c:pt idx="1045">
                  <c:v>45916</c:v>
                </c:pt>
                <c:pt idx="1046">
                  <c:v>45917</c:v>
                </c:pt>
                <c:pt idx="1047">
                  <c:v>45918</c:v>
                </c:pt>
                <c:pt idx="1048">
                  <c:v>45919</c:v>
                </c:pt>
                <c:pt idx="1049">
                  <c:v>45922</c:v>
                </c:pt>
                <c:pt idx="1050">
                  <c:v>45923</c:v>
                </c:pt>
                <c:pt idx="1051">
                  <c:v>45924</c:v>
                </c:pt>
                <c:pt idx="1052">
                  <c:v>45925</c:v>
                </c:pt>
                <c:pt idx="1053">
                  <c:v>45926</c:v>
                </c:pt>
                <c:pt idx="1054">
                  <c:v>45929</c:v>
                </c:pt>
                <c:pt idx="1055">
                  <c:v>45930</c:v>
                </c:pt>
                <c:pt idx="1056">
                  <c:v>45931</c:v>
                </c:pt>
                <c:pt idx="1057">
                  <c:v>45933</c:v>
                </c:pt>
                <c:pt idx="1058">
                  <c:v>45936</c:v>
                </c:pt>
                <c:pt idx="1059">
                  <c:v>45937</c:v>
                </c:pt>
                <c:pt idx="1060">
                  <c:v>45938</c:v>
                </c:pt>
                <c:pt idx="1061">
                  <c:v>45939</c:v>
                </c:pt>
                <c:pt idx="1062">
                  <c:v>45940</c:v>
                </c:pt>
                <c:pt idx="1063">
                  <c:v>45943</c:v>
                </c:pt>
                <c:pt idx="1064">
                  <c:v>45944</c:v>
                </c:pt>
                <c:pt idx="1065">
                  <c:v>45945</c:v>
                </c:pt>
                <c:pt idx="1066">
                  <c:v>45946</c:v>
                </c:pt>
                <c:pt idx="1067">
                  <c:v>45947</c:v>
                </c:pt>
                <c:pt idx="1068">
                  <c:v>45950</c:v>
                </c:pt>
                <c:pt idx="1069">
                  <c:v>45951</c:v>
                </c:pt>
                <c:pt idx="1070">
                  <c:v>45953</c:v>
                </c:pt>
                <c:pt idx="1071">
                  <c:v>45954</c:v>
                </c:pt>
                <c:pt idx="1072">
                  <c:v>45957</c:v>
                </c:pt>
                <c:pt idx="1073">
                  <c:v>45958</c:v>
                </c:pt>
                <c:pt idx="1074">
                  <c:v>45959</c:v>
                </c:pt>
                <c:pt idx="1075">
                  <c:v>45960</c:v>
                </c:pt>
                <c:pt idx="1076">
                  <c:v>45961</c:v>
                </c:pt>
                <c:pt idx="1077">
                  <c:v>45964</c:v>
                </c:pt>
                <c:pt idx="1078">
                  <c:v>45965</c:v>
                </c:pt>
                <c:pt idx="1079">
                  <c:v>45967</c:v>
                </c:pt>
                <c:pt idx="1080">
                  <c:v>45968</c:v>
                </c:pt>
                <c:pt idx="1081">
                  <c:v>45971</c:v>
                </c:pt>
                <c:pt idx="1082">
                  <c:v>45972</c:v>
                </c:pt>
                <c:pt idx="1083">
                  <c:v>45973</c:v>
                </c:pt>
                <c:pt idx="1084">
                  <c:v>45974</c:v>
                </c:pt>
                <c:pt idx="1085">
                  <c:v>45975</c:v>
                </c:pt>
                <c:pt idx="1086">
                  <c:v>45978</c:v>
                </c:pt>
                <c:pt idx="1087">
                  <c:v>45979</c:v>
                </c:pt>
                <c:pt idx="1088">
                  <c:v>45980</c:v>
                </c:pt>
                <c:pt idx="1089">
                  <c:v>45981</c:v>
                </c:pt>
                <c:pt idx="1090">
                  <c:v>45982</c:v>
                </c:pt>
                <c:pt idx="1091">
                  <c:v>45985</c:v>
                </c:pt>
                <c:pt idx="1092">
                  <c:v>45986</c:v>
                </c:pt>
                <c:pt idx="1093">
                  <c:v>45987</c:v>
                </c:pt>
                <c:pt idx="1094">
                  <c:v>45988</c:v>
                </c:pt>
                <c:pt idx="1095">
                  <c:v>45989</c:v>
                </c:pt>
              </c:numCache>
            </c:numRef>
          </c:cat>
          <c:val>
            <c:numRef>
              <c:f>Sheet1!$C$3:$C$928</c:f>
              <c:numCache>
                <c:formatCode>0.00</c:formatCode>
                <c:ptCount val="926"/>
                <c:pt idx="0">
                  <c:v>660.15</c:v>
                </c:pt>
                <c:pt idx="1">
                  <c:v>692.75</c:v>
                </c:pt>
                <c:pt idx="2">
                  <c:v>688.9</c:v>
                </c:pt>
                <c:pt idx="3">
                  <c:v>712.25</c:v>
                </c:pt>
                <c:pt idx="4">
                  <c:v>717.2</c:v>
                </c:pt>
                <c:pt idx="5">
                  <c:v>706.7</c:v>
                </c:pt>
                <c:pt idx="6">
                  <c:v>714.95</c:v>
                </c:pt>
                <c:pt idx="7">
                  <c:v>701.75</c:v>
                </c:pt>
                <c:pt idx="8">
                  <c:v>690</c:v>
                </c:pt>
                <c:pt idx="9">
                  <c:v>707.05</c:v>
                </c:pt>
                <c:pt idx="10">
                  <c:v>726.55</c:v>
                </c:pt>
                <c:pt idx="11">
                  <c:v>764.35</c:v>
                </c:pt>
                <c:pt idx="12">
                  <c:v>774.6</c:v>
                </c:pt>
                <c:pt idx="13">
                  <c:v>760.15</c:v>
                </c:pt>
                <c:pt idx="14">
                  <c:v>743.8</c:v>
                </c:pt>
                <c:pt idx="15">
                  <c:v>725.45</c:v>
                </c:pt>
                <c:pt idx="16">
                  <c:v>713.05</c:v>
                </c:pt>
                <c:pt idx="17">
                  <c:v>732</c:v>
                </c:pt>
                <c:pt idx="18">
                  <c:v>728</c:v>
                </c:pt>
                <c:pt idx="19">
                  <c:v>723.85</c:v>
                </c:pt>
                <c:pt idx="20">
                  <c:v>725</c:v>
                </c:pt>
                <c:pt idx="21">
                  <c:v>744.55</c:v>
                </c:pt>
                <c:pt idx="22">
                  <c:v>741.6</c:v>
                </c:pt>
                <c:pt idx="23">
                  <c:v>723.4</c:v>
                </c:pt>
                <c:pt idx="24">
                  <c:v>720.55</c:v>
                </c:pt>
                <c:pt idx="25">
                  <c:v>708.8</c:v>
                </c:pt>
                <c:pt idx="26">
                  <c:v>714.3</c:v>
                </c:pt>
                <c:pt idx="27">
                  <c:v>687.15</c:v>
                </c:pt>
                <c:pt idx="28">
                  <c:v>693.05</c:v>
                </c:pt>
                <c:pt idx="29">
                  <c:v>707.9</c:v>
                </c:pt>
                <c:pt idx="30">
                  <c:v>718.55</c:v>
                </c:pt>
                <c:pt idx="31">
                  <c:v>700.5</c:v>
                </c:pt>
                <c:pt idx="32">
                  <c:v>712.75</c:v>
                </c:pt>
                <c:pt idx="33">
                  <c:v>717.9</c:v>
                </c:pt>
                <c:pt idx="34">
                  <c:v>683.4</c:v>
                </c:pt>
                <c:pt idx="35">
                  <c:v>668.55</c:v>
                </c:pt>
                <c:pt idx="36">
                  <c:v>687.3</c:v>
                </c:pt>
                <c:pt idx="37">
                  <c:v>692.2</c:v>
                </c:pt>
                <c:pt idx="38">
                  <c:v>699.9</c:v>
                </c:pt>
                <c:pt idx="39">
                  <c:v>705.65</c:v>
                </c:pt>
                <c:pt idx="40">
                  <c:v>729.2</c:v>
                </c:pt>
                <c:pt idx="41">
                  <c:v>721.6</c:v>
                </c:pt>
                <c:pt idx="42">
                  <c:v>744.05</c:v>
                </c:pt>
                <c:pt idx="43">
                  <c:v>768.15</c:v>
                </c:pt>
                <c:pt idx="44">
                  <c:v>772.25</c:v>
                </c:pt>
                <c:pt idx="45">
                  <c:v>753.35</c:v>
                </c:pt>
                <c:pt idx="46">
                  <c:v>730.4</c:v>
                </c:pt>
                <c:pt idx="47">
                  <c:v>728.85</c:v>
                </c:pt>
                <c:pt idx="48">
                  <c:v>725.2</c:v>
                </c:pt>
                <c:pt idx="49">
                  <c:v>716.45</c:v>
                </c:pt>
                <c:pt idx="50">
                  <c:v>732.3</c:v>
                </c:pt>
                <c:pt idx="51">
                  <c:v>753.9</c:v>
                </c:pt>
                <c:pt idx="52">
                  <c:v>754.3</c:v>
                </c:pt>
                <c:pt idx="53">
                  <c:v>735.6</c:v>
                </c:pt>
                <c:pt idx="54">
                  <c:v>744.4</c:v>
                </c:pt>
                <c:pt idx="55">
                  <c:v>728.95</c:v>
                </c:pt>
                <c:pt idx="56">
                  <c:v>744.35</c:v>
                </c:pt>
                <c:pt idx="57">
                  <c:v>750.25</c:v>
                </c:pt>
                <c:pt idx="58">
                  <c:v>747.75</c:v>
                </c:pt>
                <c:pt idx="59">
                  <c:v>737.65</c:v>
                </c:pt>
                <c:pt idx="60">
                  <c:v>749.6</c:v>
                </c:pt>
                <c:pt idx="61">
                  <c:v>759.1</c:v>
                </c:pt>
                <c:pt idx="62">
                  <c:v>758.35</c:v>
                </c:pt>
                <c:pt idx="63">
                  <c:v>761.95</c:v>
                </c:pt>
                <c:pt idx="64">
                  <c:v>784.85</c:v>
                </c:pt>
                <c:pt idx="65">
                  <c:v>759</c:v>
                </c:pt>
                <c:pt idx="66">
                  <c:v>743.85</c:v>
                </c:pt>
                <c:pt idx="67">
                  <c:v>758.7</c:v>
                </c:pt>
                <c:pt idx="68">
                  <c:v>755.95</c:v>
                </c:pt>
                <c:pt idx="69">
                  <c:v>816.55</c:v>
                </c:pt>
                <c:pt idx="70">
                  <c:v>843.3</c:v>
                </c:pt>
                <c:pt idx="71">
                  <c:v>877.3</c:v>
                </c:pt>
                <c:pt idx="72">
                  <c:v>878.5</c:v>
                </c:pt>
                <c:pt idx="73">
                  <c:v>843.4</c:v>
                </c:pt>
                <c:pt idx="74">
                  <c:v>819.75</c:v>
                </c:pt>
                <c:pt idx="75">
                  <c:v>797.15</c:v>
                </c:pt>
                <c:pt idx="76">
                  <c:v>771.8</c:v>
                </c:pt>
                <c:pt idx="77">
                  <c:v>784.3</c:v>
                </c:pt>
                <c:pt idx="78">
                  <c:v>752.25</c:v>
                </c:pt>
                <c:pt idx="79">
                  <c:v>762.65</c:v>
                </c:pt>
                <c:pt idx="80">
                  <c:v>745.1</c:v>
                </c:pt>
                <c:pt idx="81">
                  <c:v>713.1</c:v>
                </c:pt>
                <c:pt idx="82">
                  <c:v>738</c:v>
                </c:pt>
                <c:pt idx="83">
                  <c:v>764.75</c:v>
                </c:pt>
                <c:pt idx="84">
                  <c:v>762.15</c:v>
                </c:pt>
                <c:pt idx="85">
                  <c:v>743.15</c:v>
                </c:pt>
                <c:pt idx="86">
                  <c:v>757.95</c:v>
                </c:pt>
                <c:pt idx="87">
                  <c:v>789.8</c:v>
                </c:pt>
                <c:pt idx="88">
                  <c:v>779.15</c:v>
                </c:pt>
                <c:pt idx="89">
                  <c:v>780.2</c:v>
                </c:pt>
                <c:pt idx="90">
                  <c:v>778.45</c:v>
                </c:pt>
                <c:pt idx="91">
                  <c:v>801.7</c:v>
                </c:pt>
                <c:pt idx="92">
                  <c:v>791.1</c:v>
                </c:pt>
                <c:pt idx="93">
                  <c:v>794.65</c:v>
                </c:pt>
                <c:pt idx="94">
                  <c:v>784.2</c:v>
                </c:pt>
                <c:pt idx="95">
                  <c:v>789.7</c:v>
                </c:pt>
                <c:pt idx="96">
                  <c:v>780.75</c:v>
                </c:pt>
                <c:pt idx="97">
                  <c:v>781.05</c:v>
                </c:pt>
                <c:pt idx="98">
                  <c:v>771.95</c:v>
                </c:pt>
                <c:pt idx="99">
                  <c:v>775.4</c:v>
                </c:pt>
                <c:pt idx="100">
                  <c:v>759.05</c:v>
                </c:pt>
                <c:pt idx="101">
                  <c:v>742.25</c:v>
                </c:pt>
                <c:pt idx="102">
                  <c:v>732</c:v>
                </c:pt>
                <c:pt idx="103">
                  <c:v>746.55</c:v>
                </c:pt>
                <c:pt idx="104">
                  <c:v>747.4</c:v>
                </c:pt>
                <c:pt idx="105">
                  <c:v>769.3</c:v>
                </c:pt>
                <c:pt idx="106">
                  <c:v>740.3</c:v>
                </c:pt>
                <c:pt idx="107">
                  <c:v>771.2</c:v>
                </c:pt>
                <c:pt idx="108">
                  <c:v>783.4</c:v>
                </c:pt>
                <c:pt idx="109">
                  <c:v>782.5</c:v>
                </c:pt>
                <c:pt idx="110">
                  <c:v>783.45</c:v>
                </c:pt>
                <c:pt idx="111">
                  <c:v>790.55</c:v>
                </c:pt>
                <c:pt idx="112">
                  <c:v>785.55</c:v>
                </c:pt>
                <c:pt idx="113">
                  <c:v>784.8</c:v>
                </c:pt>
                <c:pt idx="114">
                  <c:v>782.55</c:v>
                </c:pt>
                <c:pt idx="115">
                  <c:v>778.45</c:v>
                </c:pt>
                <c:pt idx="116">
                  <c:v>763.9</c:v>
                </c:pt>
                <c:pt idx="117">
                  <c:v>756.4</c:v>
                </c:pt>
                <c:pt idx="118">
                  <c:v>758.75</c:v>
                </c:pt>
                <c:pt idx="119">
                  <c:v>752.15</c:v>
                </c:pt>
                <c:pt idx="120">
                  <c:v>758.55</c:v>
                </c:pt>
                <c:pt idx="121">
                  <c:v>766.95</c:v>
                </c:pt>
                <c:pt idx="122">
                  <c:v>786.85</c:v>
                </c:pt>
                <c:pt idx="123">
                  <c:v>782.15</c:v>
                </c:pt>
                <c:pt idx="124">
                  <c:v>788.05</c:v>
                </c:pt>
                <c:pt idx="125">
                  <c:v>791.75</c:v>
                </c:pt>
                <c:pt idx="126">
                  <c:v>790.25</c:v>
                </c:pt>
                <c:pt idx="127">
                  <c:v>787.45</c:v>
                </c:pt>
                <c:pt idx="128">
                  <c:v>778.4</c:v>
                </c:pt>
                <c:pt idx="129">
                  <c:v>773.65</c:v>
                </c:pt>
                <c:pt idx="130">
                  <c:v>768.65</c:v>
                </c:pt>
                <c:pt idx="131">
                  <c:v>784.3</c:v>
                </c:pt>
                <c:pt idx="132">
                  <c:v>783.95</c:v>
                </c:pt>
                <c:pt idx="133">
                  <c:v>791.25</c:v>
                </c:pt>
                <c:pt idx="134">
                  <c:v>800</c:v>
                </c:pt>
                <c:pt idx="135">
                  <c:v>820.4</c:v>
                </c:pt>
                <c:pt idx="136">
                  <c:v>823.45</c:v>
                </c:pt>
                <c:pt idx="137">
                  <c:v>819.6</c:v>
                </c:pt>
                <c:pt idx="138">
                  <c:v>787.65</c:v>
                </c:pt>
                <c:pt idx="139">
                  <c:v>804.25</c:v>
                </c:pt>
                <c:pt idx="140">
                  <c:v>777.95</c:v>
                </c:pt>
                <c:pt idx="141">
                  <c:v>717</c:v>
                </c:pt>
                <c:pt idx="142">
                  <c:v>722.65</c:v>
                </c:pt>
                <c:pt idx="143">
                  <c:v>700.65</c:v>
                </c:pt>
                <c:pt idx="144">
                  <c:v>720.9</c:v>
                </c:pt>
                <c:pt idx="145">
                  <c:v>721.2</c:v>
                </c:pt>
                <c:pt idx="146">
                  <c:v>727.35</c:v>
                </c:pt>
                <c:pt idx="147">
                  <c:v>746.55</c:v>
                </c:pt>
                <c:pt idx="148">
                  <c:v>725.15</c:v>
                </c:pt>
                <c:pt idx="149">
                  <c:v>733.4</c:v>
                </c:pt>
                <c:pt idx="150">
                  <c:v>715.45</c:v>
                </c:pt>
                <c:pt idx="151">
                  <c:v>737.5</c:v>
                </c:pt>
                <c:pt idx="152">
                  <c:v>734.7</c:v>
                </c:pt>
                <c:pt idx="153">
                  <c:v>737.75</c:v>
                </c:pt>
                <c:pt idx="154">
                  <c:v>729.05</c:v>
                </c:pt>
                <c:pt idx="155">
                  <c:v>723.55</c:v>
                </c:pt>
                <c:pt idx="156">
                  <c:v>721.3</c:v>
                </c:pt>
                <c:pt idx="157">
                  <c:v>712.25</c:v>
                </c:pt>
                <c:pt idx="158">
                  <c:v>703.7</c:v>
                </c:pt>
                <c:pt idx="159">
                  <c:v>695.6</c:v>
                </c:pt>
                <c:pt idx="160">
                  <c:v>655.45</c:v>
                </c:pt>
                <c:pt idx="161">
                  <c:v>632.15</c:v>
                </c:pt>
                <c:pt idx="162">
                  <c:v>650.85</c:v>
                </c:pt>
                <c:pt idx="163">
                  <c:v>632.20000000000005</c:v>
                </c:pt>
                <c:pt idx="164">
                  <c:v>642.5</c:v>
                </c:pt>
                <c:pt idx="165">
                  <c:v>665.95</c:v>
                </c:pt>
                <c:pt idx="166">
                  <c:v>648.1</c:v>
                </c:pt>
                <c:pt idx="167">
                  <c:v>633.04999999999995</c:v>
                </c:pt>
                <c:pt idx="168">
                  <c:v>612.20000000000005</c:v>
                </c:pt>
                <c:pt idx="169">
                  <c:v>593.1</c:v>
                </c:pt>
                <c:pt idx="170">
                  <c:v>599.04999999999995</c:v>
                </c:pt>
                <c:pt idx="171">
                  <c:v>606.95000000000005</c:v>
                </c:pt>
                <c:pt idx="172">
                  <c:v>608.9</c:v>
                </c:pt>
                <c:pt idx="173">
                  <c:v>608.79999999999995</c:v>
                </c:pt>
                <c:pt idx="174">
                  <c:v>593.6</c:v>
                </c:pt>
                <c:pt idx="175">
                  <c:v>599.1</c:v>
                </c:pt>
                <c:pt idx="176">
                  <c:v>600.15</c:v>
                </c:pt>
                <c:pt idx="177">
                  <c:v>625.9</c:v>
                </c:pt>
                <c:pt idx="178">
                  <c:v>645.4</c:v>
                </c:pt>
                <c:pt idx="179">
                  <c:v>669.75</c:v>
                </c:pt>
                <c:pt idx="180">
                  <c:v>651.35</c:v>
                </c:pt>
                <c:pt idx="181">
                  <c:v>642.9</c:v>
                </c:pt>
                <c:pt idx="182">
                  <c:v>621.29999999999995</c:v>
                </c:pt>
                <c:pt idx="183">
                  <c:v>605.79999999999995</c:v>
                </c:pt>
                <c:pt idx="184">
                  <c:v>615.65</c:v>
                </c:pt>
                <c:pt idx="185">
                  <c:v>620.79999999999995</c:v>
                </c:pt>
                <c:pt idx="186">
                  <c:v>621.25</c:v>
                </c:pt>
                <c:pt idx="187">
                  <c:v>617.54999999999995</c:v>
                </c:pt>
                <c:pt idx="188">
                  <c:v>632.95000000000005</c:v>
                </c:pt>
                <c:pt idx="189">
                  <c:v>644.20000000000005</c:v>
                </c:pt>
                <c:pt idx="190">
                  <c:v>638.65</c:v>
                </c:pt>
                <c:pt idx="191">
                  <c:v>628.25</c:v>
                </c:pt>
                <c:pt idx="192">
                  <c:v>626.85</c:v>
                </c:pt>
                <c:pt idx="193">
                  <c:v>622.95000000000005</c:v>
                </c:pt>
                <c:pt idx="194">
                  <c:v>625.4</c:v>
                </c:pt>
                <c:pt idx="195">
                  <c:v>635.29999999999995</c:v>
                </c:pt>
                <c:pt idx="196">
                  <c:v>627.20000000000005</c:v>
                </c:pt>
                <c:pt idx="197">
                  <c:v>625</c:v>
                </c:pt>
                <c:pt idx="198">
                  <c:v>628.5</c:v>
                </c:pt>
                <c:pt idx="199">
                  <c:v>597.15</c:v>
                </c:pt>
                <c:pt idx="200">
                  <c:v>597.20000000000005</c:v>
                </c:pt>
                <c:pt idx="201">
                  <c:v>584.6</c:v>
                </c:pt>
                <c:pt idx="202">
                  <c:v>579.9</c:v>
                </c:pt>
                <c:pt idx="203">
                  <c:v>584.35</c:v>
                </c:pt>
                <c:pt idx="204">
                  <c:v>581.25</c:v>
                </c:pt>
                <c:pt idx="205">
                  <c:v>560.70000000000005</c:v>
                </c:pt>
                <c:pt idx="206">
                  <c:v>540.15</c:v>
                </c:pt>
                <c:pt idx="207">
                  <c:v>520.29999999999995</c:v>
                </c:pt>
                <c:pt idx="208">
                  <c:v>529.5</c:v>
                </c:pt>
                <c:pt idx="209">
                  <c:v>509.9</c:v>
                </c:pt>
                <c:pt idx="210">
                  <c:v>502.2</c:v>
                </c:pt>
                <c:pt idx="211">
                  <c:v>485.5</c:v>
                </c:pt>
                <c:pt idx="212">
                  <c:v>479.15</c:v>
                </c:pt>
                <c:pt idx="213">
                  <c:v>473.3</c:v>
                </c:pt>
                <c:pt idx="214">
                  <c:v>476.45</c:v>
                </c:pt>
                <c:pt idx="215">
                  <c:v>487.2</c:v>
                </c:pt>
                <c:pt idx="216">
                  <c:v>497.75</c:v>
                </c:pt>
                <c:pt idx="217">
                  <c:v>489.7</c:v>
                </c:pt>
                <c:pt idx="218">
                  <c:v>474.55</c:v>
                </c:pt>
                <c:pt idx="219">
                  <c:v>473.35</c:v>
                </c:pt>
                <c:pt idx="220">
                  <c:v>464.25</c:v>
                </c:pt>
                <c:pt idx="221">
                  <c:v>440.75</c:v>
                </c:pt>
                <c:pt idx="222">
                  <c:v>428.4</c:v>
                </c:pt>
                <c:pt idx="223">
                  <c:v>419.85</c:v>
                </c:pt>
                <c:pt idx="224">
                  <c:v>427</c:v>
                </c:pt>
                <c:pt idx="225">
                  <c:v>446.3</c:v>
                </c:pt>
                <c:pt idx="226">
                  <c:v>447</c:v>
                </c:pt>
                <c:pt idx="227">
                  <c:v>440.7</c:v>
                </c:pt>
                <c:pt idx="228">
                  <c:v>444.45</c:v>
                </c:pt>
                <c:pt idx="229">
                  <c:v>460.5</c:v>
                </c:pt>
                <c:pt idx="230">
                  <c:v>456.25</c:v>
                </c:pt>
                <c:pt idx="231">
                  <c:v>455.1</c:v>
                </c:pt>
                <c:pt idx="232">
                  <c:v>462.65</c:v>
                </c:pt>
                <c:pt idx="233">
                  <c:v>462.9</c:v>
                </c:pt>
                <c:pt idx="234">
                  <c:v>459.5</c:v>
                </c:pt>
                <c:pt idx="235">
                  <c:v>441.7</c:v>
                </c:pt>
                <c:pt idx="236">
                  <c:v>445.95</c:v>
                </c:pt>
                <c:pt idx="237">
                  <c:v>454.8</c:v>
                </c:pt>
                <c:pt idx="238">
                  <c:v>437.7</c:v>
                </c:pt>
                <c:pt idx="239">
                  <c:v>440.05</c:v>
                </c:pt>
                <c:pt idx="240">
                  <c:v>428.75</c:v>
                </c:pt>
                <c:pt idx="241">
                  <c:v>437.1</c:v>
                </c:pt>
                <c:pt idx="242">
                  <c:v>423.55</c:v>
                </c:pt>
                <c:pt idx="243">
                  <c:v>434.55</c:v>
                </c:pt>
                <c:pt idx="244">
                  <c:v>436.05</c:v>
                </c:pt>
                <c:pt idx="245">
                  <c:v>434.85</c:v>
                </c:pt>
                <c:pt idx="246">
                  <c:v>428.75</c:v>
                </c:pt>
                <c:pt idx="247">
                  <c:v>436.5</c:v>
                </c:pt>
                <c:pt idx="248">
                  <c:v>428.9</c:v>
                </c:pt>
                <c:pt idx="249">
                  <c:v>413.55</c:v>
                </c:pt>
                <c:pt idx="250">
                  <c:v>434.9</c:v>
                </c:pt>
                <c:pt idx="251">
                  <c:v>423.6</c:v>
                </c:pt>
                <c:pt idx="252">
                  <c:v>418.2</c:v>
                </c:pt>
                <c:pt idx="253">
                  <c:v>426.5</c:v>
                </c:pt>
                <c:pt idx="254">
                  <c:v>432.2</c:v>
                </c:pt>
                <c:pt idx="255">
                  <c:v>432.65</c:v>
                </c:pt>
                <c:pt idx="256">
                  <c:v>441.35</c:v>
                </c:pt>
                <c:pt idx="257">
                  <c:v>451.1</c:v>
                </c:pt>
                <c:pt idx="258">
                  <c:v>444.35</c:v>
                </c:pt>
                <c:pt idx="259">
                  <c:v>446</c:v>
                </c:pt>
                <c:pt idx="260">
                  <c:v>454.55</c:v>
                </c:pt>
                <c:pt idx="261">
                  <c:v>456.65</c:v>
                </c:pt>
                <c:pt idx="262">
                  <c:v>462.9</c:v>
                </c:pt>
                <c:pt idx="263">
                  <c:v>466.65</c:v>
                </c:pt>
                <c:pt idx="264">
                  <c:v>474.55</c:v>
                </c:pt>
                <c:pt idx="265">
                  <c:v>465.7</c:v>
                </c:pt>
                <c:pt idx="266">
                  <c:v>461.35</c:v>
                </c:pt>
                <c:pt idx="267">
                  <c:v>466.65</c:v>
                </c:pt>
                <c:pt idx="268">
                  <c:v>473.1</c:v>
                </c:pt>
                <c:pt idx="269">
                  <c:v>480.55</c:v>
                </c:pt>
                <c:pt idx="270">
                  <c:v>492.1</c:v>
                </c:pt>
                <c:pt idx="271">
                  <c:v>487.15</c:v>
                </c:pt>
                <c:pt idx="272">
                  <c:v>477.5</c:v>
                </c:pt>
                <c:pt idx="273">
                  <c:v>497.7</c:v>
                </c:pt>
                <c:pt idx="274">
                  <c:v>488.8</c:v>
                </c:pt>
                <c:pt idx="275">
                  <c:v>485.25</c:v>
                </c:pt>
                <c:pt idx="276">
                  <c:v>489</c:v>
                </c:pt>
                <c:pt idx="277">
                  <c:v>472.35</c:v>
                </c:pt>
                <c:pt idx="278">
                  <c:v>477.3</c:v>
                </c:pt>
                <c:pt idx="279">
                  <c:v>491</c:v>
                </c:pt>
                <c:pt idx="280">
                  <c:v>532.35</c:v>
                </c:pt>
                <c:pt idx="281">
                  <c:v>530</c:v>
                </c:pt>
                <c:pt idx="282">
                  <c:v>519.20000000000005</c:v>
                </c:pt>
                <c:pt idx="283">
                  <c:v>500.9</c:v>
                </c:pt>
                <c:pt idx="284">
                  <c:v>502.65</c:v>
                </c:pt>
                <c:pt idx="285">
                  <c:v>507</c:v>
                </c:pt>
                <c:pt idx="286">
                  <c:v>503.35</c:v>
                </c:pt>
                <c:pt idx="287">
                  <c:v>500.95</c:v>
                </c:pt>
                <c:pt idx="288">
                  <c:v>488.65</c:v>
                </c:pt>
                <c:pt idx="289">
                  <c:v>501.55</c:v>
                </c:pt>
                <c:pt idx="290">
                  <c:v>500.35</c:v>
                </c:pt>
                <c:pt idx="291">
                  <c:v>499.45</c:v>
                </c:pt>
                <c:pt idx="292">
                  <c:v>499.3</c:v>
                </c:pt>
                <c:pt idx="293">
                  <c:v>499.15</c:v>
                </c:pt>
                <c:pt idx="294">
                  <c:v>497.05</c:v>
                </c:pt>
                <c:pt idx="295">
                  <c:v>514.25</c:v>
                </c:pt>
                <c:pt idx="296">
                  <c:v>519.1</c:v>
                </c:pt>
                <c:pt idx="297">
                  <c:v>524.6</c:v>
                </c:pt>
                <c:pt idx="298">
                  <c:v>525.35</c:v>
                </c:pt>
                <c:pt idx="299">
                  <c:v>521.9</c:v>
                </c:pt>
                <c:pt idx="300">
                  <c:v>531.20000000000005</c:v>
                </c:pt>
                <c:pt idx="301">
                  <c:v>528.6</c:v>
                </c:pt>
                <c:pt idx="302">
                  <c:v>548.65</c:v>
                </c:pt>
                <c:pt idx="303">
                  <c:v>550.54999999999995</c:v>
                </c:pt>
                <c:pt idx="304">
                  <c:v>538.95000000000005</c:v>
                </c:pt>
                <c:pt idx="305">
                  <c:v>533.45000000000005</c:v>
                </c:pt>
                <c:pt idx="306">
                  <c:v>530.85</c:v>
                </c:pt>
                <c:pt idx="307">
                  <c:v>515.5</c:v>
                </c:pt>
                <c:pt idx="308">
                  <c:v>513.04999999999995</c:v>
                </c:pt>
                <c:pt idx="309">
                  <c:v>511.9</c:v>
                </c:pt>
                <c:pt idx="310">
                  <c:v>506.2</c:v>
                </c:pt>
                <c:pt idx="311">
                  <c:v>523.15</c:v>
                </c:pt>
                <c:pt idx="312">
                  <c:v>511.75</c:v>
                </c:pt>
                <c:pt idx="313">
                  <c:v>516.25</c:v>
                </c:pt>
                <c:pt idx="314">
                  <c:v>517.20000000000005</c:v>
                </c:pt>
                <c:pt idx="315">
                  <c:v>518.15</c:v>
                </c:pt>
                <c:pt idx="316">
                  <c:v>510.85</c:v>
                </c:pt>
                <c:pt idx="317">
                  <c:v>502.95</c:v>
                </c:pt>
                <c:pt idx="318">
                  <c:v>497.65</c:v>
                </c:pt>
                <c:pt idx="319">
                  <c:v>504.05</c:v>
                </c:pt>
                <c:pt idx="320">
                  <c:v>507.95</c:v>
                </c:pt>
                <c:pt idx="321">
                  <c:v>520.6</c:v>
                </c:pt>
                <c:pt idx="322">
                  <c:v>522.35</c:v>
                </c:pt>
                <c:pt idx="323">
                  <c:v>511.25</c:v>
                </c:pt>
                <c:pt idx="324">
                  <c:v>506.7</c:v>
                </c:pt>
                <c:pt idx="325">
                  <c:v>502.1</c:v>
                </c:pt>
                <c:pt idx="326">
                  <c:v>509.95</c:v>
                </c:pt>
                <c:pt idx="327">
                  <c:v>509.6</c:v>
                </c:pt>
                <c:pt idx="328">
                  <c:v>517.1</c:v>
                </c:pt>
                <c:pt idx="329">
                  <c:v>514.54999999999995</c:v>
                </c:pt>
                <c:pt idx="330">
                  <c:v>516.35</c:v>
                </c:pt>
                <c:pt idx="331">
                  <c:v>514.15</c:v>
                </c:pt>
                <c:pt idx="332">
                  <c:v>515.1</c:v>
                </c:pt>
                <c:pt idx="333">
                  <c:v>521.85</c:v>
                </c:pt>
                <c:pt idx="334">
                  <c:v>534.6</c:v>
                </c:pt>
                <c:pt idx="335">
                  <c:v>548.54999999999995</c:v>
                </c:pt>
                <c:pt idx="336">
                  <c:v>541.25</c:v>
                </c:pt>
                <c:pt idx="337">
                  <c:v>540.75</c:v>
                </c:pt>
                <c:pt idx="338">
                  <c:v>562.75</c:v>
                </c:pt>
                <c:pt idx="339">
                  <c:v>567.4</c:v>
                </c:pt>
                <c:pt idx="340">
                  <c:v>557.5</c:v>
                </c:pt>
                <c:pt idx="341">
                  <c:v>550.15</c:v>
                </c:pt>
                <c:pt idx="342">
                  <c:v>545.04999999999995</c:v>
                </c:pt>
                <c:pt idx="343">
                  <c:v>540.70000000000005</c:v>
                </c:pt>
                <c:pt idx="344">
                  <c:v>530.79999999999995</c:v>
                </c:pt>
                <c:pt idx="345">
                  <c:v>525.75</c:v>
                </c:pt>
                <c:pt idx="346">
                  <c:v>524</c:v>
                </c:pt>
                <c:pt idx="347">
                  <c:v>519.20000000000005</c:v>
                </c:pt>
                <c:pt idx="348">
                  <c:v>523.35</c:v>
                </c:pt>
                <c:pt idx="349">
                  <c:v>528.15</c:v>
                </c:pt>
                <c:pt idx="350">
                  <c:v>523.4</c:v>
                </c:pt>
                <c:pt idx="351">
                  <c:v>527.45000000000005</c:v>
                </c:pt>
                <c:pt idx="352">
                  <c:v>524.75</c:v>
                </c:pt>
                <c:pt idx="353">
                  <c:v>536.35</c:v>
                </c:pt>
                <c:pt idx="354">
                  <c:v>530.54999999999995</c:v>
                </c:pt>
                <c:pt idx="355">
                  <c:v>532.04999999999995</c:v>
                </c:pt>
                <c:pt idx="356">
                  <c:v>524.75</c:v>
                </c:pt>
                <c:pt idx="357">
                  <c:v>528.20000000000005</c:v>
                </c:pt>
                <c:pt idx="358">
                  <c:v>521.65</c:v>
                </c:pt>
                <c:pt idx="359">
                  <c:v>516.4</c:v>
                </c:pt>
                <c:pt idx="360">
                  <c:v>513.70000000000005</c:v>
                </c:pt>
                <c:pt idx="361">
                  <c:v>511.7</c:v>
                </c:pt>
                <c:pt idx="362">
                  <c:v>508.9</c:v>
                </c:pt>
                <c:pt idx="363">
                  <c:v>511.85</c:v>
                </c:pt>
                <c:pt idx="364">
                  <c:v>519.79999999999995</c:v>
                </c:pt>
                <c:pt idx="365">
                  <c:v>514.25</c:v>
                </c:pt>
                <c:pt idx="366">
                  <c:v>500.75</c:v>
                </c:pt>
                <c:pt idx="367">
                  <c:v>498</c:v>
                </c:pt>
                <c:pt idx="368">
                  <c:v>492.25</c:v>
                </c:pt>
                <c:pt idx="369">
                  <c:v>499.25</c:v>
                </c:pt>
                <c:pt idx="370">
                  <c:v>498.65</c:v>
                </c:pt>
                <c:pt idx="371">
                  <c:v>494.15</c:v>
                </c:pt>
                <c:pt idx="372">
                  <c:v>490.8</c:v>
                </c:pt>
                <c:pt idx="373">
                  <c:v>497.35</c:v>
                </c:pt>
                <c:pt idx="374">
                  <c:v>494.75</c:v>
                </c:pt>
                <c:pt idx="375">
                  <c:v>502.1</c:v>
                </c:pt>
                <c:pt idx="376">
                  <c:v>493.4</c:v>
                </c:pt>
                <c:pt idx="377">
                  <c:v>500.05</c:v>
                </c:pt>
                <c:pt idx="378">
                  <c:v>496.3</c:v>
                </c:pt>
                <c:pt idx="379">
                  <c:v>499.55</c:v>
                </c:pt>
                <c:pt idx="380">
                  <c:v>503.65</c:v>
                </c:pt>
                <c:pt idx="381">
                  <c:v>499.8</c:v>
                </c:pt>
                <c:pt idx="382">
                  <c:v>498.2</c:v>
                </c:pt>
                <c:pt idx="383">
                  <c:v>501.6</c:v>
                </c:pt>
                <c:pt idx="384">
                  <c:v>504.65</c:v>
                </c:pt>
                <c:pt idx="385">
                  <c:v>510.7</c:v>
                </c:pt>
                <c:pt idx="386">
                  <c:v>512.1</c:v>
                </c:pt>
                <c:pt idx="387">
                  <c:v>512.35</c:v>
                </c:pt>
                <c:pt idx="388">
                  <c:v>500.1</c:v>
                </c:pt>
                <c:pt idx="389">
                  <c:v>502.6</c:v>
                </c:pt>
                <c:pt idx="390">
                  <c:v>497.4</c:v>
                </c:pt>
                <c:pt idx="391">
                  <c:v>495.15</c:v>
                </c:pt>
                <c:pt idx="392">
                  <c:v>490.7</c:v>
                </c:pt>
                <c:pt idx="393">
                  <c:v>488.05</c:v>
                </c:pt>
                <c:pt idx="394">
                  <c:v>492.75</c:v>
                </c:pt>
                <c:pt idx="395">
                  <c:v>483.35</c:v>
                </c:pt>
                <c:pt idx="396">
                  <c:v>489.5</c:v>
                </c:pt>
                <c:pt idx="397">
                  <c:v>489.6</c:v>
                </c:pt>
                <c:pt idx="398">
                  <c:v>491.55</c:v>
                </c:pt>
                <c:pt idx="399">
                  <c:v>485.45</c:v>
                </c:pt>
                <c:pt idx="400">
                  <c:v>480</c:v>
                </c:pt>
                <c:pt idx="401">
                  <c:v>475.3</c:v>
                </c:pt>
                <c:pt idx="402">
                  <c:v>466.45</c:v>
                </c:pt>
                <c:pt idx="403">
                  <c:v>466.05</c:v>
                </c:pt>
                <c:pt idx="404">
                  <c:v>461.75</c:v>
                </c:pt>
                <c:pt idx="405">
                  <c:v>474</c:v>
                </c:pt>
                <c:pt idx="406">
                  <c:v>467.6</c:v>
                </c:pt>
                <c:pt idx="407">
                  <c:v>465.1</c:v>
                </c:pt>
                <c:pt idx="408">
                  <c:v>469.7</c:v>
                </c:pt>
                <c:pt idx="409">
                  <c:v>478.7</c:v>
                </c:pt>
                <c:pt idx="410">
                  <c:v>477.25</c:v>
                </c:pt>
                <c:pt idx="411">
                  <c:v>477.45</c:v>
                </c:pt>
                <c:pt idx="412">
                  <c:v>473.15</c:v>
                </c:pt>
                <c:pt idx="413">
                  <c:v>465.95</c:v>
                </c:pt>
                <c:pt idx="414">
                  <c:v>466.2</c:v>
                </c:pt>
                <c:pt idx="415">
                  <c:v>471.75</c:v>
                </c:pt>
                <c:pt idx="416">
                  <c:v>473.45</c:v>
                </c:pt>
                <c:pt idx="417">
                  <c:v>474.65</c:v>
                </c:pt>
                <c:pt idx="418">
                  <c:v>482.75</c:v>
                </c:pt>
                <c:pt idx="419">
                  <c:v>473.65</c:v>
                </c:pt>
                <c:pt idx="420">
                  <c:v>471.35</c:v>
                </c:pt>
                <c:pt idx="421">
                  <c:v>468.65</c:v>
                </c:pt>
                <c:pt idx="422">
                  <c:v>453.6</c:v>
                </c:pt>
                <c:pt idx="423">
                  <c:v>451.35</c:v>
                </c:pt>
                <c:pt idx="424">
                  <c:v>454.8</c:v>
                </c:pt>
                <c:pt idx="425">
                  <c:v>446.6</c:v>
                </c:pt>
                <c:pt idx="426">
                  <c:v>443.8</c:v>
                </c:pt>
                <c:pt idx="427">
                  <c:v>436.4</c:v>
                </c:pt>
                <c:pt idx="428">
                  <c:v>434.2</c:v>
                </c:pt>
                <c:pt idx="429">
                  <c:v>436.3</c:v>
                </c:pt>
                <c:pt idx="430">
                  <c:v>439.8</c:v>
                </c:pt>
                <c:pt idx="431">
                  <c:v>433.7</c:v>
                </c:pt>
                <c:pt idx="432">
                  <c:v>423.25</c:v>
                </c:pt>
                <c:pt idx="433">
                  <c:v>422.85</c:v>
                </c:pt>
                <c:pt idx="434">
                  <c:v>422.3</c:v>
                </c:pt>
                <c:pt idx="435">
                  <c:v>428.05</c:v>
                </c:pt>
                <c:pt idx="436">
                  <c:v>437.85</c:v>
                </c:pt>
                <c:pt idx="437">
                  <c:v>452.2</c:v>
                </c:pt>
                <c:pt idx="438">
                  <c:v>459.95</c:v>
                </c:pt>
                <c:pt idx="439">
                  <c:v>463.25</c:v>
                </c:pt>
                <c:pt idx="440">
                  <c:v>463.15</c:v>
                </c:pt>
                <c:pt idx="441">
                  <c:v>461.6</c:v>
                </c:pt>
                <c:pt idx="442">
                  <c:v>454.3</c:v>
                </c:pt>
                <c:pt idx="443">
                  <c:v>456.9</c:v>
                </c:pt>
                <c:pt idx="444">
                  <c:v>465.1</c:v>
                </c:pt>
                <c:pt idx="445">
                  <c:v>461.05</c:v>
                </c:pt>
                <c:pt idx="446">
                  <c:v>439.95</c:v>
                </c:pt>
                <c:pt idx="447">
                  <c:v>430.15</c:v>
                </c:pt>
                <c:pt idx="448">
                  <c:v>430.2</c:v>
                </c:pt>
                <c:pt idx="449">
                  <c:v>436.15</c:v>
                </c:pt>
                <c:pt idx="450">
                  <c:v>434.7</c:v>
                </c:pt>
                <c:pt idx="451">
                  <c:v>438.15</c:v>
                </c:pt>
                <c:pt idx="452">
                  <c:v>443.05</c:v>
                </c:pt>
                <c:pt idx="453">
                  <c:v>452.45</c:v>
                </c:pt>
                <c:pt idx="454">
                  <c:v>455.8</c:v>
                </c:pt>
                <c:pt idx="455">
                  <c:v>472.25</c:v>
                </c:pt>
                <c:pt idx="456">
                  <c:v>469.3</c:v>
                </c:pt>
                <c:pt idx="457">
                  <c:v>470.25</c:v>
                </c:pt>
                <c:pt idx="458">
                  <c:v>481.95</c:v>
                </c:pt>
                <c:pt idx="459">
                  <c:v>499.15</c:v>
                </c:pt>
                <c:pt idx="460">
                  <c:v>492.2</c:v>
                </c:pt>
                <c:pt idx="461">
                  <c:v>497.6</c:v>
                </c:pt>
                <c:pt idx="462">
                  <c:v>496.25</c:v>
                </c:pt>
                <c:pt idx="463">
                  <c:v>495.55</c:v>
                </c:pt>
                <c:pt idx="464">
                  <c:v>501.65</c:v>
                </c:pt>
                <c:pt idx="465">
                  <c:v>491.75</c:v>
                </c:pt>
                <c:pt idx="466">
                  <c:v>492.55</c:v>
                </c:pt>
                <c:pt idx="467">
                  <c:v>491.8</c:v>
                </c:pt>
                <c:pt idx="468">
                  <c:v>495.3</c:v>
                </c:pt>
                <c:pt idx="469">
                  <c:v>491.1</c:v>
                </c:pt>
                <c:pt idx="470">
                  <c:v>496.75</c:v>
                </c:pt>
                <c:pt idx="471">
                  <c:v>498.45</c:v>
                </c:pt>
                <c:pt idx="472">
                  <c:v>509</c:v>
                </c:pt>
                <c:pt idx="473">
                  <c:v>504.75</c:v>
                </c:pt>
                <c:pt idx="474">
                  <c:v>496.05</c:v>
                </c:pt>
                <c:pt idx="475">
                  <c:v>489.95</c:v>
                </c:pt>
                <c:pt idx="476">
                  <c:v>500.35</c:v>
                </c:pt>
                <c:pt idx="477">
                  <c:v>516.29999999999995</c:v>
                </c:pt>
                <c:pt idx="478">
                  <c:v>516.75</c:v>
                </c:pt>
                <c:pt idx="479">
                  <c:v>540.6</c:v>
                </c:pt>
                <c:pt idx="480">
                  <c:v>524.5</c:v>
                </c:pt>
                <c:pt idx="481">
                  <c:v>524.5</c:v>
                </c:pt>
                <c:pt idx="482">
                  <c:v>517.45000000000005</c:v>
                </c:pt>
                <c:pt idx="483">
                  <c:v>517.54999999999995</c:v>
                </c:pt>
                <c:pt idx="484">
                  <c:v>518.45000000000005</c:v>
                </c:pt>
                <c:pt idx="485">
                  <c:v>520</c:v>
                </c:pt>
                <c:pt idx="486">
                  <c:v>526.5</c:v>
                </c:pt>
                <c:pt idx="487">
                  <c:v>518.85</c:v>
                </c:pt>
                <c:pt idx="488">
                  <c:v>509.15</c:v>
                </c:pt>
                <c:pt idx="489">
                  <c:v>515.15</c:v>
                </c:pt>
                <c:pt idx="490">
                  <c:v>526</c:v>
                </c:pt>
                <c:pt idx="491">
                  <c:v>563.04999999999995</c:v>
                </c:pt>
                <c:pt idx="492">
                  <c:v>621.9</c:v>
                </c:pt>
                <c:pt idx="493">
                  <c:v>605.15</c:v>
                </c:pt>
                <c:pt idx="494">
                  <c:v>613.9</c:v>
                </c:pt>
                <c:pt idx="495">
                  <c:v>608.45000000000005</c:v>
                </c:pt>
                <c:pt idx="496">
                  <c:v>607.70000000000005</c:v>
                </c:pt>
                <c:pt idx="497">
                  <c:v>606.5</c:v>
                </c:pt>
                <c:pt idx="498">
                  <c:v>607.95000000000005</c:v>
                </c:pt>
                <c:pt idx="499">
                  <c:v>608.85</c:v>
                </c:pt>
                <c:pt idx="500">
                  <c:v>601.95000000000005</c:v>
                </c:pt>
                <c:pt idx="501">
                  <c:v>610.15</c:v>
                </c:pt>
                <c:pt idx="502">
                  <c:v>609.04999999999995</c:v>
                </c:pt>
                <c:pt idx="503">
                  <c:v>610.1</c:v>
                </c:pt>
                <c:pt idx="504">
                  <c:v>608.79999999999995</c:v>
                </c:pt>
                <c:pt idx="505">
                  <c:v>612.65</c:v>
                </c:pt>
                <c:pt idx="506">
                  <c:v>615.79999999999995</c:v>
                </c:pt>
                <c:pt idx="507">
                  <c:v>620.20000000000005</c:v>
                </c:pt>
                <c:pt idx="508">
                  <c:v>618</c:v>
                </c:pt>
                <c:pt idx="509">
                  <c:v>631.75</c:v>
                </c:pt>
                <c:pt idx="510">
                  <c:v>633</c:v>
                </c:pt>
                <c:pt idx="511">
                  <c:v>634</c:v>
                </c:pt>
                <c:pt idx="512">
                  <c:v>634.15</c:v>
                </c:pt>
                <c:pt idx="513">
                  <c:v>635.20000000000005</c:v>
                </c:pt>
                <c:pt idx="514">
                  <c:v>639.9</c:v>
                </c:pt>
                <c:pt idx="515">
                  <c:v>637.35</c:v>
                </c:pt>
                <c:pt idx="516">
                  <c:v>635.29999999999995</c:v>
                </c:pt>
                <c:pt idx="517">
                  <c:v>636.04999999999995</c:v>
                </c:pt>
                <c:pt idx="518">
                  <c:v>629.1</c:v>
                </c:pt>
                <c:pt idx="519">
                  <c:v>615.85</c:v>
                </c:pt>
                <c:pt idx="520">
                  <c:v>619.65</c:v>
                </c:pt>
                <c:pt idx="521">
                  <c:v>625.20000000000005</c:v>
                </c:pt>
                <c:pt idx="522">
                  <c:v>628.25</c:v>
                </c:pt>
                <c:pt idx="523">
                  <c:v>625.95000000000005</c:v>
                </c:pt>
                <c:pt idx="524">
                  <c:v>626.15</c:v>
                </c:pt>
                <c:pt idx="525">
                  <c:v>626.1</c:v>
                </c:pt>
                <c:pt idx="526">
                  <c:v>620.04999999999995</c:v>
                </c:pt>
                <c:pt idx="527">
                  <c:v>616.25</c:v>
                </c:pt>
                <c:pt idx="528">
                  <c:v>620.5</c:v>
                </c:pt>
                <c:pt idx="529">
                  <c:v>619.75</c:v>
                </c:pt>
                <c:pt idx="530">
                  <c:v>620.95000000000005</c:v>
                </c:pt>
                <c:pt idx="531">
                  <c:v>620.20000000000005</c:v>
                </c:pt>
                <c:pt idx="532">
                  <c:v>621.65</c:v>
                </c:pt>
                <c:pt idx="533">
                  <c:v>624.29999999999995</c:v>
                </c:pt>
                <c:pt idx="534">
                  <c:v>620.9</c:v>
                </c:pt>
                <c:pt idx="535">
                  <c:v>623.04999999999995</c:v>
                </c:pt>
                <c:pt idx="536">
                  <c:v>620.4</c:v>
                </c:pt>
                <c:pt idx="537">
                  <c:v>615.79999999999995</c:v>
                </c:pt>
                <c:pt idx="538">
                  <c:v>624.85</c:v>
                </c:pt>
                <c:pt idx="539">
                  <c:v>624.70000000000005</c:v>
                </c:pt>
                <c:pt idx="540">
                  <c:v>624.54999999999995</c:v>
                </c:pt>
                <c:pt idx="541">
                  <c:v>626.4</c:v>
                </c:pt>
                <c:pt idx="542">
                  <c:v>620.75</c:v>
                </c:pt>
                <c:pt idx="543">
                  <c:v>635.04999999999995</c:v>
                </c:pt>
                <c:pt idx="544">
                  <c:v>633.29999999999995</c:v>
                </c:pt>
                <c:pt idx="545">
                  <c:v>632.35</c:v>
                </c:pt>
                <c:pt idx="546">
                  <c:v>637.45000000000005</c:v>
                </c:pt>
                <c:pt idx="547">
                  <c:v>637.04999999999995</c:v>
                </c:pt>
                <c:pt idx="548">
                  <c:v>636.9</c:v>
                </c:pt>
                <c:pt idx="549">
                  <c:v>639.35</c:v>
                </c:pt>
                <c:pt idx="550">
                  <c:v>641.25</c:v>
                </c:pt>
                <c:pt idx="551">
                  <c:v>633.6</c:v>
                </c:pt>
                <c:pt idx="552">
                  <c:v>617.4</c:v>
                </c:pt>
                <c:pt idx="553">
                  <c:v>613.45000000000005</c:v>
                </c:pt>
                <c:pt idx="554">
                  <c:v>616.1</c:v>
                </c:pt>
                <c:pt idx="555">
                  <c:v>614.20000000000005</c:v>
                </c:pt>
                <c:pt idx="556">
                  <c:v>614.85</c:v>
                </c:pt>
                <c:pt idx="557">
                  <c:v>620.70000000000005</c:v>
                </c:pt>
                <c:pt idx="558">
                  <c:v>621.4</c:v>
                </c:pt>
                <c:pt idx="559">
                  <c:v>616.15</c:v>
                </c:pt>
                <c:pt idx="560">
                  <c:v>611.1</c:v>
                </c:pt>
                <c:pt idx="561">
                  <c:v>619.70000000000005</c:v>
                </c:pt>
                <c:pt idx="562">
                  <c:v>628.35</c:v>
                </c:pt>
                <c:pt idx="563">
                  <c:v>619.04999999999995</c:v>
                </c:pt>
                <c:pt idx="564">
                  <c:v>629.54999999999995</c:v>
                </c:pt>
                <c:pt idx="565">
                  <c:v>634.20000000000005</c:v>
                </c:pt>
                <c:pt idx="566">
                  <c:v>637.65</c:v>
                </c:pt>
                <c:pt idx="567">
                  <c:v>630.70000000000005</c:v>
                </c:pt>
                <c:pt idx="568">
                  <c:v>631.95000000000005</c:v>
                </c:pt>
                <c:pt idx="569">
                  <c:v>644.25</c:v>
                </c:pt>
                <c:pt idx="570">
                  <c:v>637.25</c:v>
                </c:pt>
                <c:pt idx="571">
                  <c:v>631.5</c:v>
                </c:pt>
                <c:pt idx="572">
                  <c:v>668.05</c:v>
                </c:pt>
                <c:pt idx="573">
                  <c:v>654.25</c:v>
                </c:pt>
                <c:pt idx="574">
                  <c:v>648.65</c:v>
                </c:pt>
                <c:pt idx="575">
                  <c:v>644.5</c:v>
                </c:pt>
                <c:pt idx="576">
                  <c:v>635.9</c:v>
                </c:pt>
                <c:pt idx="577">
                  <c:v>636.15</c:v>
                </c:pt>
                <c:pt idx="578">
                  <c:v>639.1</c:v>
                </c:pt>
                <c:pt idx="579">
                  <c:v>626.95000000000005</c:v>
                </c:pt>
                <c:pt idx="580">
                  <c:v>626.25</c:v>
                </c:pt>
                <c:pt idx="581">
                  <c:v>643.79999999999995</c:v>
                </c:pt>
                <c:pt idx="582">
                  <c:v>653.65</c:v>
                </c:pt>
                <c:pt idx="583">
                  <c:v>650.25</c:v>
                </c:pt>
                <c:pt idx="584">
                  <c:v>641.20000000000005</c:v>
                </c:pt>
                <c:pt idx="585">
                  <c:v>660</c:v>
                </c:pt>
                <c:pt idx="586">
                  <c:v>656.35</c:v>
                </c:pt>
                <c:pt idx="587">
                  <c:v>656.55</c:v>
                </c:pt>
                <c:pt idx="588">
                  <c:v>649.9</c:v>
                </c:pt>
                <c:pt idx="589">
                  <c:v>674.8</c:v>
                </c:pt>
                <c:pt idx="590">
                  <c:v>693.3</c:v>
                </c:pt>
                <c:pt idx="591">
                  <c:v>675</c:v>
                </c:pt>
                <c:pt idx="592">
                  <c:v>687.2</c:v>
                </c:pt>
                <c:pt idx="593">
                  <c:v>682.6</c:v>
                </c:pt>
                <c:pt idx="594">
                  <c:v>670.35</c:v>
                </c:pt>
                <c:pt idx="595">
                  <c:v>675.05</c:v>
                </c:pt>
                <c:pt idx="596">
                  <c:v>668.7</c:v>
                </c:pt>
                <c:pt idx="597">
                  <c:v>668.1</c:v>
                </c:pt>
                <c:pt idx="598">
                  <c:v>664.45</c:v>
                </c:pt>
                <c:pt idx="599">
                  <c:v>680.45</c:v>
                </c:pt>
                <c:pt idx="600">
                  <c:v>682.5</c:v>
                </c:pt>
                <c:pt idx="601">
                  <c:v>699.35</c:v>
                </c:pt>
                <c:pt idx="602">
                  <c:v>716.1</c:v>
                </c:pt>
                <c:pt idx="603">
                  <c:v>722.55</c:v>
                </c:pt>
                <c:pt idx="604">
                  <c:v>727.25</c:v>
                </c:pt>
                <c:pt idx="605">
                  <c:v>724.45</c:v>
                </c:pt>
                <c:pt idx="606">
                  <c:v>721.65</c:v>
                </c:pt>
                <c:pt idx="607">
                  <c:v>722.85</c:v>
                </c:pt>
                <c:pt idx="608">
                  <c:v>723.75</c:v>
                </c:pt>
                <c:pt idx="609">
                  <c:v>728.2</c:v>
                </c:pt>
                <c:pt idx="610">
                  <c:v>732.7</c:v>
                </c:pt>
                <c:pt idx="611">
                  <c:v>732.7</c:v>
                </c:pt>
                <c:pt idx="612">
                  <c:v>748.15</c:v>
                </c:pt>
                <c:pt idx="613">
                  <c:v>721.8</c:v>
                </c:pt>
                <c:pt idx="614">
                  <c:v>738.4</c:v>
                </c:pt>
                <c:pt idx="615">
                  <c:v>731.6</c:v>
                </c:pt>
                <c:pt idx="616">
                  <c:v>721.2</c:v>
                </c:pt>
                <c:pt idx="617">
                  <c:v>732</c:v>
                </c:pt>
                <c:pt idx="618">
                  <c:v>720.05</c:v>
                </c:pt>
                <c:pt idx="619">
                  <c:v>718</c:v>
                </c:pt>
                <c:pt idx="620">
                  <c:v>709.95</c:v>
                </c:pt>
                <c:pt idx="621">
                  <c:v>719.95</c:v>
                </c:pt>
                <c:pt idx="622">
                  <c:v>720.4</c:v>
                </c:pt>
                <c:pt idx="623">
                  <c:v>725.95</c:v>
                </c:pt>
                <c:pt idx="624">
                  <c:v>757.45</c:v>
                </c:pt>
                <c:pt idx="625">
                  <c:v>744</c:v>
                </c:pt>
                <c:pt idx="626">
                  <c:v>749.95</c:v>
                </c:pt>
                <c:pt idx="627">
                  <c:v>743.25</c:v>
                </c:pt>
                <c:pt idx="628">
                  <c:v>781.25</c:v>
                </c:pt>
                <c:pt idx="629">
                  <c:v>768.2</c:v>
                </c:pt>
                <c:pt idx="630">
                  <c:v>758.85</c:v>
                </c:pt>
                <c:pt idx="631">
                  <c:v>784</c:v>
                </c:pt>
                <c:pt idx="632">
                  <c:v>769.95</c:v>
                </c:pt>
                <c:pt idx="633">
                  <c:v>763.65</c:v>
                </c:pt>
                <c:pt idx="634">
                  <c:v>763.75</c:v>
                </c:pt>
                <c:pt idx="635">
                  <c:v>756.8</c:v>
                </c:pt>
                <c:pt idx="636">
                  <c:v>758.15</c:v>
                </c:pt>
                <c:pt idx="637">
                  <c:v>764.65</c:v>
                </c:pt>
                <c:pt idx="638">
                  <c:v>776.15</c:v>
                </c:pt>
                <c:pt idx="639">
                  <c:v>774.3</c:v>
                </c:pt>
                <c:pt idx="640">
                  <c:v>772.2</c:v>
                </c:pt>
                <c:pt idx="641">
                  <c:v>820.5</c:v>
                </c:pt>
                <c:pt idx="642">
                  <c:v>820.9</c:v>
                </c:pt>
                <c:pt idx="643">
                  <c:v>817.2</c:v>
                </c:pt>
                <c:pt idx="644">
                  <c:v>796.65</c:v>
                </c:pt>
                <c:pt idx="645">
                  <c:v>819</c:v>
                </c:pt>
                <c:pt idx="646">
                  <c:v>808.8</c:v>
                </c:pt>
                <c:pt idx="647">
                  <c:v>798.7</c:v>
                </c:pt>
                <c:pt idx="648">
                  <c:v>804.5</c:v>
                </c:pt>
                <c:pt idx="649">
                  <c:v>786.9</c:v>
                </c:pt>
                <c:pt idx="650">
                  <c:v>785.2</c:v>
                </c:pt>
                <c:pt idx="651">
                  <c:v>807.4</c:v>
                </c:pt>
                <c:pt idx="652">
                  <c:v>813.8</c:v>
                </c:pt>
                <c:pt idx="653">
                  <c:v>786.45</c:v>
                </c:pt>
                <c:pt idx="654">
                  <c:v>785.3</c:v>
                </c:pt>
                <c:pt idx="655">
                  <c:v>797.5</c:v>
                </c:pt>
                <c:pt idx="656">
                  <c:v>812.9</c:v>
                </c:pt>
                <c:pt idx="657">
                  <c:v>819.1</c:v>
                </c:pt>
                <c:pt idx="658">
                  <c:v>841.4</c:v>
                </c:pt>
                <c:pt idx="659">
                  <c:v>831.95</c:v>
                </c:pt>
                <c:pt idx="660">
                  <c:v>821.35</c:v>
                </c:pt>
                <c:pt idx="661">
                  <c:v>807.15</c:v>
                </c:pt>
                <c:pt idx="662">
                  <c:v>816.9</c:v>
                </c:pt>
                <c:pt idx="663">
                  <c:v>828.6</c:v>
                </c:pt>
                <c:pt idx="664">
                  <c:v>826</c:v>
                </c:pt>
                <c:pt idx="665">
                  <c:v>834.7</c:v>
                </c:pt>
                <c:pt idx="666">
                  <c:v>824.8</c:v>
                </c:pt>
                <c:pt idx="667">
                  <c:v>789.4</c:v>
                </c:pt>
                <c:pt idx="668">
                  <c:v>792</c:v>
                </c:pt>
                <c:pt idx="669">
                  <c:v>772.4</c:v>
                </c:pt>
                <c:pt idx="670">
                  <c:v>753.6</c:v>
                </c:pt>
                <c:pt idx="671">
                  <c:v>751.7</c:v>
                </c:pt>
                <c:pt idx="672">
                  <c:v>740.7</c:v>
                </c:pt>
                <c:pt idx="673">
                  <c:v>726.85</c:v>
                </c:pt>
                <c:pt idx="674">
                  <c:v>721.85</c:v>
                </c:pt>
                <c:pt idx="675">
                  <c:v>714.05</c:v>
                </c:pt>
                <c:pt idx="676">
                  <c:v>724.05</c:v>
                </c:pt>
                <c:pt idx="677">
                  <c:v>761.55</c:v>
                </c:pt>
                <c:pt idx="678">
                  <c:v>751.2</c:v>
                </c:pt>
                <c:pt idx="679">
                  <c:v>738.05</c:v>
                </c:pt>
                <c:pt idx="680">
                  <c:v>741.7</c:v>
                </c:pt>
                <c:pt idx="681">
                  <c:v>727.65</c:v>
                </c:pt>
                <c:pt idx="682">
                  <c:v>724.2</c:v>
                </c:pt>
                <c:pt idx="683">
                  <c:v>719.9</c:v>
                </c:pt>
                <c:pt idx="684">
                  <c:v>719.1</c:v>
                </c:pt>
                <c:pt idx="685">
                  <c:v>719.05</c:v>
                </c:pt>
                <c:pt idx="686">
                  <c:v>719.75</c:v>
                </c:pt>
                <c:pt idx="687">
                  <c:v>718.75</c:v>
                </c:pt>
                <c:pt idx="688">
                  <c:v>728.7</c:v>
                </c:pt>
                <c:pt idx="689">
                  <c:v>731.85</c:v>
                </c:pt>
                <c:pt idx="690">
                  <c:v>732</c:v>
                </c:pt>
                <c:pt idx="691">
                  <c:v>720.55</c:v>
                </c:pt>
                <c:pt idx="692">
                  <c:v>712.35</c:v>
                </c:pt>
                <c:pt idx="693">
                  <c:v>703.55</c:v>
                </c:pt>
                <c:pt idx="694">
                  <c:v>710.65</c:v>
                </c:pt>
                <c:pt idx="695">
                  <c:v>723.15</c:v>
                </c:pt>
                <c:pt idx="696">
                  <c:v>723.85</c:v>
                </c:pt>
                <c:pt idx="697">
                  <c:v>732.6</c:v>
                </c:pt>
                <c:pt idx="698">
                  <c:v>741.25</c:v>
                </c:pt>
                <c:pt idx="699">
                  <c:v>729.35</c:v>
                </c:pt>
                <c:pt idx="700">
                  <c:v>759.65</c:v>
                </c:pt>
                <c:pt idx="701">
                  <c:v>756.25</c:v>
                </c:pt>
                <c:pt idx="702">
                  <c:v>748.9</c:v>
                </c:pt>
                <c:pt idx="703">
                  <c:v>751.35</c:v>
                </c:pt>
                <c:pt idx="704">
                  <c:v>751.45</c:v>
                </c:pt>
                <c:pt idx="705">
                  <c:v>738.2</c:v>
                </c:pt>
                <c:pt idx="706">
                  <c:v>734.2</c:v>
                </c:pt>
                <c:pt idx="707">
                  <c:v>725.5</c:v>
                </c:pt>
                <c:pt idx="708">
                  <c:v>724.05</c:v>
                </c:pt>
                <c:pt idx="709">
                  <c:v>738.35</c:v>
                </c:pt>
                <c:pt idx="710">
                  <c:v>729.7</c:v>
                </c:pt>
                <c:pt idx="711">
                  <c:v>732</c:v>
                </c:pt>
                <c:pt idx="712">
                  <c:v>732.3</c:v>
                </c:pt>
                <c:pt idx="713">
                  <c:v>728.85</c:v>
                </c:pt>
                <c:pt idx="714">
                  <c:v>730.9</c:v>
                </c:pt>
                <c:pt idx="715">
                  <c:v>721.05</c:v>
                </c:pt>
                <c:pt idx="716">
                  <c:v>717.4</c:v>
                </c:pt>
                <c:pt idx="717">
                  <c:v>729.95</c:v>
                </c:pt>
                <c:pt idx="718">
                  <c:v>726.7</c:v>
                </c:pt>
                <c:pt idx="719">
                  <c:v>725.85</c:v>
                </c:pt>
                <c:pt idx="720">
                  <c:v>724.9</c:v>
                </c:pt>
                <c:pt idx="721">
                  <c:v>710.45</c:v>
                </c:pt>
                <c:pt idx="722">
                  <c:v>713.25</c:v>
                </c:pt>
                <c:pt idx="723">
                  <c:v>714.75</c:v>
                </c:pt>
                <c:pt idx="724">
                  <c:v>743.45</c:v>
                </c:pt>
                <c:pt idx="725">
                  <c:v>687.25</c:v>
                </c:pt>
                <c:pt idx="726">
                  <c:v>709.05</c:v>
                </c:pt>
                <c:pt idx="727">
                  <c:v>713.75</c:v>
                </c:pt>
                <c:pt idx="728">
                  <c:v>717.9</c:v>
                </c:pt>
                <c:pt idx="729">
                  <c:v>723.7</c:v>
                </c:pt>
                <c:pt idx="730">
                  <c:v>719.05</c:v>
                </c:pt>
                <c:pt idx="731">
                  <c:v>719.45</c:v>
                </c:pt>
                <c:pt idx="732">
                  <c:v>717.8</c:v>
                </c:pt>
                <c:pt idx="733">
                  <c:v>714.8</c:v>
                </c:pt>
                <c:pt idx="734">
                  <c:v>723.8</c:v>
                </c:pt>
                <c:pt idx="735">
                  <c:v>736.95</c:v>
                </c:pt>
                <c:pt idx="736">
                  <c:v>742.7</c:v>
                </c:pt>
                <c:pt idx="737">
                  <c:v>741.6</c:v>
                </c:pt>
                <c:pt idx="738">
                  <c:v>746.7</c:v>
                </c:pt>
                <c:pt idx="739">
                  <c:v>759.6</c:v>
                </c:pt>
                <c:pt idx="740">
                  <c:v>772.25</c:v>
                </c:pt>
                <c:pt idx="741">
                  <c:v>765.35</c:v>
                </c:pt>
                <c:pt idx="742">
                  <c:v>757.55</c:v>
                </c:pt>
                <c:pt idx="743">
                  <c:v>762.95</c:v>
                </c:pt>
                <c:pt idx="744">
                  <c:v>757.35</c:v>
                </c:pt>
                <c:pt idx="745">
                  <c:v>767.9</c:v>
                </c:pt>
                <c:pt idx="746">
                  <c:v>780.3</c:v>
                </c:pt>
                <c:pt idx="747">
                  <c:v>780.6</c:v>
                </c:pt>
                <c:pt idx="748">
                  <c:v>780.9</c:v>
                </c:pt>
                <c:pt idx="749">
                  <c:v>784.65</c:v>
                </c:pt>
                <c:pt idx="750">
                  <c:v>780.4</c:v>
                </c:pt>
                <c:pt idx="751">
                  <c:v>784.95</c:v>
                </c:pt>
                <c:pt idx="752">
                  <c:v>776.3</c:v>
                </c:pt>
                <c:pt idx="753">
                  <c:v>771.45</c:v>
                </c:pt>
                <c:pt idx="754">
                  <c:v>768.85</c:v>
                </c:pt>
                <c:pt idx="755">
                  <c:v>781.5</c:v>
                </c:pt>
                <c:pt idx="756">
                  <c:v>776.7</c:v>
                </c:pt>
                <c:pt idx="757">
                  <c:v>774.6</c:v>
                </c:pt>
                <c:pt idx="758">
                  <c:v>777.45</c:v>
                </c:pt>
                <c:pt idx="759">
                  <c:v>777.45</c:v>
                </c:pt>
                <c:pt idx="760">
                  <c:v>761.5</c:v>
                </c:pt>
                <c:pt idx="761">
                  <c:v>767.35</c:v>
                </c:pt>
                <c:pt idx="762">
                  <c:v>775.75</c:v>
                </c:pt>
                <c:pt idx="763">
                  <c:v>773.05</c:v>
                </c:pt>
                <c:pt idx="764">
                  <c:v>773.1</c:v>
                </c:pt>
                <c:pt idx="765">
                  <c:v>769.85</c:v>
                </c:pt>
                <c:pt idx="766">
                  <c:v>762.1</c:v>
                </c:pt>
                <c:pt idx="767">
                  <c:v>747.75</c:v>
                </c:pt>
                <c:pt idx="768">
                  <c:v>742.35</c:v>
                </c:pt>
                <c:pt idx="769">
                  <c:v>747.8</c:v>
                </c:pt>
                <c:pt idx="770">
                  <c:v>742.6</c:v>
                </c:pt>
                <c:pt idx="771">
                  <c:v>747.45</c:v>
                </c:pt>
                <c:pt idx="772">
                  <c:v>757.45</c:v>
                </c:pt>
                <c:pt idx="773">
                  <c:v>785.9</c:v>
                </c:pt>
                <c:pt idx="774">
                  <c:v>805.65</c:v>
                </c:pt>
                <c:pt idx="775">
                  <c:v>800.05</c:v>
                </c:pt>
                <c:pt idx="776">
                  <c:v>795.65</c:v>
                </c:pt>
                <c:pt idx="777">
                  <c:v>848.25</c:v>
                </c:pt>
                <c:pt idx="778">
                  <c:v>785.95</c:v>
                </c:pt>
                <c:pt idx="779">
                  <c:v>795.45</c:v>
                </c:pt>
                <c:pt idx="780">
                  <c:v>809.45</c:v>
                </c:pt>
                <c:pt idx="781">
                  <c:v>808.25</c:v>
                </c:pt>
                <c:pt idx="782">
                  <c:v>818.9</c:v>
                </c:pt>
                <c:pt idx="783">
                  <c:v>822.2</c:v>
                </c:pt>
                <c:pt idx="784">
                  <c:v>817.5</c:v>
                </c:pt>
                <c:pt idx="785">
                  <c:v>823.65</c:v>
                </c:pt>
                <c:pt idx="786">
                  <c:v>833.5</c:v>
                </c:pt>
                <c:pt idx="787">
                  <c:v>840.45</c:v>
                </c:pt>
                <c:pt idx="788">
                  <c:v>826.8</c:v>
                </c:pt>
                <c:pt idx="789">
                  <c:v>834.15</c:v>
                </c:pt>
                <c:pt idx="790">
                  <c:v>833.8</c:v>
                </c:pt>
                <c:pt idx="791">
                  <c:v>840.6</c:v>
                </c:pt>
                <c:pt idx="792">
                  <c:v>839.6</c:v>
                </c:pt>
                <c:pt idx="793">
                  <c:v>834.75</c:v>
                </c:pt>
                <c:pt idx="794">
                  <c:v>843.9</c:v>
                </c:pt>
                <c:pt idx="795">
                  <c:v>846.5</c:v>
                </c:pt>
                <c:pt idx="796">
                  <c:v>856.05</c:v>
                </c:pt>
                <c:pt idx="797">
                  <c:v>856.15</c:v>
                </c:pt>
                <c:pt idx="798">
                  <c:v>868.6</c:v>
                </c:pt>
                <c:pt idx="799">
                  <c:v>882.55</c:v>
                </c:pt>
                <c:pt idx="800">
                  <c:v>894.15</c:v>
                </c:pt>
                <c:pt idx="801">
                  <c:v>898.15</c:v>
                </c:pt>
                <c:pt idx="802">
                  <c:v>892.5</c:v>
                </c:pt>
                <c:pt idx="803">
                  <c:v>896.75</c:v>
                </c:pt>
                <c:pt idx="804">
                  <c:v>896.55</c:v>
                </c:pt>
                <c:pt idx="805">
                  <c:v>890.35</c:v>
                </c:pt>
                <c:pt idx="806">
                  <c:v>872.9</c:v>
                </c:pt>
                <c:pt idx="807">
                  <c:v>889.85</c:v>
                </c:pt>
                <c:pt idx="808">
                  <c:v>870.05</c:v>
                </c:pt>
                <c:pt idx="809">
                  <c:v>868.85</c:v>
                </c:pt>
                <c:pt idx="810">
                  <c:v>866.4</c:v>
                </c:pt>
                <c:pt idx="811">
                  <c:v>869.85</c:v>
                </c:pt>
                <c:pt idx="812">
                  <c:v>868.25</c:v>
                </c:pt>
                <c:pt idx="813">
                  <c:v>842.95</c:v>
                </c:pt>
                <c:pt idx="814">
                  <c:v>829.45</c:v>
                </c:pt>
                <c:pt idx="815">
                  <c:v>832.3</c:v>
                </c:pt>
                <c:pt idx="816">
                  <c:v>847.55</c:v>
                </c:pt>
                <c:pt idx="817">
                  <c:v>872.9</c:v>
                </c:pt>
                <c:pt idx="818">
                  <c:v>845.4</c:v>
                </c:pt>
                <c:pt idx="819">
                  <c:v>859.85</c:v>
                </c:pt>
                <c:pt idx="820">
                  <c:v>849.8</c:v>
                </c:pt>
                <c:pt idx="821">
                  <c:v>845.9</c:v>
                </c:pt>
                <c:pt idx="822">
                  <c:v>836.8</c:v>
                </c:pt>
                <c:pt idx="823">
                  <c:v>836.25</c:v>
                </c:pt>
                <c:pt idx="824">
                  <c:v>834.75</c:v>
                </c:pt>
                <c:pt idx="825">
                  <c:v>858.35</c:v>
                </c:pt>
                <c:pt idx="826">
                  <c:v>882.1</c:v>
                </c:pt>
                <c:pt idx="827">
                  <c:v>873.1</c:v>
                </c:pt>
                <c:pt idx="828">
                  <c:v>867.6</c:v>
                </c:pt>
                <c:pt idx="829">
                  <c:v>863.9</c:v>
                </c:pt>
                <c:pt idx="830">
                  <c:v>853.1</c:v>
                </c:pt>
                <c:pt idx="831">
                  <c:v>861.95</c:v>
                </c:pt>
                <c:pt idx="832">
                  <c:v>867.5</c:v>
                </c:pt>
                <c:pt idx="833">
                  <c:v>852.45</c:v>
                </c:pt>
                <c:pt idx="834">
                  <c:v>843.2</c:v>
                </c:pt>
                <c:pt idx="835">
                  <c:v>841.9</c:v>
                </c:pt>
                <c:pt idx="836">
                  <c:v>842.65</c:v>
                </c:pt>
                <c:pt idx="837">
                  <c:v>841</c:v>
                </c:pt>
                <c:pt idx="838">
                  <c:v>843.65</c:v>
                </c:pt>
                <c:pt idx="839">
                  <c:v>841.55</c:v>
                </c:pt>
                <c:pt idx="840">
                  <c:v>839.55</c:v>
                </c:pt>
                <c:pt idx="841">
                  <c:v>837.15</c:v>
                </c:pt>
                <c:pt idx="842">
                  <c:v>850.95</c:v>
                </c:pt>
                <c:pt idx="843">
                  <c:v>873.05</c:v>
                </c:pt>
                <c:pt idx="844">
                  <c:v>876.2</c:v>
                </c:pt>
                <c:pt idx="845">
                  <c:v>875</c:v>
                </c:pt>
                <c:pt idx="846">
                  <c:v>866.15</c:v>
                </c:pt>
                <c:pt idx="847">
                  <c:v>872.65</c:v>
                </c:pt>
                <c:pt idx="848">
                  <c:v>872.85</c:v>
                </c:pt>
                <c:pt idx="849">
                  <c:v>878.3</c:v>
                </c:pt>
                <c:pt idx="850">
                  <c:v>881.1</c:v>
                </c:pt>
                <c:pt idx="851">
                  <c:v>892.35</c:v>
                </c:pt>
                <c:pt idx="852">
                  <c:v>888.95</c:v>
                </c:pt>
                <c:pt idx="853">
                  <c:v>882.35</c:v>
                </c:pt>
                <c:pt idx="854">
                  <c:v>882.35</c:v>
                </c:pt>
                <c:pt idx="855">
                  <c:v>880.4</c:v>
                </c:pt>
                <c:pt idx="856">
                  <c:v>878.7</c:v>
                </c:pt>
                <c:pt idx="857">
                  <c:v>884.15</c:v>
                </c:pt>
                <c:pt idx="858">
                  <c:v>889.3</c:v>
                </c:pt>
                <c:pt idx="859">
                  <c:v>874.7</c:v>
                </c:pt>
                <c:pt idx="860">
                  <c:v>859.6</c:v>
                </c:pt>
                <c:pt idx="861">
                  <c:v>842.85</c:v>
                </c:pt>
                <c:pt idx="862">
                  <c:v>831.65</c:v>
                </c:pt>
                <c:pt idx="863">
                  <c:v>847.5</c:v>
                </c:pt>
                <c:pt idx="864">
                  <c:v>849.6</c:v>
                </c:pt>
                <c:pt idx="865">
                  <c:v>848.55</c:v>
                </c:pt>
                <c:pt idx="866">
                  <c:v>853.9</c:v>
                </c:pt>
                <c:pt idx="867">
                  <c:v>863.65</c:v>
                </c:pt>
                <c:pt idx="868">
                  <c:v>856.35</c:v>
                </c:pt>
                <c:pt idx="869">
                  <c:v>857.6</c:v>
                </c:pt>
                <c:pt idx="870">
                  <c:v>861.9</c:v>
                </c:pt>
                <c:pt idx="871">
                  <c:v>838</c:v>
                </c:pt>
                <c:pt idx="872">
                  <c:v>839.35</c:v>
                </c:pt>
                <c:pt idx="873">
                  <c:v>848.25</c:v>
                </c:pt>
                <c:pt idx="874">
                  <c:v>840.15</c:v>
                </c:pt>
                <c:pt idx="875">
                  <c:v>839.4</c:v>
                </c:pt>
                <c:pt idx="876">
                  <c:v>827.55</c:v>
                </c:pt>
                <c:pt idx="877">
                  <c:v>816.8</c:v>
                </c:pt>
                <c:pt idx="878">
                  <c:v>828.5</c:v>
                </c:pt>
                <c:pt idx="879">
                  <c:v>826.65</c:v>
                </c:pt>
                <c:pt idx="880">
                  <c:v>824.05</c:v>
                </c:pt>
                <c:pt idx="881">
                  <c:v>813.85</c:v>
                </c:pt>
                <c:pt idx="882">
                  <c:v>818.45</c:v>
                </c:pt>
                <c:pt idx="883">
                  <c:v>796.65</c:v>
                </c:pt>
                <c:pt idx="884">
                  <c:v>800.9</c:v>
                </c:pt>
                <c:pt idx="885">
                  <c:v>798.95</c:v>
                </c:pt>
                <c:pt idx="886">
                  <c:v>804.2</c:v>
                </c:pt>
                <c:pt idx="887">
                  <c:v>815.15</c:v>
                </c:pt>
                <c:pt idx="888">
                  <c:v>827.9</c:v>
                </c:pt>
                <c:pt idx="889">
                  <c:v>828.05</c:v>
                </c:pt>
                <c:pt idx="890">
                  <c:v>829.25</c:v>
                </c:pt>
                <c:pt idx="891">
                  <c:v>828.6</c:v>
                </c:pt>
                <c:pt idx="892">
                  <c:v>834.15</c:v>
                </c:pt>
                <c:pt idx="893">
                  <c:v>833.25</c:v>
                </c:pt>
                <c:pt idx="894">
                  <c:v>841.9</c:v>
                </c:pt>
                <c:pt idx="895">
                  <c:v>843.65</c:v>
                </c:pt>
                <c:pt idx="896">
                  <c:v>847.8</c:v>
                </c:pt>
                <c:pt idx="897">
                  <c:v>836.35</c:v>
                </c:pt>
                <c:pt idx="898">
                  <c:v>841.05</c:v>
                </c:pt>
                <c:pt idx="899">
                  <c:v>833.25</c:v>
                </c:pt>
                <c:pt idx="900">
                  <c:v>832.4</c:v>
                </c:pt>
                <c:pt idx="901">
                  <c:v>831.6</c:v>
                </c:pt>
                <c:pt idx="902">
                  <c:v>843.85</c:v>
                </c:pt>
                <c:pt idx="903">
                  <c:v>841.65</c:v>
                </c:pt>
                <c:pt idx="904">
                  <c:v>828.2</c:v>
                </c:pt>
                <c:pt idx="905">
                  <c:v>837.1</c:v>
                </c:pt>
                <c:pt idx="906">
                  <c:v>830.95</c:v>
                </c:pt>
                <c:pt idx="907">
                  <c:v>819.25</c:v>
                </c:pt>
                <c:pt idx="908">
                  <c:v>811.55</c:v>
                </c:pt>
                <c:pt idx="909">
                  <c:v>812.45</c:v>
                </c:pt>
                <c:pt idx="910">
                  <c:v>806.7</c:v>
                </c:pt>
                <c:pt idx="911">
                  <c:v>801.9</c:v>
                </c:pt>
                <c:pt idx="912">
                  <c:v>802.55</c:v>
                </c:pt>
                <c:pt idx="913">
                  <c:v>804.55</c:v>
                </c:pt>
                <c:pt idx="914">
                  <c:v>804.85</c:v>
                </c:pt>
                <c:pt idx="915">
                  <c:v>801.75</c:v>
                </c:pt>
                <c:pt idx="916">
                  <c:v>796</c:v>
                </c:pt>
                <c:pt idx="917">
                  <c:v>795.15</c:v>
                </c:pt>
                <c:pt idx="918">
                  <c:v>830.35</c:v>
                </c:pt>
                <c:pt idx="919">
                  <c:v>832.1</c:v>
                </c:pt>
                <c:pt idx="920">
                  <c:v>836.75</c:v>
                </c:pt>
                <c:pt idx="921">
                  <c:v>849.4</c:v>
                </c:pt>
                <c:pt idx="922">
                  <c:v>874.7</c:v>
                </c:pt>
                <c:pt idx="923">
                  <c:v>877.05</c:v>
                </c:pt>
                <c:pt idx="924">
                  <c:v>881.25</c:v>
                </c:pt>
                <c:pt idx="925">
                  <c:v>896.2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E-4F09-A009-75EA661A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733055"/>
        <c:axId val="174730655"/>
      </c:lineChart>
      <c:scatterChart>
        <c:scatterStyle val="smoothMarker"/>
        <c:varyColors val="0"/>
        <c:ser>
          <c:idx val="3"/>
          <c:order val="3"/>
          <c:tx>
            <c:v>merger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Sheet1!$M$6:$M$7</c:f>
              <c:numCache>
                <c:formatCode>m/d/yyyy</c:formatCode>
                <c:ptCount val="2"/>
                <c:pt idx="0">
                  <c:v>45740</c:v>
                </c:pt>
                <c:pt idx="1">
                  <c:v>45740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1600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B4E-4F09-A009-75EA661A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33055"/>
        <c:axId val="174730655"/>
      </c:scatterChart>
      <c:scatterChart>
        <c:scatterStyle val="lineMarker"/>
        <c:varyColors val="0"/>
        <c:ser>
          <c:idx val="2"/>
          <c:order val="2"/>
          <c:tx>
            <c:v>announcement</c:v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Sheet1!$M$3:$M$4</c:f>
              <c:numCache>
                <c:formatCode>m/d/yyyy</c:formatCode>
                <c:ptCount val="2"/>
                <c:pt idx="0">
                  <c:v>45106</c:v>
                </c:pt>
                <c:pt idx="1">
                  <c:v>45106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1600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B4E-4F09-A009-75EA661A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33055"/>
        <c:axId val="174730655"/>
      </c:scatterChart>
      <c:dateAx>
        <c:axId val="174733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0655"/>
        <c:crosses val="autoZero"/>
        <c:auto val="1"/>
        <c:lblOffset val="100"/>
        <c:baseTimeUnit val="days"/>
        <c:majorUnit val="6"/>
        <c:majorTimeUnit val="months"/>
      </c:dateAx>
      <c:valAx>
        <c:axId val="17473065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3055"/>
        <c:crosses val="autoZero"/>
        <c:crossBetween val="between"/>
      </c:valAx>
      <c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E55DE1-2AA3-4171-8A25-E02ADFE33064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12</xdr:col>
      <xdr:colOff>457200</xdr:colOff>
      <xdr:row>4</xdr:row>
      <xdr:rowOff>15240</xdr:rowOff>
    </xdr:to>
    <xdr:sp macro="" textlink="">
      <xdr:nvSpPr>
        <xdr:cNvPr id="9822" name="Line 1">
          <a:extLst>
            <a:ext uri="{FF2B5EF4-FFF2-40B4-BE49-F238E27FC236}">
              <a16:creationId xmlns:a16="http://schemas.microsoft.com/office/drawing/2014/main" id="{BDC67BB9-1765-9704-56EE-A8ECB17B28A4}"/>
            </a:ext>
          </a:extLst>
        </xdr:cNvPr>
        <xdr:cNvSpPr>
          <a:spLocks noChangeShapeType="1"/>
        </xdr:cNvSpPr>
      </xdr:nvSpPr>
      <xdr:spPr bwMode="auto">
        <a:xfrm flipV="1">
          <a:off x="0" y="754380"/>
          <a:ext cx="944118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434340</xdr:colOff>
      <xdr:row>3</xdr:row>
      <xdr:rowOff>121920</xdr:rowOff>
    </xdr:from>
    <xdr:to>
      <xdr:col>3</xdr:col>
      <xdr:colOff>434340</xdr:colOff>
      <xdr:row>4</xdr:row>
      <xdr:rowOff>60960</xdr:rowOff>
    </xdr:to>
    <xdr:sp macro="" textlink="">
      <xdr:nvSpPr>
        <xdr:cNvPr id="9823" name="Line 2">
          <a:extLst>
            <a:ext uri="{FF2B5EF4-FFF2-40B4-BE49-F238E27FC236}">
              <a16:creationId xmlns:a16="http://schemas.microsoft.com/office/drawing/2014/main" id="{FD191F9D-45FD-B703-6C5D-9A1604C71357}"/>
            </a:ext>
          </a:extLst>
        </xdr:cNvPr>
        <xdr:cNvSpPr>
          <a:spLocks noChangeShapeType="1"/>
        </xdr:cNvSpPr>
      </xdr:nvSpPr>
      <xdr:spPr bwMode="auto">
        <a:xfrm>
          <a:off x="2491740" y="708660"/>
          <a:ext cx="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434340</xdr:colOff>
      <xdr:row>3</xdr:row>
      <xdr:rowOff>106680</xdr:rowOff>
    </xdr:from>
    <xdr:to>
      <xdr:col>0</xdr:col>
      <xdr:colOff>434340</xdr:colOff>
      <xdr:row>4</xdr:row>
      <xdr:rowOff>45720</xdr:rowOff>
    </xdr:to>
    <xdr:sp macro="" textlink="">
      <xdr:nvSpPr>
        <xdr:cNvPr id="9824" name="Line 3">
          <a:extLst>
            <a:ext uri="{FF2B5EF4-FFF2-40B4-BE49-F238E27FC236}">
              <a16:creationId xmlns:a16="http://schemas.microsoft.com/office/drawing/2014/main" id="{0BAD44CE-B895-C2B1-BB96-11CAEDA514EB}"/>
            </a:ext>
          </a:extLst>
        </xdr:cNvPr>
        <xdr:cNvSpPr>
          <a:spLocks noChangeShapeType="1"/>
        </xdr:cNvSpPr>
      </xdr:nvSpPr>
      <xdr:spPr bwMode="auto">
        <a:xfrm>
          <a:off x="434340" y="693420"/>
          <a:ext cx="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556260</xdr:colOff>
      <xdr:row>6</xdr:row>
      <xdr:rowOff>38100</xdr:rowOff>
    </xdr:from>
    <xdr:to>
      <xdr:col>3</xdr:col>
      <xdr:colOff>342900</xdr:colOff>
      <xdr:row>7</xdr:row>
      <xdr:rowOff>152400</xdr:rowOff>
    </xdr:to>
    <xdr:sp macro="" textlink="">
      <xdr:nvSpPr>
        <xdr:cNvPr id="9825" name="AutoShape 4">
          <a:extLst>
            <a:ext uri="{FF2B5EF4-FFF2-40B4-BE49-F238E27FC236}">
              <a16:creationId xmlns:a16="http://schemas.microsoft.com/office/drawing/2014/main" id="{23136131-B2FD-807A-F91B-65DACA6C1A8F}"/>
            </a:ext>
          </a:extLst>
        </xdr:cNvPr>
        <xdr:cNvSpPr>
          <a:spLocks/>
        </xdr:cNvSpPr>
      </xdr:nvSpPr>
      <xdr:spPr bwMode="auto">
        <a:xfrm rot="16219856" flipV="1">
          <a:off x="1337310" y="735330"/>
          <a:ext cx="281940" cy="1844040"/>
        </a:xfrm>
        <a:prstGeom prst="leftBrace">
          <a:avLst>
            <a:gd name="adj1" fmla="val 54505"/>
            <a:gd name="adj2" fmla="val 4838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365760</xdr:colOff>
      <xdr:row>8</xdr:row>
      <xdr:rowOff>65314</xdr:rowOff>
    </xdr:from>
    <xdr:to>
      <xdr:col>3</xdr:col>
      <xdr:colOff>550817</xdr:colOff>
      <xdr:row>16</xdr:row>
      <xdr:rowOff>149134</xdr:rowOff>
    </xdr:to>
    <xdr:sp macro="" textlink="">
      <xdr:nvSpPr>
        <xdr:cNvPr id="9221" name="Text Box 5">
          <a:extLst>
            <a:ext uri="{FF2B5EF4-FFF2-40B4-BE49-F238E27FC236}">
              <a16:creationId xmlns:a16="http://schemas.microsoft.com/office/drawing/2014/main" id="{41662D50-B1DD-F3A7-5FB5-74DB9938C9C8}"/>
            </a:ext>
          </a:extLst>
        </xdr:cNvPr>
        <xdr:cNvSpPr txBox="1">
          <a:spLocks noChangeArrowheads="1"/>
        </xdr:cNvSpPr>
      </xdr:nvSpPr>
      <xdr:spPr bwMode="auto">
        <a:xfrm>
          <a:off x="381000" y="1817914"/>
          <a:ext cx="2313214" cy="133894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ESTIMATION WINDOW</a:t>
          </a:r>
        </a:p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The estimation window is used to determine the normal behavior of the stock wrt market factors.  Most often we use the regression R</a:t>
          </a:r>
          <a:r>
            <a:rPr lang="en-IN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it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</a:t>
          </a:r>
          <a:r>
            <a:rPr lang="en-IN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a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+ </a:t>
          </a:r>
          <a:r>
            <a:rPr lang="en-IN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b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</a:t>
          </a:r>
          <a:r>
            <a:rPr lang="en-IN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mt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to determine this "normal" behavior.</a:t>
          </a:r>
        </a:p>
      </xdr:txBody>
    </xdr:sp>
    <xdr:clientData/>
  </xdr:twoCellAnchor>
  <xdr:twoCellAnchor>
    <xdr:from>
      <xdr:col>4</xdr:col>
      <xdr:colOff>312420</xdr:colOff>
      <xdr:row>6</xdr:row>
      <xdr:rowOff>83820</xdr:rowOff>
    </xdr:from>
    <xdr:to>
      <xdr:col>8</xdr:col>
      <xdr:colOff>464820</xdr:colOff>
      <xdr:row>7</xdr:row>
      <xdr:rowOff>30480</xdr:rowOff>
    </xdr:to>
    <xdr:sp macro="" textlink="">
      <xdr:nvSpPr>
        <xdr:cNvPr id="9827" name="AutoShape 6">
          <a:extLst>
            <a:ext uri="{FF2B5EF4-FFF2-40B4-BE49-F238E27FC236}">
              <a16:creationId xmlns:a16="http://schemas.microsoft.com/office/drawing/2014/main" id="{D0008371-1655-4DEE-1D0A-7D0C23842C13}"/>
            </a:ext>
          </a:extLst>
        </xdr:cNvPr>
        <xdr:cNvSpPr>
          <a:spLocks/>
        </xdr:cNvSpPr>
      </xdr:nvSpPr>
      <xdr:spPr bwMode="auto">
        <a:xfrm rot="16219856" flipV="1">
          <a:off x="4549140" y="251460"/>
          <a:ext cx="114300" cy="2735580"/>
        </a:xfrm>
        <a:prstGeom prst="leftBrace">
          <a:avLst>
            <a:gd name="adj1" fmla="val 199444"/>
            <a:gd name="adj2" fmla="val 4838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367937</xdr:colOff>
      <xdr:row>7</xdr:row>
      <xdr:rowOff>138249</xdr:rowOff>
    </xdr:from>
    <xdr:to>
      <xdr:col>8</xdr:col>
      <xdr:colOff>431090</xdr:colOff>
      <xdr:row>20</xdr:row>
      <xdr:rowOff>62049</xdr:rowOff>
    </xdr:to>
    <xdr:sp macro="" textlink="">
      <xdr:nvSpPr>
        <xdr:cNvPr id="9223" name="Text Box 7">
          <a:extLst>
            <a:ext uri="{FF2B5EF4-FFF2-40B4-BE49-F238E27FC236}">
              <a16:creationId xmlns:a16="http://schemas.microsoft.com/office/drawing/2014/main" id="{5CFC4F5B-7D83-5AA9-EA5B-18C602098901}"/>
            </a:ext>
          </a:extLst>
        </xdr:cNvPr>
        <xdr:cNvSpPr txBox="1">
          <a:spLocks noChangeArrowheads="1"/>
        </xdr:cNvSpPr>
      </xdr:nvSpPr>
      <xdr:spPr bwMode="auto">
        <a:xfrm>
          <a:off x="3401786" y="1725386"/>
          <a:ext cx="2743200" cy="19757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</a:t>
          </a: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EVENT WINDOW</a:t>
          </a:r>
          <a:endParaRPr lang="en-IN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We use data from this window, in conjunction with the </a:t>
          </a:r>
          <a:r>
            <a:rPr lang="en-IN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a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</a:t>
          </a:r>
          <a:r>
            <a:rPr lang="en-IN" sz="1000" b="0" i="0" u="none" strike="noStrike" baseline="0">
              <a:solidFill>
                <a:srgbClr val="000000"/>
              </a:solidFill>
              <a:latin typeface="Symbol"/>
              <a:cs typeface="Arial"/>
            </a:rPr>
            <a:t>b</a:t>
          </a: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stock or stocks to determine whether:  </a:t>
          </a:r>
        </a:p>
        <a:p>
          <a:pPr algn="l" rtl="0">
            <a:defRPr sz="1000"/>
          </a:pPr>
          <a:endParaRPr lang="en-IN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i)  The event announcement was anticipated or leaked.</a:t>
          </a:r>
        </a:p>
        <a:p>
          <a:pPr algn="l" rtl="0">
            <a:defRPr sz="1000"/>
          </a:pPr>
          <a:endParaRPr lang="en-IN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ii) The "post-announcement effect":  How long it took for the event information to be absorbed by the market.</a:t>
          </a:r>
        </a:p>
      </xdr:txBody>
    </xdr:sp>
    <xdr:clientData/>
  </xdr:twoCellAnchor>
  <xdr:twoCellAnchor>
    <xdr:from>
      <xdr:col>9</xdr:col>
      <xdr:colOff>182880</xdr:colOff>
      <xdr:row>7</xdr:row>
      <xdr:rowOff>127363</xdr:rowOff>
    </xdr:from>
    <xdr:to>
      <xdr:col>12</xdr:col>
      <xdr:colOff>144780</xdr:colOff>
      <xdr:row>14</xdr:row>
      <xdr:rowOff>65321</xdr:rowOff>
    </xdr:to>
    <xdr:sp macro="" textlink="">
      <xdr:nvSpPr>
        <xdr:cNvPr id="9224" name="Text Box 8">
          <a:extLst>
            <a:ext uri="{FF2B5EF4-FFF2-40B4-BE49-F238E27FC236}">
              <a16:creationId xmlns:a16="http://schemas.microsoft.com/office/drawing/2014/main" id="{79820CCA-9F55-0CE0-C422-DBBB780421D3}"/>
            </a:ext>
          </a:extLst>
        </xdr:cNvPr>
        <xdr:cNvSpPr txBox="1">
          <a:spLocks noChangeArrowheads="1"/>
        </xdr:cNvSpPr>
      </xdr:nvSpPr>
      <xdr:spPr bwMode="auto">
        <a:xfrm>
          <a:off x="6787243" y="1714500"/>
          <a:ext cx="2656114" cy="10504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</a:t>
          </a: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POST-EVENT WINDOW</a:t>
          </a:r>
          <a:endParaRPr lang="en-IN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IN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IN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Used to investigate longer-term company performance following the event.</a:t>
          </a:r>
        </a:p>
      </xdr:txBody>
    </xdr:sp>
    <xdr:clientData/>
  </xdr:twoCellAnchor>
  <xdr:twoCellAnchor>
    <xdr:from>
      <xdr:col>9</xdr:col>
      <xdr:colOff>99060</xdr:colOff>
      <xdr:row>6</xdr:row>
      <xdr:rowOff>68580</xdr:rowOff>
    </xdr:from>
    <xdr:to>
      <xdr:col>12</xdr:col>
      <xdr:colOff>7620</xdr:colOff>
      <xdr:row>7</xdr:row>
      <xdr:rowOff>15240</xdr:rowOff>
    </xdr:to>
    <xdr:sp macro="" textlink="">
      <xdr:nvSpPr>
        <xdr:cNvPr id="9830" name="AutoShape 10">
          <a:extLst>
            <a:ext uri="{FF2B5EF4-FFF2-40B4-BE49-F238E27FC236}">
              <a16:creationId xmlns:a16="http://schemas.microsoft.com/office/drawing/2014/main" id="{FA0378FF-EBC0-2B36-E352-311C0C29FB9C}"/>
            </a:ext>
          </a:extLst>
        </xdr:cNvPr>
        <xdr:cNvSpPr>
          <a:spLocks/>
        </xdr:cNvSpPr>
      </xdr:nvSpPr>
      <xdr:spPr bwMode="auto">
        <a:xfrm rot="16219856" flipV="1">
          <a:off x="7677150" y="346710"/>
          <a:ext cx="114300" cy="2514600"/>
        </a:xfrm>
        <a:prstGeom prst="leftBrace">
          <a:avLst>
            <a:gd name="adj1" fmla="val 183333"/>
            <a:gd name="adj2" fmla="val 4838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449580</xdr:colOff>
      <xdr:row>3</xdr:row>
      <xdr:rowOff>99060</xdr:rowOff>
    </xdr:from>
    <xdr:to>
      <xdr:col>4</xdr:col>
      <xdr:colOff>449580</xdr:colOff>
      <xdr:row>4</xdr:row>
      <xdr:rowOff>45720</xdr:rowOff>
    </xdr:to>
    <xdr:sp macro="" textlink="">
      <xdr:nvSpPr>
        <xdr:cNvPr id="9831" name="Line 11">
          <a:extLst>
            <a:ext uri="{FF2B5EF4-FFF2-40B4-BE49-F238E27FC236}">
              <a16:creationId xmlns:a16="http://schemas.microsoft.com/office/drawing/2014/main" id="{A35570E2-AAF8-0951-C475-E3B132FAA0F4}"/>
            </a:ext>
          </a:extLst>
        </xdr:cNvPr>
        <xdr:cNvSpPr>
          <a:spLocks noChangeShapeType="1"/>
        </xdr:cNvSpPr>
      </xdr:nvSpPr>
      <xdr:spPr bwMode="auto">
        <a:xfrm>
          <a:off x="3375660" y="685800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434340</xdr:colOff>
      <xdr:row>3</xdr:row>
      <xdr:rowOff>99060</xdr:rowOff>
    </xdr:from>
    <xdr:to>
      <xdr:col>11</xdr:col>
      <xdr:colOff>434340</xdr:colOff>
      <xdr:row>4</xdr:row>
      <xdr:rowOff>45720</xdr:rowOff>
    </xdr:to>
    <xdr:sp macro="" textlink="">
      <xdr:nvSpPr>
        <xdr:cNvPr id="9832" name="Line 13">
          <a:extLst>
            <a:ext uri="{FF2B5EF4-FFF2-40B4-BE49-F238E27FC236}">
              <a16:creationId xmlns:a16="http://schemas.microsoft.com/office/drawing/2014/main" id="{72A8FD78-E1F1-87DA-10D5-D932E1B30E49}"/>
            </a:ext>
          </a:extLst>
        </xdr:cNvPr>
        <xdr:cNvSpPr>
          <a:spLocks noChangeShapeType="1"/>
        </xdr:cNvSpPr>
      </xdr:nvSpPr>
      <xdr:spPr bwMode="auto">
        <a:xfrm>
          <a:off x="8549640" y="685800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449580</xdr:colOff>
      <xdr:row>3</xdr:row>
      <xdr:rowOff>121920</xdr:rowOff>
    </xdr:from>
    <xdr:to>
      <xdr:col>9</xdr:col>
      <xdr:colOff>449580</xdr:colOff>
      <xdr:row>4</xdr:row>
      <xdr:rowOff>45720</xdr:rowOff>
    </xdr:to>
    <xdr:sp macro="" textlink="">
      <xdr:nvSpPr>
        <xdr:cNvPr id="9833" name="Line 14">
          <a:extLst>
            <a:ext uri="{FF2B5EF4-FFF2-40B4-BE49-F238E27FC236}">
              <a16:creationId xmlns:a16="http://schemas.microsoft.com/office/drawing/2014/main" id="{B910E0D1-9981-1502-A757-35CEC4443EDC}"/>
            </a:ext>
          </a:extLst>
        </xdr:cNvPr>
        <xdr:cNvSpPr>
          <a:spLocks noChangeShapeType="1"/>
        </xdr:cNvSpPr>
      </xdr:nvSpPr>
      <xdr:spPr bwMode="auto">
        <a:xfrm>
          <a:off x="6827520" y="708660"/>
          <a:ext cx="0" cy="9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3</xdr:row>
      <xdr:rowOff>106680</xdr:rowOff>
    </xdr:from>
    <xdr:to>
      <xdr:col>6</xdr:col>
      <xdr:colOff>266700</xdr:colOff>
      <xdr:row>4</xdr:row>
      <xdr:rowOff>83820</xdr:rowOff>
    </xdr:to>
    <xdr:sp macro="" textlink="">
      <xdr:nvSpPr>
        <xdr:cNvPr id="9834" name="Line 16">
          <a:extLst>
            <a:ext uri="{FF2B5EF4-FFF2-40B4-BE49-F238E27FC236}">
              <a16:creationId xmlns:a16="http://schemas.microsoft.com/office/drawing/2014/main" id="{8A89E90D-EF21-FE5D-4CA7-C52B7C37302B}"/>
            </a:ext>
          </a:extLst>
        </xdr:cNvPr>
        <xdr:cNvSpPr>
          <a:spLocks noChangeShapeType="1"/>
        </xdr:cNvSpPr>
      </xdr:nvSpPr>
      <xdr:spPr bwMode="auto">
        <a:xfrm>
          <a:off x="4655820" y="693420"/>
          <a:ext cx="0" cy="1447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434340</xdr:colOff>
      <xdr:row>3</xdr:row>
      <xdr:rowOff>121920</xdr:rowOff>
    </xdr:from>
    <xdr:to>
      <xdr:col>8</xdr:col>
      <xdr:colOff>434340</xdr:colOff>
      <xdr:row>4</xdr:row>
      <xdr:rowOff>83820</xdr:rowOff>
    </xdr:to>
    <xdr:sp macro="" textlink="">
      <xdr:nvSpPr>
        <xdr:cNvPr id="9835" name="Line 17">
          <a:extLst>
            <a:ext uri="{FF2B5EF4-FFF2-40B4-BE49-F238E27FC236}">
              <a16:creationId xmlns:a16="http://schemas.microsoft.com/office/drawing/2014/main" id="{98228E4D-FF8C-AAD1-AFE9-2FE813A8F230}"/>
            </a:ext>
          </a:extLst>
        </xdr:cNvPr>
        <xdr:cNvSpPr>
          <a:spLocks noChangeShapeType="1"/>
        </xdr:cNvSpPr>
      </xdr:nvSpPr>
      <xdr:spPr bwMode="auto">
        <a:xfrm>
          <a:off x="5943600" y="708660"/>
          <a:ext cx="0" cy="129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131444</xdr:colOff>
      <xdr:row>10</xdr:row>
      <xdr:rowOff>34290</xdr:rowOff>
    </xdr:from>
    <xdr:to>
      <xdr:col>9</xdr:col>
      <xdr:colOff>718819</xdr:colOff>
      <xdr:row>274</xdr:row>
      <xdr:rowOff>27940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A7020-B995-AB81-DDD9-799035E9C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229465</xdr:colOff>
      <xdr:row>12</xdr:row>
      <xdr:rowOff>34637</xdr:rowOff>
    </xdr:from>
    <xdr:to>
      <xdr:col>11</xdr:col>
      <xdr:colOff>234354</xdr:colOff>
      <xdr:row>271</xdr:row>
      <xdr:rowOff>300183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527F36-E67C-F7C1-3E31-4B0716EED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19A6E-74EB-C893-B577-9B10416897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0.01499</cdr:x>
      <cdr:y>0.03795</cdr:y>
    </cdr:from>
    <cdr:to>
      <cdr:x>1</cdr:x>
      <cdr:y>0.13679</cdr:y>
    </cdr:to>
    <cdr:sp macro="" textlink="">
      <cdr:nvSpPr>
        <cdr:cNvPr id="2" name="Text 1">
          <a:extLst xmlns:a="http://schemas.openxmlformats.org/drawingml/2006/main">
            <a:ext uri="{FF2B5EF4-FFF2-40B4-BE49-F238E27FC236}">
              <a16:creationId xmlns:a16="http://schemas.microsoft.com/office/drawing/2014/main" id="{0C645BCC-BCFB-0BE0-CDC5-A90D4C38A47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9969" y="238826"/>
          <a:ext cx="8539018" cy="6221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square" lIns="64008" tIns="50292" rIns="64008" bIns="50292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IN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ICICI bank and ICICI Securities</a:t>
          </a:r>
        </a:p>
        <a:p xmlns:a="http://schemas.openxmlformats.org/drawingml/2006/main">
          <a:pPr algn="ctr" rtl="0">
            <a:defRPr sz="1000"/>
          </a:pPr>
          <a:r>
            <a:rPr lang="en-IN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Closing Stock Price</a:t>
          </a:r>
        </a:p>
        <a:p xmlns:a="http://schemas.openxmlformats.org/drawingml/2006/main">
          <a:pPr algn="ctr" rtl="0">
            <a:defRPr sz="1000"/>
          </a:pPr>
          <a:r>
            <a:rPr lang="en-IN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6/29/21 – 03/24/25</a:t>
          </a:r>
          <a:endParaRPr lang="en-IN" sz="1400" b="0" i="0" u="none" strike="noStrike" baseline="0">
            <a:solidFill>
              <a:srgbClr val="000000"/>
            </a:solidFill>
            <a:latin typeface="Minion Semibold"/>
            <a:cs typeface="Times New Roman"/>
          </a:endParaRPr>
        </a:p>
        <a:p xmlns:a="http://schemas.openxmlformats.org/drawingml/2006/main">
          <a:pPr algn="ctr" rtl="0">
            <a:defRPr sz="1000"/>
          </a:pPr>
          <a:endParaRPr lang="en-IN" sz="1800" b="0" i="0" u="none" strike="noStrike" baseline="0">
            <a:solidFill>
              <a:srgbClr val="000000"/>
            </a:solidFill>
            <a:latin typeface="Minion Semibold"/>
          </a:endParaRPr>
        </a:p>
      </cdr:txBody>
    </cdr:sp>
  </cdr:relSizeAnchor>
  <cdr:relSizeAnchor xmlns:cdr="http://schemas.openxmlformats.org/drawingml/2006/chartDrawing">
    <cdr:from>
      <cdr:x>0.41568</cdr:x>
      <cdr:y>0.1653</cdr:y>
    </cdr:from>
    <cdr:to>
      <cdr:x>0.56821</cdr:x>
      <cdr:y>0.22254</cdr:y>
    </cdr:to>
    <cdr:sp macro="" textlink="">
      <cdr:nvSpPr>
        <cdr:cNvPr id="3" name="Text Box 5">
          <a:extLst xmlns:a="http://schemas.openxmlformats.org/drawingml/2006/main">
            <a:ext uri="{FF2B5EF4-FFF2-40B4-BE49-F238E27FC236}">
              <a16:creationId xmlns:a16="http://schemas.microsoft.com/office/drawing/2014/main" id="{C6E2BA74-3FE1-CF8E-4AFE-E26346D977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03501" y="1040411"/>
          <a:ext cx="1322313" cy="36021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</cdr:spPr>
      <cdr:txBody>
        <a:bodyPr xmlns:a="http://schemas.openxmlformats.org/drawingml/2006/main" wrap="none" lIns="36576" tIns="32004" rIns="36576" bIns="32004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06/29/23</a:t>
          </a:r>
        </a:p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Announcement Date</a:t>
          </a:r>
        </a:p>
      </cdr:txBody>
    </cdr:sp>
  </cdr:relSizeAnchor>
  <cdr:relSizeAnchor xmlns:cdr="http://schemas.openxmlformats.org/drawingml/2006/chartDrawing">
    <cdr:from>
      <cdr:x>0.77184</cdr:x>
      <cdr:y>0.12757</cdr:y>
    </cdr:from>
    <cdr:to>
      <cdr:x>0.89804</cdr:x>
      <cdr:y>0.1848</cdr:y>
    </cdr:to>
    <cdr:sp macro="" textlink="">
      <cdr:nvSpPr>
        <cdr:cNvPr id="4" name="Text Box 6">
          <a:extLst xmlns:a="http://schemas.openxmlformats.org/drawingml/2006/main">
            <a:ext uri="{FF2B5EF4-FFF2-40B4-BE49-F238E27FC236}">
              <a16:creationId xmlns:a16="http://schemas.microsoft.com/office/drawing/2014/main" id="{E3CC5E4B-DA8E-7CBA-3773-5218CD3DC5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91085" y="802904"/>
          <a:ext cx="1094031" cy="36021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</cdr:spPr>
      <cdr:txBody>
        <a:bodyPr xmlns:a="http://schemas.openxmlformats.org/drawingml/2006/main" wrap="none" lIns="36576" tIns="32004" rIns="36576" bIns="32004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03/24/25 </a:t>
          </a:r>
        </a:p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Completion Date</a:t>
          </a:r>
        </a:p>
      </cdr:txBody>
    </cdr:sp>
  </cdr:relSizeAnchor>
  <cdr:relSizeAnchor xmlns:cdr="http://schemas.openxmlformats.org/drawingml/2006/chartDrawing">
    <cdr:from>
      <cdr:x>0.30326</cdr:x>
      <cdr:y>0.44992</cdr:y>
    </cdr:from>
    <cdr:to>
      <cdr:x>0.39232</cdr:x>
      <cdr:y>0.48363</cdr:y>
    </cdr:to>
    <cdr:sp macro="" textlink="">
      <cdr:nvSpPr>
        <cdr:cNvPr id="5" name="Text 8">
          <a:extLst xmlns:a="http://schemas.openxmlformats.org/drawingml/2006/main">
            <a:ext uri="{FF2B5EF4-FFF2-40B4-BE49-F238E27FC236}">
              <a16:creationId xmlns:a16="http://schemas.microsoft.com/office/drawing/2014/main" id="{B20E2237-547C-82A5-D9DE-AA57859CE6B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99" y="2831791"/>
          <a:ext cx="772006" cy="2121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none" lIns="36576" tIns="32004" rIns="36576" bIns="32004" anchor="ctr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99CC00"/>
              </a:solidFill>
              <a:latin typeface="Arial"/>
              <a:cs typeface="Arial"/>
            </a:rPr>
            <a:t>ICICI BANK</a:t>
          </a:r>
        </a:p>
      </cdr:txBody>
    </cdr:sp>
  </cdr:relSizeAnchor>
  <cdr:relSizeAnchor xmlns:cdr="http://schemas.openxmlformats.org/drawingml/2006/chartDrawing">
    <cdr:from>
      <cdr:x>0.18166</cdr:x>
      <cdr:y>0.76908</cdr:y>
    </cdr:from>
    <cdr:to>
      <cdr:x>0.41189</cdr:x>
      <cdr:y>0.80104</cdr:y>
    </cdr:to>
    <cdr:sp macro="" textlink="">
      <cdr:nvSpPr>
        <cdr:cNvPr id="6" name="Text Box 4">
          <a:extLst xmlns:a="http://schemas.openxmlformats.org/drawingml/2006/main">
            <a:ext uri="{FF2B5EF4-FFF2-40B4-BE49-F238E27FC236}">
              <a16:creationId xmlns:a16="http://schemas.microsoft.com/office/drawing/2014/main" id="{FDED4640-53E2-5994-5D40-40D4CBBFF28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74800" y="4840515"/>
          <a:ext cx="1995841" cy="2011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wrap="square" lIns="45720" tIns="32004" rIns="45720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IN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ICICI Securities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BM\Local%20Settings\Temporary%20Internet%20Files\Content.IE5\LNVR5DKA\Old%20Examples\Example%201%20and%202%20-%20Market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 1a - market model"/>
      <sheetName val="Example 1b - Earnings Ann."/>
      <sheetName val="Example 2a - two factor model"/>
      <sheetName val="Example 2b - Earnings Ann. "/>
      <sheetName val="Example 2c - Multiple Ann. (2)"/>
      <sheetName val="--&gt;"/>
      <sheetName val="Data"/>
      <sheetName val="Compani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35248</v>
          </cell>
          <cell r="B2">
            <v>-1.7397840000000001E-3</v>
          </cell>
          <cell r="C2">
            <v>1.2539E-2</v>
          </cell>
          <cell r="D2">
            <v>-4.0194886871013358E-3</v>
          </cell>
        </row>
        <row r="3">
          <cell r="A3">
            <v>35249</v>
          </cell>
          <cell r="B3">
            <v>-1.9900719999999998E-3</v>
          </cell>
          <cell r="C3">
            <v>0</v>
          </cell>
          <cell r="D3">
            <v>1.2809919115423396E-2</v>
          </cell>
        </row>
        <row r="4">
          <cell r="A4">
            <v>35251</v>
          </cell>
          <cell r="B4">
            <v>-1.9513019999999999E-2</v>
          </cell>
          <cell r="C4">
            <v>-1.2383999999999999E-2</v>
          </cell>
          <cell r="D4">
            <v>7.6455139379234538E-3</v>
          </cell>
        </row>
        <row r="5">
          <cell r="A5">
            <v>35254</v>
          </cell>
          <cell r="B5">
            <v>-8.2105211999999993E-3</v>
          </cell>
          <cell r="C5">
            <v>1.2539E-2</v>
          </cell>
          <cell r="D5">
            <v>2.4310895663479659E-3</v>
          </cell>
        </row>
        <row r="6">
          <cell r="A6">
            <v>35255</v>
          </cell>
          <cell r="B6">
            <v>3.5152889E-3</v>
          </cell>
          <cell r="C6">
            <v>0</v>
          </cell>
          <cell r="D6">
            <v>1.1051805468239362E-2</v>
          </cell>
        </row>
        <row r="7">
          <cell r="A7">
            <v>35256</v>
          </cell>
          <cell r="B7">
            <v>7.0038447999999995E-5</v>
          </cell>
          <cell r="C7">
            <v>-9.2879999999999994E-3</v>
          </cell>
          <cell r="D7">
            <v>1.6986388240889383E-3</v>
          </cell>
        </row>
        <row r="8">
          <cell r="A8">
            <v>35257</v>
          </cell>
          <cell r="B8">
            <v>-1.510067E-2</v>
          </cell>
          <cell r="C8">
            <v>-6.2500000000000003E-3</v>
          </cell>
          <cell r="D8">
            <v>3.1222508160195783E-3</v>
          </cell>
        </row>
        <row r="9">
          <cell r="A9">
            <v>35258</v>
          </cell>
          <cell r="B9">
            <v>5.9075619000000001E-4</v>
          </cell>
          <cell r="C9">
            <v>-6.2890000000000003E-3</v>
          </cell>
          <cell r="D9">
            <v>8.2372491685911431E-3</v>
          </cell>
        </row>
        <row r="10">
          <cell r="A10">
            <v>35261</v>
          </cell>
          <cell r="B10">
            <v>-2.3182429000000001E-2</v>
          </cell>
          <cell r="C10">
            <v>-1.8987E-2</v>
          </cell>
          <cell r="D10">
            <v>1.6183413373112687E-2</v>
          </cell>
        </row>
        <row r="11">
          <cell r="A11">
            <v>35262</v>
          </cell>
          <cell r="B11">
            <v>-5.2107111999999999E-3</v>
          </cell>
          <cell r="C11">
            <v>-1.2903E-2</v>
          </cell>
          <cell r="D11">
            <v>1.3219735605287886E-2</v>
          </cell>
        </row>
        <row r="12">
          <cell r="A12">
            <v>35263</v>
          </cell>
          <cell r="B12">
            <v>1.024867E-2</v>
          </cell>
          <cell r="C12">
            <v>2.6144000000000001E-2</v>
          </cell>
          <cell r="D12">
            <v>2.7867040385298747E-2</v>
          </cell>
        </row>
        <row r="13">
          <cell r="A13">
            <v>35264</v>
          </cell>
          <cell r="B13">
            <v>1.472911E-2</v>
          </cell>
          <cell r="C13">
            <v>2.2293E-2</v>
          </cell>
          <cell r="D13">
            <v>-8.1518921223340257E-3</v>
          </cell>
        </row>
        <row r="14">
          <cell r="A14">
            <v>35265</v>
          </cell>
          <cell r="B14">
            <v>-6.4404950999999997E-3</v>
          </cell>
          <cell r="C14">
            <v>-3.1150000000000001E-3</v>
          </cell>
          <cell r="D14">
            <v>-1.5094105825248505E-2</v>
          </cell>
        </row>
        <row r="15">
          <cell r="A15">
            <v>35268</v>
          </cell>
          <cell r="B15">
            <v>-7.9873782000000008E-3</v>
          </cell>
          <cell r="C15">
            <v>1.8749999999999999E-2</v>
          </cell>
          <cell r="D15">
            <v>-8.7281820022527823E-3</v>
          </cell>
        </row>
        <row r="16">
          <cell r="A16">
            <v>35269</v>
          </cell>
          <cell r="B16">
            <v>-1.060113E-2</v>
          </cell>
          <cell r="C16">
            <v>-1.5337E-2</v>
          </cell>
          <cell r="D16">
            <v>2.0011621058309448E-2</v>
          </cell>
        </row>
        <row r="17">
          <cell r="A17">
            <v>35270</v>
          </cell>
          <cell r="B17">
            <v>-2.0496461000000001E-3</v>
          </cell>
          <cell r="C17">
            <v>3.1150000000000001E-3</v>
          </cell>
          <cell r="D17">
            <v>2.1600161758186243E-3</v>
          </cell>
        </row>
        <row r="18">
          <cell r="A18">
            <v>35271</v>
          </cell>
          <cell r="B18">
            <v>7.0381089999999999E-3</v>
          </cell>
          <cell r="C18">
            <v>3.7267000000000002E-2</v>
          </cell>
          <cell r="D18">
            <v>4.75304534405252E-4</v>
          </cell>
        </row>
        <row r="19">
          <cell r="A19">
            <v>35272</v>
          </cell>
          <cell r="B19">
            <v>7.621353E-3</v>
          </cell>
          <cell r="C19">
            <v>-1.7964000000000001E-2</v>
          </cell>
          <cell r="D19">
            <v>-4.479313714843558E-4</v>
          </cell>
        </row>
        <row r="20">
          <cell r="A20">
            <v>35275</v>
          </cell>
          <cell r="B20">
            <v>-6.3682291999999996E-3</v>
          </cell>
          <cell r="C20">
            <v>-1.2194999999999999E-2</v>
          </cell>
          <cell r="D20">
            <v>-4.7645560485222171E-3</v>
          </cell>
        </row>
        <row r="21">
          <cell r="A21">
            <v>35276</v>
          </cell>
          <cell r="B21">
            <v>4.6048532E-3</v>
          </cell>
          <cell r="C21">
            <v>9.2589999999999999E-3</v>
          </cell>
          <cell r="D21">
            <v>5.6937684326248128E-3</v>
          </cell>
        </row>
        <row r="22">
          <cell r="A22">
            <v>35277</v>
          </cell>
          <cell r="B22">
            <v>7.2804651999999999E-3</v>
          </cell>
          <cell r="C22">
            <v>-3.058E-3</v>
          </cell>
          <cell r="D22">
            <v>1.047606495354092E-2</v>
          </cell>
        </row>
        <row r="23">
          <cell r="A23">
            <v>35278</v>
          </cell>
          <cell r="B23">
            <v>1.503666E-2</v>
          </cell>
          <cell r="C23">
            <v>9.2020000000000001E-3</v>
          </cell>
          <cell r="D23">
            <v>3.8803628321470995E-3</v>
          </cell>
        </row>
        <row r="24">
          <cell r="A24">
            <v>35279</v>
          </cell>
          <cell r="B24">
            <v>1.6975449E-2</v>
          </cell>
          <cell r="C24">
            <v>1.2158E-2</v>
          </cell>
          <cell r="D24">
            <v>1.1292288761592939E-3</v>
          </cell>
        </row>
        <row r="25">
          <cell r="A25">
            <v>35282</v>
          </cell>
          <cell r="B25">
            <v>-2.3362341E-3</v>
          </cell>
          <cell r="C25">
            <v>-1.2012E-2</v>
          </cell>
          <cell r="D25">
            <v>8.3632817196832576E-3</v>
          </cell>
        </row>
        <row r="26">
          <cell r="A26">
            <v>35283</v>
          </cell>
          <cell r="B26">
            <v>2.0269369999999999E-3</v>
          </cell>
          <cell r="C26">
            <v>-3.0400000000000002E-3</v>
          </cell>
          <cell r="D26">
            <v>1.0680642542004071E-2</v>
          </cell>
        </row>
        <row r="27">
          <cell r="A27">
            <v>35284</v>
          </cell>
          <cell r="B27">
            <v>2.6136111000000001E-3</v>
          </cell>
          <cell r="C27">
            <v>-2.1340999999999999E-2</v>
          </cell>
          <cell r="D27">
            <v>5.9327842511545104E-3</v>
          </cell>
        </row>
        <row r="28">
          <cell r="A28">
            <v>35285</v>
          </cell>
          <cell r="B28">
            <v>-8.1292777999999999E-4</v>
          </cell>
          <cell r="C28">
            <v>6.2310000000000004E-3</v>
          </cell>
          <cell r="D28">
            <v>-3.0941077911196269E-3</v>
          </cell>
        </row>
        <row r="29">
          <cell r="A29">
            <v>35286</v>
          </cell>
          <cell r="B29">
            <v>-2.8246751E-3</v>
          </cell>
          <cell r="C29">
            <v>3.0959999999999998E-3</v>
          </cell>
          <cell r="D29">
            <v>-1.6637160870085044E-2</v>
          </cell>
        </row>
        <row r="30">
          <cell r="A30">
            <v>35289</v>
          </cell>
          <cell r="B30">
            <v>6.2745110999999996E-3</v>
          </cell>
          <cell r="C30">
            <v>0</v>
          </cell>
          <cell r="D30">
            <v>-8.8875553335775459E-3</v>
          </cell>
        </row>
        <row r="31">
          <cell r="A31">
            <v>35290</v>
          </cell>
          <cell r="B31">
            <v>-6.7687481999999998E-3</v>
          </cell>
          <cell r="C31">
            <v>-1.2345999999999999E-2</v>
          </cell>
          <cell r="D31">
            <v>-7.0262637023639218E-3</v>
          </cell>
        </row>
        <row r="32">
          <cell r="A32">
            <v>35291</v>
          </cell>
          <cell r="B32">
            <v>3.2258790000000001E-3</v>
          </cell>
          <cell r="C32">
            <v>0</v>
          </cell>
          <cell r="D32">
            <v>5.2987851001096153E-3</v>
          </cell>
        </row>
        <row r="33">
          <cell r="A33">
            <v>35292</v>
          </cell>
          <cell r="B33">
            <v>1.229892E-3</v>
          </cell>
          <cell r="C33">
            <v>-3.1250000000000002E-3</v>
          </cell>
          <cell r="D33">
            <v>1.9117889814925793E-3</v>
          </cell>
        </row>
        <row r="34">
          <cell r="A34">
            <v>35293</v>
          </cell>
          <cell r="B34">
            <v>5.5047040999999996E-3</v>
          </cell>
          <cell r="C34">
            <v>6.2700000000000004E-3</v>
          </cell>
          <cell r="D34">
            <v>-1.6686654890856745E-2</v>
          </cell>
        </row>
        <row r="35">
          <cell r="A35">
            <v>35296</v>
          </cell>
          <cell r="B35">
            <v>1.973463E-3</v>
          </cell>
          <cell r="C35">
            <v>-3.1150000000000001E-3</v>
          </cell>
          <cell r="D35">
            <v>6.0573116368964897E-3</v>
          </cell>
        </row>
        <row r="36">
          <cell r="A36">
            <v>35297</v>
          </cell>
          <cell r="B36">
            <v>-7.5885952999999996E-5</v>
          </cell>
          <cell r="C36">
            <v>-9.3749999999999997E-3</v>
          </cell>
          <cell r="D36">
            <v>2.2007347401974853E-2</v>
          </cell>
        </row>
        <row r="37">
          <cell r="A37">
            <v>35298</v>
          </cell>
          <cell r="B37">
            <v>-1.100569E-3</v>
          </cell>
          <cell r="C37">
            <v>0</v>
          </cell>
          <cell r="D37">
            <v>1.916484915781913E-2</v>
          </cell>
        </row>
        <row r="38">
          <cell r="A38">
            <v>35299</v>
          </cell>
          <cell r="B38">
            <v>7.0307199000000003E-3</v>
          </cell>
          <cell r="C38">
            <v>3.0279999999999999E-3</v>
          </cell>
          <cell r="D38">
            <v>-1.4773608304158636E-2</v>
          </cell>
        </row>
        <row r="39">
          <cell r="A39">
            <v>35300</v>
          </cell>
          <cell r="B39">
            <v>-3.8674668999999998E-3</v>
          </cell>
          <cell r="C39">
            <v>-6.3090000000000004E-3</v>
          </cell>
          <cell r="D39">
            <v>-5.0914786612694662E-3</v>
          </cell>
        </row>
        <row r="40">
          <cell r="A40">
            <v>35303</v>
          </cell>
          <cell r="B40">
            <v>-3.4613081000000002E-3</v>
          </cell>
          <cell r="C40">
            <v>-1.2697999999999999E-2</v>
          </cell>
          <cell r="D40">
            <v>2.152854571354279E-3</v>
          </cell>
        </row>
        <row r="41">
          <cell r="A41">
            <v>35304</v>
          </cell>
          <cell r="B41">
            <v>3.213081E-3</v>
          </cell>
          <cell r="C41">
            <v>0</v>
          </cell>
          <cell r="D41">
            <v>-6.4011568264494834E-3</v>
          </cell>
        </row>
        <row r="42">
          <cell r="A42">
            <v>35305</v>
          </cell>
          <cell r="B42">
            <v>-5.1716388999999998E-4</v>
          </cell>
          <cell r="C42">
            <v>-6.4310000000000001E-3</v>
          </cell>
          <cell r="D42">
            <v>2.948796098750428E-3</v>
          </cell>
        </row>
        <row r="43">
          <cell r="A43">
            <v>35306</v>
          </cell>
          <cell r="B43">
            <v>-9.2722903999999991E-3</v>
          </cell>
          <cell r="C43">
            <v>-3.2360000000000002E-3</v>
          </cell>
          <cell r="D43">
            <v>-1.0700692107242449E-2</v>
          </cell>
        </row>
        <row r="44">
          <cell r="A44">
            <v>35307</v>
          </cell>
          <cell r="B44">
            <v>-6.5221031999999996E-3</v>
          </cell>
          <cell r="C44">
            <v>9.7400000000000004E-3</v>
          </cell>
          <cell r="D44">
            <v>3.2541459162866992E-3</v>
          </cell>
        </row>
        <row r="45">
          <cell r="A45">
            <v>35311</v>
          </cell>
          <cell r="B45">
            <v>1.8702689999999999E-3</v>
          </cell>
          <cell r="C45">
            <v>-1.9293000000000001E-2</v>
          </cell>
          <cell r="D45">
            <v>2.0116003819591333E-2</v>
          </cell>
        </row>
        <row r="46">
          <cell r="A46">
            <v>35312</v>
          </cell>
          <cell r="B46">
            <v>1.8122998999999999E-3</v>
          </cell>
          <cell r="C46">
            <v>3.2789999999999998E-3</v>
          </cell>
          <cell r="D46">
            <v>-5.7964924654974048E-4</v>
          </cell>
        </row>
        <row r="47">
          <cell r="A47">
            <v>35313</v>
          </cell>
          <cell r="B47">
            <v>-7.8217945999999993E-3</v>
          </cell>
          <cell r="C47">
            <v>-1.634E-2</v>
          </cell>
          <cell r="D47">
            <v>3.9641722913366095E-3</v>
          </cell>
        </row>
        <row r="48">
          <cell r="A48">
            <v>35314</v>
          </cell>
          <cell r="B48">
            <v>9.1169774999999998E-3</v>
          </cell>
          <cell r="C48">
            <v>9.9670000000000002E-3</v>
          </cell>
          <cell r="D48">
            <v>7.3941265769774667E-3</v>
          </cell>
        </row>
        <row r="49">
          <cell r="A49">
            <v>35317</v>
          </cell>
          <cell r="B49">
            <v>9.8766581999999992E-3</v>
          </cell>
          <cell r="C49">
            <v>1.3158E-2</v>
          </cell>
          <cell r="D49">
            <v>5.8737396513615092E-3</v>
          </cell>
        </row>
        <row r="50">
          <cell r="A50">
            <v>35318</v>
          </cell>
          <cell r="B50">
            <v>7.0488039999999999E-4</v>
          </cell>
          <cell r="C50">
            <v>9.7400000000000004E-3</v>
          </cell>
          <cell r="D50">
            <v>6.9888783108611463E-3</v>
          </cell>
        </row>
        <row r="51">
          <cell r="A51">
            <v>35319</v>
          </cell>
          <cell r="B51">
            <v>4.2990017999999996E-3</v>
          </cell>
          <cell r="C51">
            <v>0</v>
          </cell>
          <cell r="D51">
            <v>-1.178837359287066E-2</v>
          </cell>
        </row>
        <row r="52">
          <cell r="A52">
            <v>35320</v>
          </cell>
          <cell r="B52">
            <v>5.4246470999999999E-3</v>
          </cell>
          <cell r="C52">
            <v>9.6460000000000001E-3</v>
          </cell>
          <cell r="D52">
            <v>1.1217039517352756E-3</v>
          </cell>
        </row>
        <row r="53">
          <cell r="A53">
            <v>35321</v>
          </cell>
          <cell r="B53">
            <v>1.113369E-2</v>
          </cell>
          <cell r="C53">
            <v>0</v>
          </cell>
          <cell r="D53">
            <v>5.2985111942855934E-3</v>
          </cell>
        </row>
        <row r="54">
          <cell r="A54">
            <v>35324</v>
          </cell>
          <cell r="B54">
            <v>5.1237488999999999E-3</v>
          </cell>
          <cell r="C54">
            <v>-9.554E-3</v>
          </cell>
          <cell r="D54">
            <v>-1.079723814717104E-2</v>
          </cell>
        </row>
        <row r="55">
          <cell r="A55">
            <v>35325</v>
          </cell>
          <cell r="B55">
            <v>-3.006875E-3</v>
          </cell>
          <cell r="C55">
            <v>-6.4310000000000001E-3</v>
          </cell>
          <cell r="D55">
            <v>2.1470753105893747E-2</v>
          </cell>
        </row>
        <row r="56">
          <cell r="A56">
            <v>35326</v>
          </cell>
          <cell r="B56">
            <v>-2.3359531E-3</v>
          </cell>
          <cell r="C56">
            <v>-6.4720000000000003E-3</v>
          </cell>
          <cell r="D56">
            <v>-2.3045003391116703E-3</v>
          </cell>
        </row>
        <row r="57">
          <cell r="A57">
            <v>35327</v>
          </cell>
          <cell r="B57">
            <v>1.262027E-3</v>
          </cell>
          <cell r="C57">
            <v>9.7719999999999994E-3</v>
          </cell>
          <cell r="D57">
            <v>1.5386639572538829E-3</v>
          </cell>
        </row>
        <row r="58">
          <cell r="A58">
            <v>35328</v>
          </cell>
          <cell r="B58">
            <v>4.7534439000000003E-3</v>
          </cell>
          <cell r="C58">
            <v>-3.2260000000000001E-3</v>
          </cell>
          <cell r="D58">
            <v>7.1304760340831219E-3</v>
          </cell>
        </row>
        <row r="59">
          <cell r="A59">
            <v>35331</v>
          </cell>
          <cell r="B59">
            <v>-6.4584351000000003E-4</v>
          </cell>
          <cell r="C59">
            <v>-6.4720000000000003E-3</v>
          </cell>
          <cell r="D59">
            <v>5.5944258647990797E-3</v>
          </cell>
        </row>
        <row r="60">
          <cell r="A60">
            <v>35332</v>
          </cell>
          <cell r="B60">
            <v>-6.0265861E-4</v>
          </cell>
          <cell r="C60">
            <v>-1.3029000000000001E-2</v>
          </cell>
          <cell r="D60">
            <v>5.7686833637802248E-3</v>
          </cell>
        </row>
        <row r="61">
          <cell r="A61">
            <v>35333</v>
          </cell>
          <cell r="B61">
            <v>4.6088069E-4</v>
          </cell>
          <cell r="C61">
            <v>-3.3E-3</v>
          </cell>
          <cell r="D61">
            <v>-9.1891349674350087E-3</v>
          </cell>
        </row>
        <row r="62">
          <cell r="A62">
            <v>35334</v>
          </cell>
          <cell r="B62">
            <v>2.0684509000000002E-3</v>
          </cell>
          <cell r="C62">
            <v>1.3245E-2</v>
          </cell>
          <cell r="D62">
            <v>-4.7583062454578107E-3</v>
          </cell>
        </row>
        <row r="63">
          <cell r="A63">
            <v>35335</v>
          </cell>
          <cell r="B63">
            <v>5.8355671000000003E-4</v>
          </cell>
          <cell r="C63">
            <v>-3.2680000000000001E-3</v>
          </cell>
          <cell r="D63">
            <v>9.5730110116876155E-4</v>
          </cell>
        </row>
        <row r="64">
          <cell r="A64">
            <v>35338</v>
          </cell>
          <cell r="B64">
            <v>3.1613108999999999E-3</v>
          </cell>
          <cell r="C64">
            <v>0</v>
          </cell>
          <cell r="D64">
            <v>8.6383211168841179E-3</v>
          </cell>
        </row>
        <row r="65">
          <cell r="A65">
            <v>35339</v>
          </cell>
          <cell r="B65">
            <v>1.732073E-3</v>
          </cell>
          <cell r="C65">
            <v>-6.5570000000000003E-3</v>
          </cell>
          <cell r="D65">
            <v>-6.4808300932180929E-3</v>
          </cell>
        </row>
        <row r="66">
          <cell r="A66">
            <v>35340</v>
          </cell>
          <cell r="B66">
            <v>6.3422499000000002E-3</v>
          </cell>
          <cell r="C66">
            <v>6.6010000000000001E-3</v>
          </cell>
          <cell r="D66">
            <v>2.8794384551720231E-3</v>
          </cell>
        </row>
        <row r="67">
          <cell r="A67">
            <v>35341</v>
          </cell>
          <cell r="B67">
            <v>-1.2178509E-3</v>
          </cell>
          <cell r="C67">
            <v>-1.3115E-2</v>
          </cell>
          <cell r="D67">
            <v>7.251964224124885E-3</v>
          </cell>
        </row>
        <row r="68">
          <cell r="A68">
            <v>35342</v>
          </cell>
          <cell r="B68">
            <v>1.083286E-2</v>
          </cell>
          <cell r="C68">
            <v>3.3219999999999999E-3</v>
          </cell>
          <cell r="D68">
            <v>8.3112673607064202E-3</v>
          </cell>
        </row>
        <row r="69">
          <cell r="A69">
            <v>35345</v>
          </cell>
          <cell r="B69">
            <v>1.807665E-3</v>
          </cell>
          <cell r="C69">
            <v>-3.3110000000000001E-3</v>
          </cell>
          <cell r="D69">
            <v>2.9461286944401088E-3</v>
          </cell>
        </row>
        <row r="70">
          <cell r="A70">
            <v>35346</v>
          </cell>
          <cell r="B70">
            <v>-3.0841459999999998E-3</v>
          </cell>
          <cell r="C70">
            <v>-1.3289E-2</v>
          </cell>
          <cell r="D70">
            <v>9.6934886277011412E-3</v>
          </cell>
        </row>
        <row r="71">
          <cell r="A71">
            <v>35347</v>
          </cell>
          <cell r="B71">
            <v>-5.3049671000000003E-3</v>
          </cell>
          <cell r="C71">
            <v>0</v>
          </cell>
          <cell r="D71">
            <v>4.1540984412473669E-3</v>
          </cell>
        </row>
        <row r="72">
          <cell r="A72">
            <v>35348</v>
          </cell>
          <cell r="B72">
            <v>-2.4005828999999999E-3</v>
          </cell>
          <cell r="C72">
            <v>-1.3468000000000001E-2</v>
          </cell>
          <cell r="D72">
            <v>2.9112259670867058E-3</v>
          </cell>
        </row>
        <row r="73">
          <cell r="A73">
            <v>35349</v>
          </cell>
          <cell r="B73">
            <v>6.4197751000000004E-3</v>
          </cell>
          <cell r="C73">
            <v>-1.0239E-2</v>
          </cell>
          <cell r="D73">
            <v>-4.2783247238006306E-3</v>
          </cell>
        </row>
        <row r="74">
          <cell r="A74">
            <v>35352</v>
          </cell>
          <cell r="B74">
            <v>3.9362768000000001E-3</v>
          </cell>
          <cell r="C74">
            <v>0</v>
          </cell>
          <cell r="D74">
            <v>2.3864760520717621E-3</v>
          </cell>
        </row>
        <row r="75">
          <cell r="A75">
            <v>35353</v>
          </cell>
          <cell r="B75">
            <v>-1.9757501000000001E-3</v>
          </cell>
          <cell r="C75">
            <v>-2.4138E-2</v>
          </cell>
          <cell r="D75">
            <v>-6.5589748785148672E-3</v>
          </cell>
        </row>
        <row r="76">
          <cell r="A76">
            <v>35354</v>
          </cell>
          <cell r="B76">
            <v>2.4353510000000001E-3</v>
          </cell>
          <cell r="C76">
            <v>-1.7668E-2</v>
          </cell>
          <cell r="D76">
            <v>-6.0027112421605633E-3</v>
          </cell>
        </row>
        <row r="77">
          <cell r="A77">
            <v>35355</v>
          </cell>
          <cell r="B77">
            <v>4.7917649999999999E-3</v>
          </cell>
          <cell r="C77">
            <v>-2.8777E-2</v>
          </cell>
          <cell r="D77">
            <v>-1.5488326266651753E-2</v>
          </cell>
        </row>
        <row r="78">
          <cell r="A78">
            <v>35356</v>
          </cell>
          <cell r="B78">
            <v>4.4670012E-3</v>
          </cell>
          <cell r="C78">
            <v>7.4070000000000004E-3</v>
          </cell>
          <cell r="D78">
            <v>-2.0417806828574192E-2</v>
          </cell>
        </row>
        <row r="79">
          <cell r="A79">
            <v>35359</v>
          </cell>
          <cell r="B79">
            <v>-7.6797330999999998E-4</v>
          </cell>
          <cell r="C79">
            <v>-7.3530000000000002E-3</v>
          </cell>
          <cell r="D79">
            <v>1.0957265929212534E-2</v>
          </cell>
        </row>
        <row r="80">
          <cell r="A80">
            <v>35360</v>
          </cell>
          <cell r="B80">
            <v>-4.4403039000000004E-3</v>
          </cell>
          <cell r="C80">
            <v>3.7039999999999998E-3</v>
          </cell>
          <cell r="D80">
            <v>1.6780270799353403E-2</v>
          </cell>
        </row>
        <row r="81">
          <cell r="A81">
            <v>35361</v>
          </cell>
          <cell r="B81">
            <v>-1.178592E-3</v>
          </cell>
          <cell r="C81">
            <v>-7.3800000000000003E-3</v>
          </cell>
          <cell r="D81">
            <v>-3.4402032717617548E-3</v>
          </cell>
        </row>
        <row r="82">
          <cell r="A82">
            <v>35362</v>
          </cell>
          <cell r="B82">
            <v>-5.2403761000000002E-3</v>
          </cell>
          <cell r="C82">
            <v>-1.8586999999999999E-2</v>
          </cell>
          <cell r="D82">
            <v>-2.321200922464306E-2</v>
          </cell>
        </row>
        <row r="83">
          <cell r="A83">
            <v>35363</v>
          </cell>
          <cell r="B83">
            <v>-1.4267679999999999E-3</v>
          </cell>
          <cell r="C83">
            <v>-1.5152000000000001E-2</v>
          </cell>
          <cell r="D83">
            <v>-1.422260512519713E-2</v>
          </cell>
        </row>
        <row r="84">
          <cell r="A84">
            <v>35366</v>
          </cell>
          <cell r="B84">
            <v>-5.5758379999999996E-3</v>
          </cell>
          <cell r="C84">
            <v>-3.8462000000000003E-2</v>
          </cell>
          <cell r="D84">
            <v>-7.4868766282185417E-2</v>
          </cell>
        </row>
        <row r="85">
          <cell r="A85">
            <v>35367</v>
          </cell>
          <cell r="B85">
            <v>5.3693609999999996E-3</v>
          </cell>
          <cell r="C85">
            <v>4.0000000000000001E-3</v>
          </cell>
          <cell r="D85">
            <v>5.2185046571179283E-2</v>
          </cell>
        </row>
        <row r="86">
          <cell r="A86">
            <v>35368</v>
          </cell>
          <cell r="B86">
            <v>-6.1896181000000003E-4</v>
          </cell>
          <cell r="C86">
            <v>-1.1952000000000001E-2</v>
          </cell>
          <cell r="D86">
            <v>-2.4661831088423902E-3</v>
          </cell>
        </row>
        <row r="87">
          <cell r="A87">
            <v>35369</v>
          </cell>
          <cell r="B87">
            <v>4.8005790000000001E-3</v>
          </cell>
          <cell r="C87">
            <v>-2.0160999999999998E-2</v>
          </cell>
          <cell r="D87">
            <v>-2.2815450315019525E-2</v>
          </cell>
        </row>
        <row r="88">
          <cell r="A88">
            <v>35370</v>
          </cell>
          <cell r="B88">
            <v>-1.8815220000000001E-3</v>
          </cell>
          <cell r="C88">
            <v>1.6461E-2</v>
          </cell>
          <cell r="D88">
            <v>1.630490166106191E-2</v>
          </cell>
        </row>
        <row r="89">
          <cell r="A89">
            <v>35373</v>
          </cell>
          <cell r="B89">
            <v>3.7250509E-3</v>
          </cell>
          <cell r="C89">
            <v>8.097E-3</v>
          </cell>
          <cell r="D89">
            <v>2.5200734290276028E-2</v>
          </cell>
        </row>
        <row r="90">
          <cell r="A90">
            <v>35374</v>
          </cell>
          <cell r="B90">
            <v>8.8857347E-3</v>
          </cell>
          <cell r="C90">
            <v>2.8112000000000002E-2</v>
          </cell>
          <cell r="D90">
            <v>-2.6332370947868E-4</v>
          </cell>
        </row>
        <row r="91">
          <cell r="A91">
            <v>35375</v>
          </cell>
          <cell r="B91">
            <v>1.364926E-2</v>
          </cell>
          <cell r="C91">
            <v>1.9531E-2</v>
          </cell>
          <cell r="D91">
            <v>3.5934339871124266E-3</v>
          </cell>
        </row>
        <row r="92">
          <cell r="A92">
            <v>35376</v>
          </cell>
          <cell r="B92">
            <v>3.4467060999999999E-3</v>
          </cell>
          <cell r="C92">
            <v>-7.6629999999999997E-3</v>
          </cell>
          <cell r="D92">
            <v>-9.8962385295302546E-3</v>
          </cell>
        </row>
        <row r="93">
          <cell r="A93">
            <v>35377</v>
          </cell>
          <cell r="B93">
            <v>3.9753988000000001E-3</v>
          </cell>
          <cell r="C93">
            <v>7.7219999999999997E-3</v>
          </cell>
          <cell r="D93">
            <v>-1.3234726103650951E-2</v>
          </cell>
        </row>
        <row r="94">
          <cell r="A94">
            <v>35380</v>
          </cell>
          <cell r="B94">
            <v>1.4474289E-3</v>
          </cell>
          <cell r="C94">
            <v>3.8310000000000002E-3</v>
          </cell>
          <cell r="D94">
            <v>-9.1160973662903766E-3</v>
          </cell>
        </row>
        <row r="95">
          <cell r="A95">
            <v>35381</v>
          </cell>
          <cell r="B95">
            <v>-9.8411587999999999E-4</v>
          </cell>
          <cell r="C95">
            <v>-7.6340000000000002E-3</v>
          </cell>
          <cell r="D95">
            <v>-4.2853131686724222E-3</v>
          </cell>
        </row>
        <row r="96">
          <cell r="A96">
            <v>35382</v>
          </cell>
          <cell r="B96">
            <v>1.5926169999999999E-3</v>
          </cell>
          <cell r="C96">
            <v>3.846E-3</v>
          </cell>
          <cell r="D96">
            <v>-3.0449123107261333E-2</v>
          </cell>
        </row>
        <row r="97">
          <cell r="A97">
            <v>35383</v>
          </cell>
          <cell r="B97">
            <v>5.4869680000000001E-3</v>
          </cell>
          <cell r="C97">
            <v>1.5300000000000001E-4</v>
          </cell>
          <cell r="D97">
            <v>1.2739070695724664E-2</v>
          </cell>
        </row>
        <row r="98">
          <cell r="A98">
            <v>35384</v>
          </cell>
          <cell r="B98">
            <v>2.5329620000000001E-3</v>
          </cell>
          <cell r="C98">
            <v>-1.5384999999999999E-2</v>
          </cell>
          <cell r="D98">
            <v>1.9510948789453586E-2</v>
          </cell>
        </row>
        <row r="99">
          <cell r="A99">
            <v>35387</v>
          </cell>
          <cell r="B99">
            <v>-3.7732009999999998E-4</v>
          </cell>
          <cell r="C99">
            <v>0</v>
          </cell>
          <cell r="D99">
            <v>2.0272094834938414E-2</v>
          </cell>
        </row>
        <row r="100">
          <cell r="A100">
            <v>35388</v>
          </cell>
          <cell r="B100">
            <v>5.1674889000000003E-3</v>
          </cell>
          <cell r="C100">
            <v>3.9060000000000002E-3</v>
          </cell>
          <cell r="D100">
            <v>-1.103236592267054E-2</v>
          </cell>
        </row>
        <row r="101">
          <cell r="A101">
            <v>35389</v>
          </cell>
          <cell r="B101">
            <v>2.6251209999999998E-3</v>
          </cell>
          <cell r="C101">
            <v>-1.5564E-2</v>
          </cell>
          <cell r="D101">
            <v>-4.3897818201432681E-4</v>
          </cell>
        </row>
        <row r="102">
          <cell r="A102">
            <v>35390</v>
          </cell>
          <cell r="B102">
            <v>-1.0958280000000001E-3</v>
          </cell>
          <cell r="C102">
            <v>3.9529999999999999E-3</v>
          </cell>
          <cell r="D102">
            <v>1.6648046844903286E-2</v>
          </cell>
        </row>
        <row r="103">
          <cell r="A103">
            <v>35391</v>
          </cell>
          <cell r="B103">
            <v>6.0406621000000001E-3</v>
          </cell>
          <cell r="C103">
            <v>3.9370000000000004E-3</v>
          </cell>
          <cell r="D103">
            <v>-4.6096744429265923E-3</v>
          </cell>
        </row>
        <row r="104">
          <cell r="A104">
            <v>35394</v>
          </cell>
          <cell r="B104">
            <v>1.051536E-2</v>
          </cell>
          <cell r="C104">
            <v>-7.8429999999999993E-3</v>
          </cell>
          <cell r="D104">
            <v>-2.3554828025962649E-2</v>
          </cell>
        </row>
        <row r="105">
          <cell r="A105">
            <v>35395</v>
          </cell>
          <cell r="B105">
            <v>-2.1393250000000001E-3</v>
          </cell>
          <cell r="C105">
            <v>7.9050000000000006E-3</v>
          </cell>
          <cell r="D105">
            <v>1.6393921968049785E-3</v>
          </cell>
        </row>
        <row r="106">
          <cell r="A106">
            <v>35396</v>
          </cell>
          <cell r="B106">
            <v>-5.8680737999999995E-4</v>
          </cell>
          <cell r="C106">
            <v>-3.9220000000000001E-3</v>
          </cell>
          <cell r="D106">
            <v>3.2403334916197846E-3</v>
          </cell>
        </row>
        <row r="107">
          <cell r="A107">
            <v>35398</v>
          </cell>
          <cell r="B107">
            <v>2.651938E-3</v>
          </cell>
          <cell r="C107">
            <v>1.1811E-2</v>
          </cell>
          <cell r="D107">
            <v>4.3627461440425286E-3</v>
          </cell>
        </row>
        <row r="108">
          <cell r="A108">
            <v>35401</v>
          </cell>
          <cell r="B108">
            <v>-6.3279899999999997E-4</v>
          </cell>
          <cell r="C108">
            <v>7.7819999999999999E-3</v>
          </cell>
          <cell r="D108">
            <v>1.888169966199893E-2</v>
          </cell>
        </row>
        <row r="109">
          <cell r="A109">
            <v>35402</v>
          </cell>
          <cell r="B109">
            <v>-8.4151607000000003E-3</v>
          </cell>
          <cell r="C109">
            <v>1.1583E-2</v>
          </cell>
          <cell r="D109">
            <v>-1.868154365851149E-2</v>
          </cell>
        </row>
        <row r="110">
          <cell r="A110">
            <v>35403</v>
          </cell>
          <cell r="B110">
            <v>-3.3637311E-3</v>
          </cell>
          <cell r="C110">
            <v>-3.8170000000000001E-3</v>
          </cell>
          <cell r="D110">
            <v>4.6013780953539918E-3</v>
          </cell>
        </row>
        <row r="111">
          <cell r="A111">
            <v>35404</v>
          </cell>
          <cell r="B111">
            <v>-1.2314341E-3</v>
          </cell>
          <cell r="C111">
            <v>-3.8310000000000002E-3</v>
          </cell>
          <cell r="D111">
            <v>-2.8458637869601677E-3</v>
          </cell>
        </row>
        <row r="112">
          <cell r="A112">
            <v>35405</v>
          </cell>
          <cell r="B112">
            <v>-6.7565580999999998E-3</v>
          </cell>
          <cell r="C112">
            <v>-1.1538E-2</v>
          </cell>
          <cell r="D112">
            <v>1.3461942677308603E-2</v>
          </cell>
        </row>
        <row r="113">
          <cell r="A113">
            <v>35408</v>
          </cell>
          <cell r="B113">
            <v>1.1878659999999999E-2</v>
          </cell>
          <cell r="C113">
            <v>2.7237000000000001E-2</v>
          </cell>
          <cell r="D113">
            <v>1.1032167959905248E-2</v>
          </cell>
        </row>
        <row r="114">
          <cell r="A114">
            <v>35409</v>
          </cell>
          <cell r="B114">
            <v>-2.2825968999999999E-3</v>
          </cell>
          <cell r="C114">
            <v>1.1364000000000001E-2</v>
          </cell>
          <cell r="D114">
            <v>-2.0811063099414273E-2</v>
          </cell>
        </row>
        <row r="115">
          <cell r="A115">
            <v>35410</v>
          </cell>
          <cell r="B115">
            <v>-1.0740609999999999E-2</v>
          </cell>
          <cell r="C115">
            <v>-7.4910000000000003E-3</v>
          </cell>
          <cell r="D115">
            <v>-1.724025262639961E-2</v>
          </cell>
        </row>
        <row r="116">
          <cell r="A116">
            <v>35411</v>
          </cell>
          <cell r="B116">
            <v>-1.308921E-2</v>
          </cell>
          <cell r="C116">
            <v>7.1697999999999998E-2</v>
          </cell>
          <cell r="D116">
            <v>-2.7618496295890749E-2</v>
          </cell>
        </row>
        <row r="117">
          <cell r="A117">
            <v>35412</v>
          </cell>
          <cell r="B117">
            <v>-7.7878701000000004E-4</v>
          </cell>
          <cell r="C117">
            <v>0</v>
          </cell>
          <cell r="D117">
            <v>-1.7312882892667414E-2</v>
          </cell>
        </row>
        <row r="118">
          <cell r="A118">
            <v>35415</v>
          </cell>
          <cell r="B118">
            <v>-8.5332933999999992E-3</v>
          </cell>
          <cell r="C118">
            <v>-3.5210999999999999E-2</v>
          </cell>
          <cell r="D118">
            <v>-2.2922917596202019E-4</v>
          </cell>
        </row>
        <row r="119">
          <cell r="A119">
            <v>35416</v>
          </cell>
          <cell r="B119">
            <v>4.6417819999999997E-3</v>
          </cell>
          <cell r="C119">
            <v>3.6496000000000001E-2</v>
          </cell>
          <cell r="D119">
            <v>1.2370977845652442E-2</v>
          </cell>
        </row>
        <row r="120">
          <cell r="A120">
            <v>35417</v>
          </cell>
          <cell r="B120">
            <v>6.7686018999999998E-3</v>
          </cell>
          <cell r="C120">
            <v>-1.0562999999999999E-2</v>
          </cell>
          <cell r="D120">
            <v>-5.3485668065315073E-3</v>
          </cell>
        </row>
        <row r="121">
          <cell r="A121">
            <v>35418</v>
          </cell>
          <cell r="B121">
            <v>1.7318490999999998E-2</v>
          </cell>
          <cell r="C121">
            <v>-7.1170000000000001E-3</v>
          </cell>
          <cell r="D121">
            <v>-1.6747987313978974E-2</v>
          </cell>
        </row>
        <row r="122">
          <cell r="A122">
            <v>35419</v>
          </cell>
          <cell r="B122">
            <v>5.096667E-3</v>
          </cell>
          <cell r="C122">
            <v>0</v>
          </cell>
          <cell r="D122">
            <v>2.1710273301327465E-3</v>
          </cell>
        </row>
        <row r="123">
          <cell r="A123">
            <v>35422</v>
          </cell>
          <cell r="B123">
            <v>-2.3070271000000002E-3</v>
          </cell>
          <cell r="C123">
            <v>0</v>
          </cell>
          <cell r="D123">
            <v>5.1372830581071227E-3</v>
          </cell>
        </row>
        <row r="124">
          <cell r="A124">
            <v>35423</v>
          </cell>
          <cell r="B124">
            <v>4.3139229999999999E-3</v>
          </cell>
          <cell r="C124">
            <v>0</v>
          </cell>
          <cell r="D124">
            <v>-1.6730913703708272E-2</v>
          </cell>
        </row>
        <row r="125">
          <cell r="A125">
            <v>35425</v>
          </cell>
          <cell r="B125">
            <v>5.7502710000000004E-3</v>
          </cell>
          <cell r="C125">
            <v>3.5839999999999999E-3</v>
          </cell>
          <cell r="D125">
            <v>-7.0412979535771081E-3</v>
          </cell>
        </row>
        <row r="126">
          <cell r="A126">
            <v>35426</v>
          </cell>
          <cell r="B126">
            <v>2.9099098999999999E-3</v>
          </cell>
          <cell r="C126">
            <v>2.1429E-2</v>
          </cell>
          <cell r="D126">
            <v>8.9539122646942193E-3</v>
          </cell>
        </row>
        <row r="127">
          <cell r="A127">
            <v>35429</v>
          </cell>
          <cell r="B127">
            <v>-1.663812E-3</v>
          </cell>
          <cell r="C127">
            <v>-1.0489999999999999E-2</v>
          </cell>
          <cell r="D127">
            <v>1.8324001858654793E-2</v>
          </cell>
        </row>
        <row r="128">
          <cell r="A128">
            <v>35430</v>
          </cell>
          <cell r="B128">
            <v>-1.200937E-2</v>
          </cell>
          <cell r="C128">
            <v>7.0670000000000004E-3</v>
          </cell>
          <cell r="D128">
            <v>1.8818892965372092E-2</v>
          </cell>
        </row>
        <row r="129">
          <cell r="A129">
            <v>35432</v>
          </cell>
          <cell r="B129">
            <v>-7.2021289000000002E-3</v>
          </cell>
          <cell r="C129">
            <v>-1.0526000000000001E-2</v>
          </cell>
          <cell r="D129">
            <v>2.8740249202663382E-3</v>
          </cell>
        </row>
        <row r="130">
          <cell r="A130">
            <v>35433</v>
          </cell>
          <cell r="B130">
            <v>1.124781E-2</v>
          </cell>
          <cell r="C130">
            <v>7.0920000000000002E-3</v>
          </cell>
          <cell r="D130">
            <v>8.797630467478168E-3</v>
          </cell>
        </row>
        <row r="131">
          <cell r="A131">
            <v>35436</v>
          </cell>
          <cell r="B131">
            <v>-1.630356E-4</v>
          </cell>
          <cell r="C131">
            <v>-2.1127E-2</v>
          </cell>
          <cell r="D131">
            <v>8.5065074285533004E-3</v>
          </cell>
        </row>
        <row r="132">
          <cell r="A132">
            <v>35437</v>
          </cell>
          <cell r="B132">
            <v>6.9386088E-3</v>
          </cell>
          <cell r="C132">
            <v>-3.5969999999999999E-3</v>
          </cell>
          <cell r="D132">
            <v>-8.5390843219813606E-3</v>
          </cell>
        </row>
        <row r="133">
          <cell r="A133">
            <v>35438</v>
          </cell>
          <cell r="B133">
            <v>-3.3775660999999998E-3</v>
          </cell>
          <cell r="C133">
            <v>7.2199999999999999E-3</v>
          </cell>
          <cell r="D133">
            <v>-1.0677435430105242E-2</v>
          </cell>
        </row>
        <row r="134">
          <cell r="A134">
            <v>35439</v>
          </cell>
          <cell r="B134">
            <v>8.1812589999999998E-3</v>
          </cell>
          <cell r="C134">
            <v>3.5839999999999999E-3</v>
          </cell>
          <cell r="D134">
            <v>-1.6536189973530568E-3</v>
          </cell>
        </row>
        <row r="135">
          <cell r="A135">
            <v>35440</v>
          </cell>
          <cell r="B135">
            <v>5.2441759000000001E-3</v>
          </cell>
          <cell r="C135">
            <v>-3.571E-3</v>
          </cell>
          <cell r="D135">
            <v>-3.4739294479945726E-2</v>
          </cell>
        </row>
        <row r="136">
          <cell r="A136">
            <v>35443</v>
          </cell>
          <cell r="B136">
            <v>8.0904617999999994E-5</v>
          </cell>
          <cell r="C136">
            <v>-3.5839999999999999E-3</v>
          </cell>
          <cell r="D136">
            <v>3.3902893616135632E-3</v>
          </cell>
        </row>
        <row r="137">
          <cell r="A137">
            <v>35444</v>
          </cell>
          <cell r="B137">
            <v>1.0835269999999999E-2</v>
          </cell>
          <cell r="C137">
            <v>1.4388E-2</v>
          </cell>
          <cell r="D137">
            <v>2.5488613038398E-2</v>
          </cell>
        </row>
        <row r="138">
          <cell r="A138">
            <v>35445</v>
          </cell>
          <cell r="B138">
            <v>1.175621E-4</v>
          </cell>
          <cell r="C138">
            <v>0</v>
          </cell>
          <cell r="D138">
            <v>3.5154542363551311E-3</v>
          </cell>
        </row>
        <row r="139">
          <cell r="A139">
            <v>35446</v>
          </cell>
          <cell r="B139">
            <v>2.3796050999999999E-3</v>
          </cell>
          <cell r="C139">
            <v>1.0638E-2</v>
          </cell>
          <cell r="D139">
            <v>-1.308887324767416E-3</v>
          </cell>
        </row>
        <row r="140">
          <cell r="A140">
            <v>35447</v>
          </cell>
          <cell r="B140">
            <v>7.2163562000000002E-3</v>
          </cell>
          <cell r="C140">
            <v>3.509E-3</v>
          </cell>
          <cell r="D140">
            <v>1.1007851500024257E-2</v>
          </cell>
        </row>
        <row r="141">
          <cell r="A141">
            <v>35450</v>
          </cell>
          <cell r="B141">
            <v>4.6694480000000001E-4</v>
          </cell>
          <cell r="C141">
            <v>-1.7482999999999999E-2</v>
          </cell>
          <cell r="D141">
            <v>1.9371088779829293E-2</v>
          </cell>
        </row>
        <row r="142">
          <cell r="A142">
            <v>35451</v>
          </cell>
          <cell r="B142">
            <v>4.6216067999999997E-3</v>
          </cell>
          <cell r="C142">
            <v>7.1170000000000001E-3</v>
          </cell>
          <cell r="D142">
            <v>-2.3709637281732476E-4</v>
          </cell>
        </row>
        <row r="143">
          <cell r="A143">
            <v>35452</v>
          </cell>
          <cell r="B143">
            <v>3.1663131000000001E-3</v>
          </cell>
          <cell r="C143">
            <v>-3.5339999999999998E-3</v>
          </cell>
          <cell r="D143">
            <v>-7.4987260397475497E-3</v>
          </cell>
        </row>
        <row r="144">
          <cell r="A144">
            <v>35453</v>
          </cell>
          <cell r="B144">
            <v>-8.5989525999999993E-3</v>
          </cell>
          <cell r="C144">
            <v>-7.0920000000000002E-3</v>
          </cell>
          <cell r="D144">
            <v>1.4553884919645821E-3</v>
          </cell>
        </row>
        <row r="145">
          <cell r="A145">
            <v>35454</v>
          </cell>
          <cell r="B145">
            <v>-8.6958109999999995E-3</v>
          </cell>
          <cell r="C145">
            <v>-1.4286E-2</v>
          </cell>
          <cell r="D145">
            <v>-1.0884761531044229E-2</v>
          </cell>
        </row>
        <row r="146">
          <cell r="A146">
            <v>35457</v>
          </cell>
          <cell r="B146">
            <v>-6.2273470999999999E-3</v>
          </cell>
          <cell r="C146">
            <v>0</v>
          </cell>
          <cell r="D146">
            <v>1.1608597100143392E-2</v>
          </cell>
        </row>
        <row r="147">
          <cell r="A147">
            <v>35458</v>
          </cell>
          <cell r="B147">
            <v>3.2450688999999998E-4</v>
          </cell>
          <cell r="C147">
            <v>-1.8116E-2</v>
          </cell>
          <cell r="D147">
            <v>2.2085630840660953E-2</v>
          </cell>
        </row>
        <row r="148">
          <cell r="A148">
            <v>35459</v>
          </cell>
          <cell r="B148">
            <v>8.0092289000000001E-3</v>
          </cell>
          <cell r="C148">
            <v>2.5829999999999999E-2</v>
          </cell>
          <cell r="D148">
            <v>6.0002969298611486E-3</v>
          </cell>
        </row>
        <row r="149">
          <cell r="A149">
            <v>35460</v>
          </cell>
          <cell r="B149">
            <v>1.1719759999999999E-2</v>
          </cell>
          <cell r="C149">
            <v>1.4388E-2</v>
          </cell>
          <cell r="D149">
            <v>1.2649663729757954E-4</v>
          </cell>
        </row>
        <row r="150">
          <cell r="A150">
            <v>35461</v>
          </cell>
          <cell r="B150">
            <v>2.3821889999999998E-3</v>
          </cell>
          <cell r="C150">
            <v>3.5460000000000001E-3</v>
          </cell>
          <cell r="D150">
            <v>2.1716342256606236E-2</v>
          </cell>
        </row>
        <row r="151">
          <cell r="A151">
            <v>35464</v>
          </cell>
          <cell r="B151">
            <v>7.7631132000000004E-4</v>
          </cell>
          <cell r="C151">
            <v>-1.0600999999999999E-2</v>
          </cell>
          <cell r="D151">
            <v>8.5454214659637096E-3</v>
          </cell>
        </row>
        <row r="152">
          <cell r="A152">
            <v>35465</v>
          </cell>
          <cell r="B152">
            <v>2.140603E-3</v>
          </cell>
          <cell r="C152">
            <v>-3.571E-3</v>
          </cell>
          <cell r="D152">
            <v>1.031044788332669E-2</v>
          </cell>
        </row>
        <row r="153">
          <cell r="A153">
            <v>35466</v>
          </cell>
          <cell r="B153">
            <v>-1.077552E-2</v>
          </cell>
          <cell r="C153">
            <v>-1.0753E-2</v>
          </cell>
          <cell r="D153">
            <v>-2.5310583873752179E-3</v>
          </cell>
        </row>
        <row r="154">
          <cell r="A154">
            <v>35467</v>
          </cell>
          <cell r="B154">
            <v>2.7627591000000001E-3</v>
          </cell>
          <cell r="C154">
            <v>1.0869999999999999E-2</v>
          </cell>
          <cell r="D154">
            <v>1.1098480095077079E-2</v>
          </cell>
        </row>
        <row r="155">
          <cell r="A155">
            <v>35468</v>
          </cell>
          <cell r="B155">
            <v>9.5840227E-3</v>
          </cell>
          <cell r="C155">
            <v>0</v>
          </cell>
          <cell r="D155">
            <v>-2.6611181076492407E-3</v>
          </cell>
        </row>
        <row r="156">
          <cell r="A156">
            <v>35471</v>
          </cell>
          <cell r="B156">
            <v>-3.6630960999999998E-3</v>
          </cell>
          <cell r="C156">
            <v>-7.1679999999999999E-3</v>
          </cell>
          <cell r="D156">
            <v>1.2160708011243804E-2</v>
          </cell>
        </row>
        <row r="157">
          <cell r="A157">
            <v>35472</v>
          </cell>
          <cell r="B157">
            <v>4.883185E-3</v>
          </cell>
          <cell r="C157">
            <v>7.2199999999999999E-3</v>
          </cell>
          <cell r="D157">
            <v>-3.2364390491734785E-4</v>
          </cell>
        </row>
        <row r="158">
          <cell r="A158">
            <v>35473</v>
          </cell>
          <cell r="B158">
            <v>1.378368E-2</v>
          </cell>
          <cell r="C158">
            <v>0</v>
          </cell>
          <cell r="D158">
            <v>4.1038310863847904E-3</v>
          </cell>
        </row>
        <row r="159">
          <cell r="A159">
            <v>35474</v>
          </cell>
          <cell r="B159">
            <v>1.060583E-2</v>
          </cell>
          <cell r="C159">
            <v>7.3119999999999999E-3</v>
          </cell>
          <cell r="D159">
            <v>-2.386669236464023E-3</v>
          </cell>
        </row>
        <row r="160">
          <cell r="A160">
            <v>35475</v>
          </cell>
          <cell r="B160">
            <v>-1.4903729999999999E-3</v>
          </cell>
          <cell r="C160">
            <v>-7.143E-3</v>
          </cell>
          <cell r="D160">
            <v>-4.7342021731828776E-3</v>
          </cell>
        </row>
        <row r="161">
          <cell r="A161">
            <v>35479</v>
          </cell>
          <cell r="B161">
            <v>8.5896393000000001E-3</v>
          </cell>
          <cell r="C161">
            <v>1.0791E-2</v>
          </cell>
          <cell r="D161">
            <v>7.2076484888066172E-3</v>
          </cell>
        </row>
        <row r="162">
          <cell r="A162">
            <v>35480</v>
          </cell>
          <cell r="B162">
            <v>-3.4822121000000002E-3</v>
          </cell>
          <cell r="C162">
            <v>-1.4234999999999999E-2</v>
          </cell>
          <cell r="D162">
            <v>8.1034883364883292E-3</v>
          </cell>
        </row>
        <row r="163">
          <cell r="A163">
            <v>35481</v>
          </cell>
          <cell r="B163">
            <v>-1.0396610000000001E-2</v>
          </cell>
          <cell r="C163">
            <v>-3.6099999999999999E-3</v>
          </cell>
          <cell r="D163">
            <v>1.3221557570952669E-4</v>
          </cell>
        </row>
        <row r="164">
          <cell r="A164">
            <v>35482</v>
          </cell>
          <cell r="B164">
            <v>-4.0978280999999999E-4</v>
          </cell>
          <cell r="C164">
            <v>-3.6229999999999999E-3</v>
          </cell>
          <cell r="D164">
            <v>1.5460031513168104E-2</v>
          </cell>
        </row>
        <row r="165">
          <cell r="A165">
            <v>35485</v>
          </cell>
          <cell r="B165">
            <v>8.1887049999999992E-3</v>
          </cell>
          <cell r="C165">
            <v>3.6359999999999999E-3</v>
          </cell>
          <cell r="D165">
            <v>-8.1928855423805125E-3</v>
          </cell>
        </row>
        <row r="166">
          <cell r="A166">
            <v>35486</v>
          </cell>
          <cell r="B166">
            <v>2.8361598999999999E-3</v>
          </cell>
          <cell r="C166">
            <v>-7.2459999999999998E-3</v>
          </cell>
          <cell r="D166">
            <v>1.8145923020843835E-2</v>
          </cell>
        </row>
        <row r="167">
          <cell r="A167">
            <v>35487</v>
          </cell>
          <cell r="B167">
            <v>-7.7650397999999999E-3</v>
          </cell>
          <cell r="C167">
            <v>-1.0949E-2</v>
          </cell>
          <cell r="D167">
            <v>6.7021723261433408E-3</v>
          </cell>
        </row>
        <row r="168">
          <cell r="A168">
            <v>35488</v>
          </cell>
          <cell r="B168">
            <v>-9.9317506000000007E-3</v>
          </cell>
          <cell r="C168">
            <v>1.107E-2</v>
          </cell>
          <cell r="D168">
            <v>-4.1672435276201014E-3</v>
          </cell>
        </row>
        <row r="169">
          <cell r="A169">
            <v>35489</v>
          </cell>
          <cell r="B169">
            <v>-5.0389529000000001E-3</v>
          </cell>
          <cell r="C169">
            <v>-7.2989999999999999E-3</v>
          </cell>
          <cell r="D169">
            <v>-7.8653950423335228E-3</v>
          </cell>
        </row>
        <row r="170">
          <cell r="A170">
            <v>35492</v>
          </cell>
          <cell r="B170">
            <v>4.1957358000000002E-3</v>
          </cell>
          <cell r="C170">
            <v>-7.3530000000000002E-3</v>
          </cell>
          <cell r="D170">
            <v>-1.9039911999523262E-3</v>
          </cell>
        </row>
        <row r="171">
          <cell r="A171">
            <v>35493</v>
          </cell>
          <cell r="B171">
            <v>-3.7828420999999998E-3</v>
          </cell>
          <cell r="C171">
            <v>-7.4070000000000004E-3</v>
          </cell>
          <cell r="D171">
            <v>2.2866910369783167E-3</v>
          </cell>
        </row>
        <row r="172">
          <cell r="A172">
            <v>35494</v>
          </cell>
          <cell r="B172">
            <v>1.200183E-2</v>
          </cell>
          <cell r="C172">
            <v>-3.7309999999999999E-3</v>
          </cell>
          <cell r="D172">
            <v>-3.059941658699894E-2</v>
          </cell>
        </row>
        <row r="173">
          <cell r="A173">
            <v>35495</v>
          </cell>
          <cell r="B173">
            <v>-8.5775646999999996E-4</v>
          </cell>
          <cell r="C173">
            <v>-9.3632999999999994E-2</v>
          </cell>
          <cell r="D173">
            <v>2.6798712534724434E-2</v>
          </cell>
        </row>
        <row r="174">
          <cell r="A174">
            <v>35496</v>
          </cell>
          <cell r="B174">
            <v>8.6324400999999995E-3</v>
          </cell>
          <cell r="C174">
            <v>8.2640000000000005E-3</v>
          </cell>
          <cell r="D174">
            <v>-1.8839613497677044E-2</v>
          </cell>
        </row>
        <row r="175">
          <cell r="A175">
            <v>35499</v>
          </cell>
          <cell r="B175">
            <v>8.8300426000000008E-3</v>
          </cell>
          <cell r="C175">
            <v>-2.0492E-2</v>
          </cell>
          <cell r="D175">
            <v>1.3899919859871268E-2</v>
          </cell>
        </row>
        <row r="176">
          <cell r="A176">
            <v>35500</v>
          </cell>
          <cell r="B176">
            <v>-1.3781850000000001E-3</v>
          </cell>
          <cell r="C176">
            <v>-4.1840000000000002E-3</v>
          </cell>
          <cell r="D176">
            <v>5.3490025215465753E-3</v>
          </cell>
        </row>
        <row r="177">
          <cell r="A177">
            <v>35501</v>
          </cell>
          <cell r="B177">
            <v>-7.3238332000000001E-3</v>
          </cell>
          <cell r="C177">
            <v>-4.202E-3</v>
          </cell>
          <cell r="D177">
            <v>5.2660183519155357E-3</v>
          </cell>
        </row>
        <row r="178">
          <cell r="A178">
            <v>35502</v>
          </cell>
          <cell r="B178">
            <v>-1.7552029E-2</v>
          </cell>
          <cell r="C178">
            <v>8.4390000000000003E-3</v>
          </cell>
          <cell r="D178">
            <v>5.4501395340700309E-3</v>
          </cell>
        </row>
        <row r="179">
          <cell r="A179">
            <v>35503</v>
          </cell>
          <cell r="B179">
            <v>4.2948732000000003E-3</v>
          </cell>
          <cell r="C179">
            <v>2.0920999999999999E-2</v>
          </cell>
          <cell r="D179">
            <v>9.4490655344030561E-3</v>
          </cell>
        </row>
        <row r="180">
          <cell r="A180">
            <v>35506</v>
          </cell>
          <cell r="B180">
            <v>6.9436168999999996E-4</v>
          </cell>
          <cell r="C180">
            <v>-1.6393000000000001E-2</v>
          </cell>
          <cell r="D180">
            <v>-6.8196314365012167E-3</v>
          </cell>
        </row>
        <row r="181">
          <cell r="A181">
            <v>35507</v>
          </cell>
          <cell r="B181">
            <v>-7.2117060999999996E-3</v>
          </cell>
          <cell r="C181">
            <v>-1.2500000000000001E-2</v>
          </cell>
          <cell r="D181">
            <v>5.1272794176353553E-3</v>
          </cell>
        </row>
        <row r="182">
          <cell r="A182">
            <v>35508</v>
          </cell>
          <cell r="B182">
            <v>-4.2057027999999998E-3</v>
          </cell>
          <cell r="C182">
            <v>-8.4390000000000003E-3</v>
          </cell>
          <cell r="D182">
            <v>7.0662835354902143E-3</v>
          </cell>
        </row>
        <row r="183">
          <cell r="A183">
            <v>35509</v>
          </cell>
          <cell r="B183">
            <v>-3.857896E-3</v>
          </cell>
          <cell r="C183">
            <v>-8.5109999999999995E-3</v>
          </cell>
          <cell r="D183">
            <v>-7.9820981515140721E-3</v>
          </cell>
        </row>
        <row r="184">
          <cell r="A184">
            <v>35510</v>
          </cell>
          <cell r="B184">
            <v>2.3841310999999999E-3</v>
          </cell>
          <cell r="C184">
            <v>-4.2919999999999998E-3</v>
          </cell>
          <cell r="D184">
            <v>2.9264076746899903E-3</v>
          </cell>
        </row>
        <row r="185">
          <cell r="A185">
            <v>35513</v>
          </cell>
          <cell r="B185">
            <v>7.6284617999999998E-3</v>
          </cell>
          <cell r="C185">
            <v>1.7240999999999999E-2</v>
          </cell>
          <cell r="D185">
            <v>1.2493579999241611E-2</v>
          </cell>
        </row>
        <row r="186">
          <cell r="A186">
            <v>35514</v>
          </cell>
          <cell r="B186">
            <v>-1.2706810000000001E-3</v>
          </cell>
          <cell r="C186">
            <v>-1.6948999999999999E-2</v>
          </cell>
          <cell r="D186">
            <v>7.7229869933119755E-3</v>
          </cell>
        </row>
        <row r="187">
          <cell r="A187">
            <v>35515</v>
          </cell>
          <cell r="B187">
            <v>-3.1121499999999999E-4</v>
          </cell>
          <cell r="C187">
            <v>3.4483E-2</v>
          </cell>
          <cell r="D187">
            <v>2.6604549969255764E-3</v>
          </cell>
        </row>
        <row r="188">
          <cell r="A188">
            <v>35516</v>
          </cell>
          <cell r="B188">
            <v>-1.9366641E-2</v>
          </cell>
          <cell r="C188">
            <v>-8.3330000000000001E-3</v>
          </cell>
          <cell r="D188">
            <v>-2.8572439388858673E-3</v>
          </cell>
        </row>
        <row r="189">
          <cell r="A189">
            <v>35520</v>
          </cell>
          <cell r="B189">
            <v>-2.1865539E-2</v>
          </cell>
          <cell r="C189">
            <v>-2.1007999999999999E-2</v>
          </cell>
          <cell r="D189">
            <v>-2.2031381202030076E-3</v>
          </cell>
        </row>
        <row r="190">
          <cell r="A190">
            <v>35521</v>
          </cell>
          <cell r="B190">
            <v>3.1418869999999999E-3</v>
          </cell>
          <cell r="C190">
            <v>-2.1458999999999999E-2</v>
          </cell>
          <cell r="D190">
            <v>1.0428748736409643E-2</v>
          </cell>
        </row>
        <row r="191">
          <cell r="A191">
            <v>35522</v>
          </cell>
          <cell r="B191">
            <v>-1.095492E-2</v>
          </cell>
          <cell r="C191">
            <v>-2.1930000000000002E-2</v>
          </cell>
          <cell r="D191">
            <v>7.2628188585275311E-3</v>
          </cell>
        </row>
        <row r="192">
          <cell r="A192">
            <v>35523</v>
          </cell>
          <cell r="B192">
            <v>-2.4571509999999999E-3</v>
          </cell>
          <cell r="C192">
            <v>-1.3453E-2</v>
          </cell>
          <cell r="D192">
            <v>1.6337477041019621E-3</v>
          </cell>
        </row>
        <row r="193">
          <cell r="A193">
            <v>35524</v>
          </cell>
          <cell r="B193">
            <v>9.4104371999999999E-3</v>
          </cell>
          <cell r="C193">
            <v>4.5455000000000002E-2</v>
          </cell>
          <cell r="D193">
            <v>9.7665657897816338E-4</v>
          </cell>
        </row>
        <row r="194">
          <cell r="A194">
            <v>35527</v>
          </cell>
          <cell r="B194">
            <v>6.9683571000000001E-3</v>
          </cell>
          <cell r="C194">
            <v>8.6960000000000006E-3</v>
          </cell>
          <cell r="D194">
            <v>-1.7033329903989647E-2</v>
          </cell>
        </row>
        <row r="195">
          <cell r="A195">
            <v>35528</v>
          </cell>
          <cell r="B195">
            <v>4.0610302000000003E-3</v>
          </cell>
          <cell r="C195">
            <v>8.6210000000000002E-3</v>
          </cell>
          <cell r="D195">
            <v>-1.9285016129930721E-2</v>
          </cell>
        </row>
        <row r="196">
          <cell r="A196">
            <v>35529</v>
          </cell>
          <cell r="B196">
            <v>-5.2313589999999997E-3</v>
          </cell>
          <cell r="C196">
            <v>-1.7094000000000002E-2</v>
          </cell>
          <cell r="D196">
            <v>6.8800746359860554E-3</v>
          </cell>
        </row>
        <row r="197">
          <cell r="A197">
            <v>35530</v>
          </cell>
          <cell r="B197">
            <v>-2.4812928999999998E-3</v>
          </cell>
          <cell r="C197">
            <v>-4.3480000000000003E-3</v>
          </cell>
          <cell r="D197">
            <v>8.3323360971021554E-3</v>
          </cell>
        </row>
        <row r="198">
          <cell r="A198">
            <v>35531</v>
          </cell>
          <cell r="B198">
            <v>-2.4215810000000001E-2</v>
          </cell>
          <cell r="C198">
            <v>-4.3667999999999998E-2</v>
          </cell>
          <cell r="D198">
            <v>5.2727593315982091E-4</v>
          </cell>
        </row>
        <row r="199">
          <cell r="A199">
            <v>35534</v>
          </cell>
          <cell r="B199">
            <v>4.4989232000000002E-3</v>
          </cell>
          <cell r="C199">
            <v>-1.3698999999999999E-2</v>
          </cell>
          <cell r="D199">
            <v>1.0950036855973622E-2</v>
          </cell>
        </row>
        <row r="200">
          <cell r="A200">
            <v>35535</v>
          </cell>
          <cell r="B200">
            <v>1.515478E-2</v>
          </cell>
          <cell r="C200">
            <v>2.3147999999999998E-2</v>
          </cell>
          <cell r="D200">
            <v>1.2396978194660901E-2</v>
          </cell>
        </row>
        <row r="201">
          <cell r="A201">
            <v>35536</v>
          </cell>
          <cell r="B201">
            <v>1.02285E-2</v>
          </cell>
          <cell r="C201">
            <v>4.5250000000000004E-3</v>
          </cell>
          <cell r="D201">
            <v>-2.3592988660465775E-3</v>
          </cell>
        </row>
        <row r="202">
          <cell r="A202">
            <v>35537</v>
          </cell>
          <cell r="B202">
            <v>-2.2496609E-3</v>
          </cell>
          <cell r="C202">
            <v>-1.3514E-2</v>
          </cell>
          <cell r="D202">
            <v>4.6318423812750087E-3</v>
          </cell>
        </row>
        <row r="203">
          <cell r="A203">
            <v>35538</v>
          </cell>
          <cell r="B203">
            <v>4.3175671999999997E-3</v>
          </cell>
          <cell r="C203">
            <v>3.1962999999999998E-2</v>
          </cell>
          <cell r="D203">
            <v>1.3281375183981758E-2</v>
          </cell>
        </row>
        <row r="204">
          <cell r="A204">
            <v>35541</v>
          </cell>
          <cell r="B204">
            <v>-7.9635894000000002E-3</v>
          </cell>
          <cell r="C204">
            <v>-4.8673000000000001E-2</v>
          </cell>
          <cell r="D204">
            <v>9.8663349630501163E-3</v>
          </cell>
        </row>
        <row r="205">
          <cell r="A205">
            <v>35542</v>
          </cell>
          <cell r="B205">
            <v>1.499468E-2</v>
          </cell>
          <cell r="C205">
            <v>4.6509999999999998E-3</v>
          </cell>
          <cell r="D205">
            <v>6.2313241886766679E-3</v>
          </cell>
        </row>
        <row r="206">
          <cell r="A206">
            <v>35543</v>
          </cell>
          <cell r="B206">
            <v>-2.4727320000000001E-3</v>
          </cell>
          <cell r="C206">
            <v>0</v>
          </cell>
          <cell r="D206">
            <v>-2.1055299842293818E-2</v>
          </cell>
        </row>
        <row r="207">
          <cell r="A207">
            <v>35544</v>
          </cell>
          <cell r="B207">
            <v>-2.5843849999999998E-3</v>
          </cell>
          <cell r="C207">
            <v>-9.2589999999999999E-3</v>
          </cell>
          <cell r="D207">
            <v>-6.3472345362979299E-3</v>
          </cell>
        </row>
        <row r="208">
          <cell r="A208">
            <v>35545</v>
          </cell>
          <cell r="B208">
            <v>-7.7953058999999996E-3</v>
          </cell>
          <cell r="C208">
            <v>-1.8692E-2</v>
          </cell>
          <cell r="D208">
            <v>-2.6171257797114933E-2</v>
          </cell>
        </row>
        <row r="209">
          <cell r="A209">
            <v>35548</v>
          </cell>
          <cell r="B209">
            <v>8.1277238000000002E-3</v>
          </cell>
          <cell r="C209">
            <v>-9.5239999999999995E-3</v>
          </cell>
          <cell r="D209">
            <v>7.2165786541020793E-3</v>
          </cell>
        </row>
        <row r="210">
          <cell r="A210">
            <v>35549</v>
          </cell>
          <cell r="B210">
            <v>2.4144800000000001E-2</v>
          </cell>
          <cell r="C210">
            <v>9.6150000000000003E-3</v>
          </cell>
          <cell r="D210">
            <v>1.1777228114012495E-2</v>
          </cell>
        </row>
        <row r="211">
          <cell r="A211">
            <v>35550</v>
          </cell>
          <cell r="B211">
            <v>8.3571597999999997E-3</v>
          </cell>
          <cell r="C211">
            <v>1.9047999999999999E-2</v>
          </cell>
          <cell r="D211">
            <v>8.9877033991401234E-3</v>
          </cell>
        </row>
        <row r="212">
          <cell r="A212">
            <v>35551</v>
          </cell>
          <cell r="B212">
            <v>-2.0415810999999998E-3</v>
          </cell>
          <cell r="C212">
            <v>9.3460000000000001E-3</v>
          </cell>
          <cell r="D212">
            <v>2.1972628100914715E-3</v>
          </cell>
        </row>
        <row r="213">
          <cell r="A213">
            <v>35552</v>
          </cell>
          <cell r="B213">
            <v>1.737644E-2</v>
          </cell>
          <cell r="C213">
            <v>3.2406999999999998E-2</v>
          </cell>
          <cell r="D213">
            <v>4.1630166997286278E-3</v>
          </cell>
        </row>
        <row r="214">
          <cell r="A214">
            <v>35555</v>
          </cell>
          <cell r="B214">
            <v>1.9864419000000001E-2</v>
          </cell>
          <cell r="C214">
            <v>4.0358999999999999E-2</v>
          </cell>
          <cell r="D214">
            <v>-8.0427374767997328E-3</v>
          </cell>
        </row>
        <row r="215">
          <cell r="A215">
            <v>35556</v>
          </cell>
          <cell r="B215">
            <v>-1.5887169999999999E-3</v>
          </cell>
          <cell r="C215">
            <v>-2.5862E-2</v>
          </cell>
          <cell r="D215">
            <v>-4.6958117187396731E-3</v>
          </cell>
        </row>
        <row r="216">
          <cell r="A216">
            <v>35557</v>
          </cell>
          <cell r="B216">
            <v>-1.2587599999999999E-2</v>
          </cell>
          <cell r="C216">
            <v>-2.6549E-2</v>
          </cell>
          <cell r="D216">
            <v>-1.220106560393619E-2</v>
          </cell>
        </row>
        <row r="217">
          <cell r="A217">
            <v>35558</v>
          </cell>
          <cell r="B217">
            <v>4.2094658000000002E-3</v>
          </cell>
          <cell r="C217">
            <v>-2.2727000000000001E-2</v>
          </cell>
          <cell r="D217">
            <v>1.7854685449413044E-2</v>
          </cell>
        </row>
        <row r="218">
          <cell r="A218">
            <v>35559</v>
          </cell>
          <cell r="B218">
            <v>5.8597429000000001E-3</v>
          </cell>
          <cell r="C218">
            <v>1.3953E-2</v>
          </cell>
          <cell r="D218">
            <v>-1.0712195282808756E-2</v>
          </cell>
        </row>
        <row r="219">
          <cell r="A219">
            <v>35562</v>
          </cell>
          <cell r="B219">
            <v>1.3978239999999999E-2</v>
          </cell>
          <cell r="C219">
            <v>3.211E-2</v>
          </cell>
          <cell r="D219">
            <v>6.9149078012293863E-3</v>
          </cell>
        </row>
        <row r="220">
          <cell r="A220">
            <v>35563</v>
          </cell>
          <cell r="B220">
            <v>-3.5391558999999999E-3</v>
          </cell>
          <cell r="C220">
            <v>-4.444E-3</v>
          </cell>
          <cell r="D220">
            <v>3.7937158718674979E-3</v>
          </cell>
        </row>
        <row r="221">
          <cell r="A221">
            <v>35564</v>
          </cell>
          <cell r="B221">
            <v>3.9497068999999997E-3</v>
          </cell>
          <cell r="C221">
            <v>8.9289999999999994E-3</v>
          </cell>
          <cell r="D221">
            <v>5.4415128065254947E-5</v>
          </cell>
        </row>
        <row r="222">
          <cell r="A222">
            <v>35565</v>
          </cell>
          <cell r="B222">
            <v>4.3190479999999998E-3</v>
          </cell>
          <cell r="C222">
            <v>2.2124000000000001E-2</v>
          </cell>
          <cell r="D222">
            <v>-1.0950036439663413E-2</v>
          </cell>
        </row>
        <row r="223">
          <cell r="A223">
            <v>35566</v>
          </cell>
          <cell r="B223">
            <v>-1.0602469999999999E-2</v>
          </cell>
          <cell r="C223">
            <v>-1.2987E-2</v>
          </cell>
          <cell r="D223">
            <v>-9.5441958785745795E-3</v>
          </cell>
        </row>
        <row r="224">
          <cell r="A224">
            <v>35569</v>
          </cell>
          <cell r="B224">
            <v>3.3618418999999998E-3</v>
          </cell>
          <cell r="C224">
            <v>1.7544000000000001E-2</v>
          </cell>
          <cell r="D224">
            <v>8.7996283554054866E-3</v>
          </cell>
        </row>
        <row r="225">
          <cell r="A225">
            <v>35570</v>
          </cell>
          <cell r="B225">
            <v>7.2745498999999998E-3</v>
          </cell>
          <cell r="C225">
            <v>-2.5862E-2</v>
          </cell>
          <cell r="D225">
            <v>-9.6021650337702047E-3</v>
          </cell>
        </row>
        <row r="226">
          <cell r="A226">
            <v>35571</v>
          </cell>
          <cell r="B226">
            <v>-2.2778759999999999E-3</v>
          </cell>
          <cell r="C226">
            <v>-8.6730000000000002E-3</v>
          </cell>
          <cell r="D226">
            <v>-7.7444157489442444E-3</v>
          </cell>
        </row>
        <row r="227">
          <cell r="A227">
            <v>35572</v>
          </cell>
          <cell r="B227">
            <v>-2.4253339999999999E-3</v>
          </cell>
          <cell r="C227">
            <v>1.7937000000000002E-2</v>
          </cell>
          <cell r="D227">
            <v>-8.7386585895902202E-3</v>
          </cell>
        </row>
        <row r="228">
          <cell r="A228">
            <v>35573</v>
          </cell>
          <cell r="B228">
            <v>1.249363E-2</v>
          </cell>
          <cell r="C228">
            <v>1.7621000000000001E-2</v>
          </cell>
          <cell r="D228">
            <v>-1.630055922376672E-2</v>
          </cell>
        </row>
        <row r="229">
          <cell r="A229">
            <v>35577</v>
          </cell>
          <cell r="B229">
            <v>6.1068177000000003E-4</v>
          </cell>
          <cell r="C229">
            <v>3.0303E-2</v>
          </cell>
          <cell r="D229">
            <v>-1.5653076290900181E-3</v>
          </cell>
        </row>
        <row r="230">
          <cell r="A230">
            <v>35578</v>
          </cell>
          <cell r="B230">
            <v>-1.4302900999999999E-3</v>
          </cell>
          <cell r="C230">
            <v>-4.202E-3</v>
          </cell>
          <cell r="D230">
            <v>8.654951179657866E-3</v>
          </cell>
        </row>
        <row r="231">
          <cell r="A231">
            <v>35579</v>
          </cell>
          <cell r="B231">
            <v>-1.7910199999999999E-3</v>
          </cell>
          <cell r="C231">
            <v>-1.6878000000000001E-2</v>
          </cell>
          <cell r="D231">
            <v>-1.0494612650244206E-2</v>
          </cell>
        </row>
        <row r="232">
          <cell r="A232">
            <v>35580</v>
          </cell>
          <cell r="B232">
            <v>6.9096870999999999E-3</v>
          </cell>
          <cell r="C232">
            <v>1.7167000000000002E-2</v>
          </cell>
          <cell r="D232">
            <v>-2.0687654851639481E-2</v>
          </cell>
        </row>
        <row r="233">
          <cell r="A233">
            <v>35583</v>
          </cell>
          <cell r="B233">
            <v>-6.2227580999999995E-4</v>
          </cell>
          <cell r="C233">
            <v>3.3755E-2</v>
          </cell>
          <cell r="D233">
            <v>9.8950546137075435E-3</v>
          </cell>
        </row>
        <row r="234">
          <cell r="A234">
            <v>35584</v>
          </cell>
          <cell r="B234">
            <v>1.5085560000000001E-3</v>
          </cell>
          <cell r="C234">
            <v>2.8570999999999999E-2</v>
          </cell>
          <cell r="D234">
            <v>-1.1563032217487557E-2</v>
          </cell>
        </row>
        <row r="235">
          <cell r="A235">
            <v>35585</v>
          </cell>
          <cell r="B235">
            <v>-4.1967671999999998E-3</v>
          </cell>
          <cell r="C235">
            <v>7.9369999999999996E-3</v>
          </cell>
          <cell r="D235">
            <v>1.7623413043827973E-2</v>
          </cell>
        </row>
        <row r="236">
          <cell r="A236">
            <v>35586</v>
          </cell>
          <cell r="B236">
            <v>3.6964910000000001E-3</v>
          </cell>
          <cell r="C236">
            <v>3.9370000000000004E-3</v>
          </cell>
          <cell r="D236">
            <v>8.0127445142910148E-3</v>
          </cell>
        </row>
        <row r="237">
          <cell r="A237">
            <v>35587</v>
          </cell>
          <cell r="B237">
            <v>1.412473E-2</v>
          </cell>
          <cell r="C237">
            <v>7.8429999999999993E-3</v>
          </cell>
          <cell r="D237">
            <v>2.9534504839652254E-3</v>
          </cell>
        </row>
        <row r="238">
          <cell r="A238">
            <v>35590</v>
          </cell>
          <cell r="B238">
            <v>4.5559121999999997E-3</v>
          </cell>
          <cell r="C238">
            <v>-1.1672999999999999E-2</v>
          </cell>
          <cell r="D238">
            <v>9.4214732453092864E-3</v>
          </cell>
        </row>
        <row r="239">
          <cell r="A239">
            <v>35591</v>
          </cell>
          <cell r="B239">
            <v>3.5323099999999999E-3</v>
          </cell>
          <cell r="C239">
            <v>-7.8740000000000008E-3</v>
          </cell>
          <cell r="D239">
            <v>-1.7653345908853924E-2</v>
          </cell>
        </row>
        <row r="240">
          <cell r="A240">
            <v>35592</v>
          </cell>
          <cell r="B240">
            <v>3.9426888999999996E-3</v>
          </cell>
          <cell r="C240">
            <v>2.3810000000000001E-2</v>
          </cell>
          <cell r="D240">
            <v>-1.4079324977311125E-2</v>
          </cell>
        </row>
        <row r="241">
          <cell r="A241">
            <v>35593</v>
          </cell>
          <cell r="B241">
            <v>1.486023E-2</v>
          </cell>
          <cell r="C241">
            <v>0</v>
          </cell>
          <cell r="D241">
            <v>-2.5518454676310975E-3</v>
          </cell>
        </row>
        <row r="242">
          <cell r="A242">
            <v>35594</v>
          </cell>
          <cell r="B242">
            <v>8.6417878E-3</v>
          </cell>
          <cell r="C242">
            <v>1.1627999999999999E-2</v>
          </cell>
          <cell r="D242">
            <v>-1.6757706300085107E-2</v>
          </cell>
        </row>
        <row r="243">
          <cell r="A243">
            <v>35597</v>
          </cell>
          <cell r="B243">
            <v>1.0896580000000001E-3</v>
          </cell>
          <cell r="C243">
            <v>-7.6629999999999997E-3</v>
          </cell>
          <cell r="D243">
            <v>2.5235192647783622E-2</v>
          </cell>
        </row>
        <row r="244">
          <cell r="A244">
            <v>35598</v>
          </cell>
          <cell r="B244">
            <v>8.9336760999999995E-5</v>
          </cell>
          <cell r="C244">
            <v>-7.7219999999999997E-3</v>
          </cell>
          <cell r="D244">
            <v>1.3244611754725355E-2</v>
          </cell>
        </row>
        <row r="245">
          <cell r="A245">
            <v>35599</v>
          </cell>
          <cell r="B245">
            <v>-3.0029439E-3</v>
          </cell>
          <cell r="C245">
            <v>-7.7819999999999999E-3</v>
          </cell>
          <cell r="D245">
            <v>-6.8200568977627718E-4</v>
          </cell>
        </row>
        <row r="246">
          <cell r="A246">
            <v>35600</v>
          </cell>
          <cell r="B246">
            <v>9.1904634999999991E-3</v>
          </cell>
          <cell r="C246">
            <v>-3.9220000000000001E-3</v>
          </cell>
          <cell r="D246">
            <v>5.3463148303944941E-3</v>
          </cell>
        </row>
        <row r="247">
          <cell r="A247">
            <v>35601</v>
          </cell>
          <cell r="B247">
            <v>-1.7003809999999999E-4</v>
          </cell>
          <cell r="C247">
            <v>1.1811E-2</v>
          </cell>
          <cell r="D247">
            <v>1.5033482007218879E-2</v>
          </cell>
        </row>
        <row r="248">
          <cell r="A248">
            <v>35604</v>
          </cell>
          <cell r="B248">
            <v>-1.9374240000000001E-2</v>
          </cell>
          <cell r="C248">
            <v>-1.1672999999999999E-2</v>
          </cell>
          <cell r="D248">
            <v>2.3874521072796862E-2</v>
          </cell>
        </row>
        <row r="249">
          <cell r="A249">
            <v>35605</v>
          </cell>
          <cell r="B249">
            <v>1.623177E-2</v>
          </cell>
          <cell r="C249">
            <v>1.5748000000000002E-2</v>
          </cell>
          <cell r="D249">
            <v>1.9393649828432391E-2</v>
          </cell>
        </row>
        <row r="250">
          <cell r="A250">
            <v>35606</v>
          </cell>
          <cell r="B250">
            <v>-6.9952429999999999E-3</v>
          </cell>
          <cell r="C250">
            <v>-7.7520000000000002E-3</v>
          </cell>
          <cell r="D250">
            <v>-8.8871481316995515E-3</v>
          </cell>
        </row>
        <row r="251">
          <cell r="A251">
            <v>35607</v>
          </cell>
          <cell r="B251">
            <v>-4.1201598999999998E-3</v>
          </cell>
          <cell r="C251">
            <v>-7.8130000000000005E-3</v>
          </cell>
          <cell r="D251">
            <v>2.8506045133469549E-3</v>
          </cell>
        </row>
        <row r="252">
          <cell r="A252">
            <v>35608</v>
          </cell>
          <cell r="B252">
            <v>4.8674080000000002E-3</v>
          </cell>
          <cell r="C252">
            <v>7.8740000000000008E-3</v>
          </cell>
          <cell r="D252">
            <v>1.2293325067435301E-2</v>
          </cell>
        </row>
        <row r="253">
          <cell r="A253">
            <v>35611</v>
          </cell>
          <cell r="B253">
            <v>-1.2396729999999999E-3</v>
          </cell>
          <cell r="C253">
            <v>-5.8589999999999996E-3</v>
          </cell>
          <cell r="D253">
            <v>1.967542070870465E-3</v>
          </cell>
        </row>
        <row r="254">
          <cell r="A254">
            <v>35612</v>
          </cell>
          <cell r="B254">
            <v>7.4306750000000003E-3</v>
          </cell>
          <cell r="C254">
            <v>-3.9290000000000002E-3</v>
          </cell>
          <cell r="D254">
            <v>9.667215022790332E-3</v>
          </cell>
        </row>
        <row r="255">
          <cell r="A255">
            <v>35613</v>
          </cell>
          <cell r="B255">
            <v>1.179935E-2</v>
          </cell>
          <cell r="C255">
            <v>1.3807E-2</v>
          </cell>
          <cell r="D255">
            <v>-1.1648331479153007E-2</v>
          </cell>
        </row>
        <row r="256">
          <cell r="A256">
            <v>35614</v>
          </cell>
          <cell r="B256">
            <v>1.264557E-2</v>
          </cell>
          <cell r="C256">
            <v>-1.946E-3</v>
          </cell>
          <cell r="D256">
            <v>9.0733754259761934E-3</v>
          </cell>
        </row>
        <row r="257">
          <cell r="A257">
            <v>35618</v>
          </cell>
          <cell r="B257">
            <v>-4.4814301999999999E-3</v>
          </cell>
          <cell r="C257">
            <v>-2.1441999999999999E-2</v>
          </cell>
          <cell r="D257">
            <v>-1.0412395432105592E-3</v>
          </cell>
        </row>
        <row r="258">
          <cell r="A258">
            <v>35619</v>
          </cell>
          <cell r="B258">
            <v>6.4060879000000003E-3</v>
          </cell>
          <cell r="C258">
            <v>0</v>
          </cell>
          <cell r="D258">
            <v>1.4990085793839647E-2</v>
          </cell>
        </row>
        <row r="259">
          <cell r="A259">
            <v>35620</v>
          </cell>
          <cell r="B259">
            <v>-1.0605760000000001E-2</v>
          </cell>
          <cell r="C259">
            <v>5.9760000000000004E-3</v>
          </cell>
          <cell r="D259">
            <v>2.2608404913346813E-3</v>
          </cell>
        </row>
        <row r="260">
          <cell r="A260">
            <v>35621</v>
          </cell>
          <cell r="B260">
            <v>6.6031581000000001E-3</v>
          </cell>
          <cell r="C260">
            <v>-1.1880999999999999E-2</v>
          </cell>
          <cell r="D260">
            <v>1.6266749271252046E-3</v>
          </cell>
        </row>
        <row r="261">
          <cell r="A261">
            <v>35622</v>
          </cell>
          <cell r="B261">
            <v>3.989439E-3</v>
          </cell>
          <cell r="C261">
            <v>8.0160000000000006E-3</v>
          </cell>
          <cell r="D261">
            <v>1.2820980478296828E-2</v>
          </cell>
        </row>
        <row r="262">
          <cell r="A262">
            <v>35625</v>
          </cell>
          <cell r="B262">
            <v>-2.6030949999999999E-5</v>
          </cell>
          <cell r="C262">
            <v>1.9880000000000002E-3</v>
          </cell>
          <cell r="D262">
            <v>1.3513661638582253E-3</v>
          </cell>
        </row>
        <row r="263">
          <cell r="A263">
            <v>35626</v>
          </cell>
          <cell r="B263">
            <v>6.3862950000000002E-3</v>
          </cell>
          <cell r="C263">
            <v>-9.9209999999999993E-3</v>
          </cell>
          <cell r="D263">
            <v>1.5839531116101258E-2</v>
          </cell>
        </row>
        <row r="264">
          <cell r="A264">
            <v>35627</v>
          </cell>
          <cell r="B264">
            <v>8.6658307999999996E-3</v>
          </cell>
          <cell r="C264">
            <v>-8.0160000000000006E-3</v>
          </cell>
          <cell r="D264">
            <v>3.7468923422694367E-3</v>
          </cell>
        </row>
        <row r="265">
          <cell r="A265">
            <v>35628</v>
          </cell>
          <cell r="B265">
            <v>-4.6492269999999997E-3</v>
          </cell>
          <cell r="C265">
            <v>2.0200000000000001E-3</v>
          </cell>
          <cell r="D265">
            <v>4.9705615768382838E-3</v>
          </cell>
        </row>
        <row r="266">
          <cell r="A266">
            <v>35629</v>
          </cell>
          <cell r="B266">
            <v>-1.36218E-2</v>
          </cell>
          <cell r="C266">
            <v>-2.4194E-2</v>
          </cell>
          <cell r="D266">
            <v>2.5653155902820579E-3</v>
          </cell>
        </row>
        <row r="267">
          <cell r="A267">
            <v>35632</v>
          </cell>
          <cell r="B267">
            <v>-3.5039048999999998E-3</v>
          </cell>
          <cell r="C267">
            <v>1.2397E-2</v>
          </cell>
          <cell r="D267">
            <v>-1.7720991048174928E-2</v>
          </cell>
        </row>
        <row r="268">
          <cell r="A268">
            <v>35633</v>
          </cell>
          <cell r="B268">
            <v>1.9638619999999999E-2</v>
          </cell>
          <cell r="C268">
            <v>8.1630000000000001E-3</v>
          </cell>
          <cell r="D268">
            <v>-5.0083757025595199E-3</v>
          </cell>
        </row>
        <row r="269">
          <cell r="A269">
            <v>35634</v>
          </cell>
          <cell r="B269">
            <v>3.3635660000000001E-3</v>
          </cell>
          <cell r="C269">
            <v>3.2389000000000001E-2</v>
          </cell>
          <cell r="D269">
            <v>-1.8715532318828942E-2</v>
          </cell>
        </row>
        <row r="270">
          <cell r="A270">
            <v>35635</v>
          </cell>
          <cell r="B270">
            <v>3.8244261000000002E-3</v>
          </cell>
          <cell r="C270">
            <v>3.9220000000000001E-3</v>
          </cell>
          <cell r="D270">
            <v>-1.8236069008205069E-3</v>
          </cell>
        </row>
        <row r="271">
          <cell r="A271">
            <v>35636</v>
          </cell>
          <cell r="B271">
            <v>-1.218804E-3</v>
          </cell>
          <cell r="C271">
            <v>-1.9530000000000001E-3</v>
          </cell>
          <cell r="D271">
            <v>1.9923010998199597E-3</v>
          </cell>
        </row>
        <row r="272">
          <cell r="A272">
            <v>35639</v>
          </cell>
          <cell r="B272">
            <v>-1.6235659999999999E-3</v>
          </cell>
          <cell r="C272">
            <v>-1.957E-3</v>
          </cell>
          <cell r="D272">
            <v>-1.9439075556909713E-2</v>
          </cell>
        </row>
        <row r="273">
          <cell r="A273">
            <v>35640</v>
          </cell>
          <cell r="B273">
            <v>5.1712640999999997E-3</v>
          </cell>
          <cell r="C273">
            <v>1.9610000000000001E-3</v>
          </cell>
          <cell r="D273">
            <v>-9.3328629410736053E-3</v>
          </cell>
        </row>
        <row r="274">
          <cell r="A274">
            <v>35641</v>
          </cell>
          <cell r="B274">
            <v>1.099374E-2</v>
          </cell>
          <cell r="C274">
            <v>-7.8279999999999999E-3</v>
          </cell>
          <cell r="D274">
            <v>2.1943717052978151E-2</v>
          </cell>
        </row>
        <row r="275">
          <cell r="A275">
            <v>35642</v>
          </cell>
          <cell r="B275">
            <v>1.8595E-3</v>
          </cell>
          <cell r="C275">
            <v>7.8899999999999994E-3</v>
          </cell>
          <cell r="D275">
            <v>-2.6031426333541274E-2</v>
          </cell>
        </row>
        <row r="276">
          <cell r="A276">
            <v>35643</v>
          </cell>
          <cell r="B276">
            <v>-6.4556151999999997E-3</v>
          </cell>
          <cell r="C276">
            <v>-3.9139999999999999E-3</v>
          </cell>
          <cell r="D276">
            <v>-1.2453533123804927E-2</v>
          </cell>
        </row>
        <row r="277">
          <cell r="A277">
            <v>35646</v>
          </cell>
          <cell r="B277">
            <v>2.3991701E-3</v>
          </cell>
          <cell r="C277">
            <v>7.8589999999999997E-3</v>
          </cell>
          <cell r="D277">
            <v>-3.6301118299798651E-2</v>
          </cell>
        </row>
        <row r="278">
          <cell r="A278">
            <v>35647</v>
          </cell>
          <cell r="B278">
            <v>2.1630299999999998E-3</v>
          </cell>
          <cell r="C278">
            <v>9.7470000000000005E-3</v>
          </cell>
          <cell r="D278">
            <v>2.1332220447889405E-3</v>
          </cell>
        </row>
        <row r="279">
          <cell r="A279">
            <v>35648</v>
          </cell>
          <cell r="B279">
            <v>7.7893650000000004E-3</v>
          </cell>
          <cell r="C279">
            <v>9.6530000000000001E-3</v>
          </cell>
          <cell r="D279">
            <v>2.5783370130663563E-2</v>
          </cell>
        </row>
        <row r="280">
          <cell r="A280">
            <v>35649</v>
          </cell>
          <cell r="B280">
            <v>-7.8556547000000008E-3</v>
          </cell>
          <cell r="C280">
            <v>5.7359999999999998E-3</v>
          </cell>
          <cell r="D280">
            <v>9.9782920143467457E-3</v>
          </cell>
        </row>
        <row r="281">
          <cell r="A281">
            <v>35650</v>
          </cell>
          <cell r="B281">
            <v>-1.7642541000000001E-2</v>
          </cell>
          <cell r="C281">
            <v>-1.9011E-2</v>
          </cell>
          <cell r="D281">
            <v>-3.2472817511071117E-3</v>
          </cell>
        </row>
        <row r="282">
          <cell r="A282">
            <v>35653</v>
          </cell>
          <cell r="B282">
            <v>3.1828199999999998E-3</v>
          </cell>
          <cell r="C282">
            <v>0</v>
          </cell>
          <cell r="D282">
            <v>-2.6186203000564845E-2</v>
          </cell>
        </row>
        <row r="283">
          <cell r="A283">
            <v>35654</v>
          </cell>
          <cell r="B283">
            <v>-9.3159508000000002E-3</v>
          </cell>
          <cell r="C283">
            <v>-1.7441999999999999E-2</v>
          </cell>
          <cell r="D283">
            <v>1.9403702772030851E-2</v>
          </cell>
        </row>
        <row r="284">
          <cell r="A284">
            <v>35655</v>
          </cell>
          <cell r="B284">
            <v>-3.9237020999999999E-3</v>
          </cell>
          <cell r="C284">
            <v>-2.1696E-2</v>
          </cell>
          <cell r="D284">
            <v>-1.2690696175332916E-2</v>
          </cell>
        </row>
        <row r="285">
          <cell r="A285">
            <v>35656</v>
          </cell>
          <cell r="B285">
            <v>2.6402811E-3</v>
          </cell>
          <cell r="C285">
            <v>1.8145000000000001E-2</v>
          </cell>
          <cell r="D285">
            <v>-7.535467022130371E-3</v>
          </cell>
        </row>
        <row r="286">
          <cell r="A286">
            <v>35657</v>
          </cell>
          <cell r="B286">
            <v>-2.0806450000000001E-2</v>
          </cell>
          <cell r="C286">
            <v>-2.3761999999999998E-2</v>
          </cell>
          <cell r="D286">
            <v>1.6865963133009032E-2</v>
          </cell>
        </row>
        <row r="287">
          <cell r="A287">
            <v>35660</v>
          </cell>
          <cell r="B287">
            <v>8.4988074000000007E-3</v>
          </cell>
          <cell r="C287">
            <v>0</v>
          </cell>
          <cell r="D287">
            <v>2.170276212377753E-2</v>
          </cell>
        </row>
        <row r="288">
          <cell r="A288">
            <v>35661</v>
          </cell>
          <cell r="B288">
            <v>1.2582080000000001E-2</v>
          </cell>
          <cell r="C288">
            <v>2.8398E-2</v>
          </cell>
          <cell r="D288">
            <v>-6.6568059533644863E-3</v>
          </cell>
        </row>
        <row r="289">
          <cell r="A289">
            <v>35662</v>
          </cell>
          <cell r="B289">
            <v>1.2638989999999999E-2</v>
          </cell>
          <cell r="C289">
            <v>1.7909000000000001E-2</v>
          </cell>
          <cell r="D289">
            <v>-5.0297969821218036E-3</v>
          </cell>
        </row>
        <row r="290">
          <cell r="A290">
            <v>35663</v>
          </cell>
          <cell r="B290">
            <v>-1.1462129999999999E-2</v>
          </cell>
          <cell r="C290">
            <v>-1.946E-3</v>
          </cell>
          <cell r="D290">
            <v>-1.8884513997797669E-2</v>
          </cell>
        </row>
        <row r="291">
          <cell r="A291">
            <v>35664</v>
          </cell>
          <cell r="B291">
            <v>-2.0446169999999999E-3</v>
          </cell>
          <cell r="C291">
            <v>5.8479999999999999E-3</v>
          </cell>
          <cell r="D291">
            <v>-4.5318427850172815E-3</v>
          </cell>
        </row>
        <row r="292">
          <cell r="A292">
            <v>35667</v>
          </cell>
          <cell r="B292">
            <v>-1.2791040000000001E-3</v>
          </cell>
          <cell r="C292">
            <v>1.9380000000000001E-3</v>
          </cell>
          <cell r="D292">
            <v>5.1486515111138775E-3</v>
          </cell>
        </row>
        <row r="293">
          <cell r="A293">
            <v>35668</v>
          </cell>
          <cell r="B293">
            <v>-5.5650639999999998E-3</v>
          </cell>
          <cell r="C293">
            <v>-5.803E-3</v>
          </cell>
          <cell r="D293">
            <v>-1.6841997926615782E-2</v>
          </cell>
        </row>
        <row r="294">
          <cell r="A294">
            <v>35669</v>
          </cell>
          <cell r="B294">
            <v>1.7053280000000001E-3</v>
          </cell>
          <cell r="C294">
            <v>9.7280000000000005E-3</v>
          </cell>
          <cell r="D294">
            <v>-4.7327571305099458E-2</v>
          </cell>
        </row>
        <row r="295">
          <cell r="A295">
            <v>35670</v>
          </cell>
          <cell r="B295">
            <v>-7.411506E-3</v>
          </cell>
          <cell r="C295">
            <v>0</v>
          </cell>
          <cell r="D295">
            <v>-3.1007709740692002E-2</v>
          </cell>
        </row>
        <row r="296">
          <cell r="A296">
            <v>35671</v>
          </cell>
          <cell r="B296">
            <v>-3.3158951000000002E-3</v>
          </cell>
          <cell r="C296">
            <v>-1.9269999999999999E-3</v>
          </cell>
          <cell r="D296">
            <v>-9.2056281271534424E-2</v>
          </cell>
        </row>
        <row r="297">
          <cell r="A297">
            <v>35675</v>
          </cell>
          <cell r="B297">
            <v>2.5129011E-2</v>
          </cell>
          <cell r="C297">
            <v>1.931E-3</v>
          </cell>
          <cell r="D297">
            <v>5.462896316752297E-2</v>
          </cell>
        </row>
        <row r="298">
          <cell r="A298">
            <v>35676</v>
          </cell>
          <cell r="B298">
            <v>2.2342131000000001E-3</v>
          </cell>
          <cell r="C298">
            <v>0</v>
          </cell>
          <cell r="D298">
            <v>1.007120242334647E-2</v>
          </cell>
        </row>
        <row r="299">
          <cell r="A299">
            <v>35677</v>
          </cell>
          <cell r="B299">
            <v>2.6205428999999999E-3</v>
          </cell>
          <cell r="C299">
            <v>2.3120999999999999E-2</v>
          </cell>
          <cell r="D299">
            <v>-1.3260175524530959E-2</v>
          </cell>
        </row>
        <row r="300">
          <cell r="A300">
            <v>35678</v>
          </cell>
          <cell r="B300">
            <v>-7.9277682E-4</v>
          </cell>
          <cell r="C300">
            <v>-7.5329999999999998E-3</v>
          </cell>
          <cell r="D300">
            <v>-2.1877329984696381E-3</v>
          </cell>
        </row>
        <row r="301">
          <cell r="A301">
            <v>35681</v>
          </cell>
          <cell r="B301">
            <v>2.6292099999999999E-3</v>
          </cell>
          <cell r="C301">
            <v>2.0872999999999999E-2</v>
          </cell>
          <cell r="D301">
            <v>6.3353292235692082E-2</v>
          </cell>
        </row>
        <row r="302">
          <cell r="A302">
            <v>35682</v>
          </cell>
          <cell r="B302">
            <v>2.0929640000000001E-3</v>
          </cell>
          <cell r="C302">
            <v>2.2304999999999998E-2</v>
          </cell>
          <cell r="D302">
            <v>-2.2804814678519025E-2</v>
          </cell>
        </row>
        <row r="303">
          <cell r="A303">
            <v>35683</v>
          </cell>
          <cell r="B303">
            <v>-1.179666E-2</v>
          </cell>
          <cell r="C303">
            <v>-1.0909E-2</v>
          </cell>
          <cell r="D303">
            <v>-2.3556528666940579E-2</v>
          </cell>
        </row>
        <row r="304">
          <cell r="A304">
            <v>35684</v>
          </cell>
          <cell r="B304">
            <v>-7.5150900999999999E-3</v>
          </cell>
          <cell r="C304">
            <v>-2.2058999999999999E-2</v>
          </cell>
          <cell r="D304">
            <v>3.696245806547882E-2</v>
          </cell>
        </row>
        <row r="305">
          <cell r="A305">
            <v>35685</v>
          </cell>
          <cell r="B305">
            <v>1.313084E-2</v>
          </cell>
          <cell r="C305">
            <v>2.8195000000000001E-2</v>
          </cell>
          <cell r="D305">
            <v>1.3944360860098426E-2</v>
          </cell>
        </row>
        <row r="306">
          <cell r="A306">
            <v>35688</v>
          </cell>
          <cell r="B306">
            <v>-1.0603909999999999E-3</v>
          </cell>
          <cell r="C306">
            <v>-1.2796999999999999E-2</v>
          </cell>
          <cell r="D306">
            <v>7.0431102492829467E-3</v>
          </cell>
        </row>
        <row r="307">
          <cell r="A307">
            <v>35689</v>
          </cell>
          <cell r="B307">
            <v>2.2138329000000002E-2</v>
          </cell>
          <cell r="C307">
            <v>2.2221999999999999E-2</v>
          </cell>
          <cell r="D307">
            <v>6.6662151748830833E-3</v>
          </cell>
        </row>
        <row r="308">
          <cell r="A308">
            <v>35690</v>
          </cell>
          <cell r="B308">
            <v>-3.1149769E-4</v>
          </cell>
          <cell r="C308">
            <v>-1.9928000000000001E-2</v>
          </cell>
          <cell r="D308">
            <v>-2.6175544884441182E-2</v>
          </cell>
        </row>
        <row r="309">
          <cell r="A309">
            <v>35691</v>
          </cell>
          <cell r="B309">
            <v>4.2706742000000004E-3</v>
          </cell>
          <cell r="C309">
            <v>1.6636000000000001E-2</v>
          </cell>
          <cell r="D309">
            <v>9.5073966126630882E-3</v>
          </cell>
        </row>
        <row r="310">
          <cell r="A310">
            <v>35692</v>
          </cell>
          <cell r="B310">
            <v>2.3049321E-3</v>
          </cell>
          <cell r="C310">
            <v>1.818E-3</v>
          </cell>
          <cell r="D310">
            <v>1.2351227632126482E-2</v>
          </cell>
        </row>
        <row r="311">
          <cell r="A311">
            <v>35695</v>
          </cell>
          <cell r="B311">
            <v>5.2420972000000003E-3</v>
          </cell>
          <cell r="C311">
            <v>5.4450000000000002E-3</v>
          </cell>
          <cell r="D311">
            <v>1.1323588251092254E-2</v>
          </cell>
        </row>
        <row r="312">
          <cell r="A312">
            <v>35696</v>
          </cell>
          <cell r="B312">
            <v>-4.0964707999999999E-3</v>
          </cell>
          <cell r="C312">
            <v>-1.0829999999999999E-2</v>
          </cell>
          <cell r="D312">
            <v>3.9452552700654397E-2</v>
          </cell>
        </row>
        <row r="313">
          <cell r="A313">
            <v>35697</v>
          </cell>
          <cell r="B313">
            <v>-5.2890339999999997E-3</v>
          </cell>
          <cell r="C313">
            <v>1.8248E-2</v>
          </cell>
          <cell r="D313">
            <v>-2.3271172595978329E-2</v>
          </cell>
        </row>
        <row r="314">
          <cell r="A314">
            <v>35698</v>
          </cell>
          <cell r="B314">
            <v>-5.6739282E-3</v>
          </cell>
          <cell r="C314">
            <v>0</v>
          </cell>
          <cell r="D314">
            <v>1.5411032028469718E-2</v>
          </cell>
        </row>
        <row r="315">
          <cell r="A315">
            <v>35699</v>
          </cell>
          <cell r="B315">
            <v>7.3064169999999999E-3</v>
          </cell>
          <cell r="C315">
            <v>-1.4337000000000001E-2</v>
          </cell>
          <cell r="D315">
            <v>-3.9235202686006554E-3</v>
          </cell>
        </row>
        <row r="316">
          <cell r="A316">
            <v>35702</v>
          </cell>
          <cell r="B316">
            <v>7.3374900999999999E-3</v>
          </cell>
          <cell r="C316">
            <v>0.02</v>
          </cell>
          <cell r="D316">
            <v>-3.0786985725393956E-3</v>
          </cell>
        </row>
        <row r="317">
          <cell r="A317">
            <v>35703</v>
          </cell>
          <cell r="B317">
            <v>-2.8287130000000001E-3</v>
          </cell>
          <cell r="C317">
            <v>3.2086000000000003E-2</v>
          </cell>
          <cell r="D317">
            <v>-2.2012733997797795E-2</v>
          </cell>
        </row>
        <row r="318">
          <cell r="A318">
            <v>35704</v>
          </cell>
          <cell r="B318">
            <v>7.2276507999999998E-3</v>
          </cell>
          <cell r="C318">
            <v>8.6359999999999996E-3</v>
          </cell>
          <cell r="D318">
            <v>-5.2611160632120568E-2</v>
          </cell>
        </row>
        <row r="319">
          <cell r="A319">
            <v>35705</v>
          </cell>
          <cell r="B319">
            <v>4.9733720000000002E-3</v>
          </cell>
          <cell r="C319">
            <v>-1.7122999999999999E-2</v>
          </cell>
          <cell r="D319">
            <v>6.8756535203906566E-4</v>
          </cell>
        </row>
        <row r="320">
          <cell r="A320">
            <v>35706</v>
          </cell>
          <cell r="B320">
            <v>4.5131338000000002E-3</v>
          </cell>
          <cell r="C320">
            <v>5.2259999999999997E-3</v>
          </cell>
          <cell r="D320">
            <v>-5.1813658874538149E-2</v>
          </cell>
        </row>
        <row r="321">
          <cell r="A321">
            <v>35709</v>
          </cell>
          <cell r="B321">
            <v>7.7950959E-3</v>
          </cell>
          <cell r="C321">
            <v>1.7330999999999999E-2</v>
          </cell>
          <cell r="D321">
            <v>-1.7206666680048666E-2</v>
          </cell>
        </row>
        <row r="322">
          <cell r="A322">
            <v>35710</v>
          </cell>
          <cell r="B322">
            <v>8.8739004000000007E-3</v>
          </cell>
          <cell r="C322">
            <v>6.8139999999999997E-3</v>
          </cell>
          <cell r="D322">
            <v>-3.2342266348316162E-2</v>
          </cell>
        </row>
        <row r="323">
          <cell r="A323">
            <v>35711</v>
          </cell>
          <cell r="B323">
            <v>-7.8174592999999994E-3</v>
          </cell>
          <cell r="C323">
            <v>-2.0305E-2</v>
          </cell>
          <cell r="D323">
            <v>-2.8832434166645493E-2</v>
          </cell>
        </row>
        <row r="324">
          <cell r="A324">
            <v>35712</v>
          </cell>
          <cell r="B324">
            <v>-2.9267450000000001E-3</v>
          </cell>
          <cell r="C324">
            <v>-1.0363000000000001E-2</v>
          </cell>
          <cell r="D324">
            <v>5.4082484264700748E-2</v>
          </cell>
        </row>
        <row r="325">
          <cell r="A325">
            <v>35713</v>
          </cell>
          <cell r="B325">
            <v>-2.4788130999999999E-3</v>
          </cell>
          <cell r="C325">
            <v>-8.7259999999999994E-3</v>
          </cell>
          <cell r="D325">
            <v>3.632401091967763E-2</v>
          </cell>
        </row>
        <row r="326">
          <cell r="A326">
            <v>35716</v>
          </cell>
          <cell r="B326">
            <v>9.9976721999999992E-4</v>
          </cell>
          <cell r="C326">
            <v>1.2324E-2</v>
          </cell>
          <cell r="D326">
            <v>-2.6189135577472156E-2</v>
          </cell>
        </row>
        <row r="327">
          <cell r="A327">
            <v>35717</v>
          </cell>
          <cell r="B327">
            <v>1.8064050000000001E-3</v>
          </cell>
          <cell r="C327">
            <v>-1.7390000000000001E-3</v>
          </cell>
          <cell r="D327">
            <v>2.1021554806415432E-2</v>
          </cell>
        </row>
        <row r="328">
          <cell r="A328">
            <v>35718</v>
          </cell>
          <cell r="B328">
            <v>-2.8047079999999999E-3</v>
          </cell>
          <cell r="C328">
            <v>-3.4842999999999999E-2</v>
          </cell>
          <cell r="D328">
            <v>4.7212645000690445E-2</v>
          </cell>
        </row>
        <row r="329">
          <cell r="A329">
            <v>35719</v>
          </cell>
          <cell r="B329">
            <v>-9.3595032000000009E-3</v>
          </cell>
          <cell r="C329">
            <v>-3.6099999999999999E-3</v>
          </cell>
          <cell r="D329">
            <v>4.2974549665317774E-3</v>
          </cell>
        </row>
        <row r="330">
          <cell r="A330">
            <v>35720</v>
          </cell>
          <cell r="B330">
            <v>-1.1262329999999999E-2</v>
          </cell>
          <cell r="C330">
            <v>-5.4349999999999997E-3</v>
          </cell>
          <cell r="D330">
            <v>1.8693562564928046E-2</v>
          </cell>
        </row>
        <row r="331">
          <cell r="A331">
            <v>35723</v>
          </cell>
          <cell r="B331">
            <v>1.1075399999999999E-2</v>
          </cell>
          <cell r="C331">
            <v>2.5500999999999999E-2</v>
          </cell>
          <cell r="D331">
            <v>-8.791442771573732E-3</v>
          </cell>
        </row>
        <row r="332">
          <cell r="A332">
            <v>35724</v>
          </cell>
          <cell r="B332">
            <v>1.5854159E-2</v>
          </cell>
          <cell r="C332">
            <v>1.776E-3</v>
          </cell>
          <cell r="D332">
            <v>2.624835123421887E-2</v>
          </cell>
        </row>
        <row r="333">
          <cell r="A333">
            <v>35725</v>
          </cell>
          <cell r="B333">
            <v>-2.6324270000000001E-3</v>
          </cell>
          <cell r="C333">
            <v>-8.8649999999999996E-3</v>
          </cell>
          <cell r="D333">
            <v>1.9392982391715607E-2</v>
          </cell>
        </row>
        <row r="334">
          <cell r="A334">
            <v>35726</v>
          </cell>
          <cell r="B334">
            <v>-1.7187049999999999E-2</v>
          </cell>
          <cell r="C334">
            <v>-3.2199999999999999E-2</v>
          </cell>
          <cell r="D334">
            <v>-4.9586449372469588E-3</v>
          </cell>
        </row>
        <row r="335">
          <cell r="A335">
            <v>35727</v>
          </cell>
          <cell r="B335">
            <v>-7.0106159000000003E-3</v>
          </cell>
          <cell r="C335">
            <v>5.5449999999999996E-3</v>
          </cell>
          <cell r="D335">
            <v>1.9899029576116112E-2</v>
          </cell>
        </row>
        <row r="336">
          <cell r="A336">
            <v>35730</v>
          </cell>
          <cell r="B336">
            <v>-6.3829078999999997E-2</v>
          </cell>
          <cell r="C336">
            <v>-7.5368000000000004E-2</v>
          </cell>
          <cell r="D336">
            <v>-4.2507347825468944E-3</v>
          </cell>
        </row>
        <row r="337">
          <cell r="A337">
            <v>35731</v>
          </cell>
          <cell r="B337">
            <v>3.8979921000000001E-2</v>
          </cell>
          <cell r="C337">
            <v>4.7713999999999999E-2</v>
          </cell>
          <cell r="D337">
            <v>1.2489372358685635E-2</v>
          </cell>
        </row>
        <row r="338">
          <cell r="A338">
            <v>35732</v>
          </cell>
          <cell r="B338">
            <v>1.44129E-3</v>
          </cell>
          <cell r="C338">
            <v>1.1384999999999999E-2</v>
          </cell>
          <cell r="D338">
            <v>1.2481427495053321E-2</v>
          </cell>
        </row>
        <row r="339">
          <cell r="A339">
            <v>35733</v>
          </cell>
          <cell r="B339">
            <v>-1.434743E-2</v>
          </cell>
          <cell r="C339">
            <v>-1.8762000000000001E-2</v>
          </cell>
          <cell r="D339">
            <v>6.4350220991977736E-3</v>
          </cell>
        </row>
        <row r="340">
          <cell r="A340">
            <v>35734</v>
          </cell>
          <cell r="B340">
            <v>1.106671E-2</v>
          </cell>
          <cell r="C340">
            <v>7.6480000000000003E-3</v>
          </cell>
          <cell r="D340">
            <v>1.8044865980806124E-2</v>
          </cell>
        </row>
        <row r="341">
          <cell r="A341">
            <v>35737</v>
          </cell>
          <cell r="B341">
            <v>2.297977E-2</v>
          </cell>
          <cell r="C341">
            <v>7.5900000000000004E-3</v>
          </cell>
          <cell r="D341">
            <v>-7.6228617974476442E-3</v>
          </cell>
        </row>
        <row r="342">
          <cell r="A342">
            <v>35738</v>
          </cell>
          <cell r="B342">
            <v>2.8438730999999998E-3</v>
          </cell>
          <cell r="C342">
            <v>1.1299E-2</v>
          </cell>
          <cell r="D342">
            <v>2.0504866720931325E-2</v>
          </cell>
        </row>
        <row r="343">
          <cell r="A343">
            <v>35739</v>
          </cell>
          <cell r="B343">
            <v>3.8057361000000001E-3</v>
          </cell>
          <cell r="C343">
            <v>1.8622E-2</v>
          </cell>
          <cell r="D343">
            <v>6.5769740557224399E-3</v>
          </cell>
        </row>
        <row r="344">
          <cell r="A344">
            <v>35740</v>
          </cell>
          <cell r="B344">
            <v>-4.0658619000000003E-3</v>
          </cell>
          <cell r="C344">
            <v>0</v>
          </cell>
          <cell r="D344">
            <v>1.1894377264010325E-2</v>
          </cell>
        </row>
        <row r="345">
          <cell r="A345">
            <v>35741</v>
          </cell>
          <cell r="B345">
            <v>-1.2656250000000001E-2</v>
          </cell>
          <cell r="C345">
            <v>-5.4840000000000002E-3</v>
          </cell>
          <cell r="D345">
            <v>4.9074687957040286E-3</v>
          </cell>
        </row>
        <row r="346">
          <cell r="A346">
            <v>35744</v>
          </cell>
          <cell r="B346">
            <v>-4.3400660999999997E-3</v>
          </cell>
          <cell r="C346">
            <v>0</v>
          </cell>
          <cell r="D346">
            <v>2.8829530869372011E-3</v>
          </cell>
        </row>
        <row r="347">
          <cell r="A347">
            <v>35745</v>
          </cell>
          <cell r="B347">
            <v>1.39262E-3</v>
          </cell>
          <cell r="C347">
            <v>-7.3530000000000002E-3</v>
          </cell>
          <cell r="D347">
            <v>-9.9576717330962516E-5</v>
          </cell>
        </row>
        <row r="348">
          <cell r="A348">
            <v>35746</v>
          </cell>
          <cell r="B348">
            <v>-1.7617878999999999E-2</v>
          </cell>
          <cell r="C348">
            <v>-1.4815E-2</v>
          </cell>
          <cell r="D348">
            <v>-6.1792690014563778E-3</v>
          </cell>
        </row>
        <row r="349">
          <cell r="A349">
            <v>35747</v>
          </cell>
          <cell r="B349">
            <v>7.6242271000000004E-3</v>
          </cell>
          <cell r="C349">
            <v>1.1429E-2</v>
          </cell>
          <cell r="D349">
            <v>-2.5117166901849064E-3</v>
          </cell>
        </row>
        <row r="350">
          <cell r="A350">
            <v>35748</v>
          </cell>
          <cell r="B350">
            <v>1.107154E-2</v>
          </cell>
          <cell r="C350">
            <v>1.4925000000000001E-2</v>
          </cell>
          <cell r="D350">
            <v>7.3350921744745889E-3</v>
          </cell>
        </row>
        <row r="351">
          <cell r="A351">
            <v>35751</v>
          </cell>
          <cell r="B351">
            <v>1.8020748999999999E-2</v>
          </cell>
          <cell r="C351">
            <v>9.1909999999999995E-3</v>
          </cell>
          <cell r="D351">
            <v>9.1846610601760137E-3</v>
          </cell>
        </row>
        <row r="352">
          <cell r="A352">
            <v>35752</v>
          </cell>
          <cell r="B352">
            <v>-7.3959348000000001E-3</v>
          </cell>
          <cell r="C352">
            <v>-1.2749999999999999E-2</v>
          </cell>
          <cell r="D352">
            <v>1.1642825900306297E-2</v>
          </cell>
        </row>
        <row r="353">
          <cell r="A353">
            <v>35753</v>
          </cell>
          <cell r="B353">
            <v>4.9832291000000001E-3</v>
          </cell>
          <cell r="C353">
            <v>-7.3800000000000003E-3</v>
          </cell>
          <cell r="D353">
            <v>1.2714639610426071E-2</v>
          </cell>
        </row>
        <row r="354">
          <cell r="A354">
            <v>35754</v>
          </cell>
          <cell r="B354">
            <v>1.306478E-2</v>
          </cell>
          <cell r="C354">
            <v>2.6022E-2</v>
          </cell>
          <cell r="D354">
            <v>4.3784401747581914E-3</v>
          </cell>
        </row>
        <row r="355">
          <cell r="A355">
            <v>35755</v>
          </cell>
          <cell r="B355">
            <v>4.1251237999999999E-3</v>
          </cell>
          <cell r="C355">
            <v>-1.4493000000000001E-2</v>
          </cell>
          <cell r="D355">
            <v>2.79067863586413E-2</v>
          </cell>
        </row>
        <row r="356">
          <cell r="A356">
            <v>35758</v>
          </cell>
          <cell r="B356">
            <v>-1.531076E-2</v>
          </cell>
          <cell r="C356">
            <v>-1.2867999999999999E-2</v>
          </cell>
          <cell r="D356">
            <v>-6.444972676256655E-3</v>
          </cell>
        </row>
        <row r="357">
          <cell r="A357">
            <v>35759</v>
          </cell>
          <cell r="B357">
            <v>3.6009789999999998E-3</v>
          </cell>
          <cell r="C357">
            <v>1.3035E-2</v>
          </cell>
          <cell r="D357">
            <v>1.0841616515390617E-2</v>
          </cell>
        </row>
        <row r="358">
          <cell r="A358">
            <v>35760</v>
          </cell>
          <cell r="B358">
            <v>1.0987410000000001E-3</v>
          </cell>
          <cell r="C358">
            <v>3.676E-3</v>
          </cell>
          <cell r="D358">
            <v>1.8598919993839003E-2</v>
          </cell>
        </row>
        <row r="359">
          <cell r="A359">
            <v>35762</v>
          </cell>
          <cell r="B359">
            <v>3.690395E-3</v>
          </cell>
          <cell r="C359">
            <v>-7.326E-3</v>
          </cell>
          <cell r="D359">
            <v>-3.5696694129500939E-2</v>
          </cell>
        </row>
        <row r="360">
          <cell r="A360">
            <v>35765</v>
          </cell>
          <cell r="B360">
            <v>1.6998591E-2</v>
          </cell>
          <cell r="C360">
            <v>2.0295000000000001E-2</v>
          </cell>
          <cell r="D360">
            <v>3.1803008896272189E-2</v>
          </cell>
        </row>
        <row r="361">
          <cell r="A361">
            <v>35766</v>
          </cell>
          <cell r="B361">
            <v>-1.007702E-4</v>
          </cell>
          <cell r="C361">
            <v>3.617E-3</v>
          </cell>
          <cell r="D361">
            <v>-5.0844601203174911E-3</v>
          </cell>
        </row>
        <row r="362">
          <cell r="A362">
            <v>35767</v>
          </cell>
          <cell r="B362">
            <v>5.3900260999999996E-3</v>
          </cell>
          <cell r="C362">
            <v>1.802E-3</v>
          </cell>
          <cell r="D362">
            <v>-2.2020735184022922E-2</v>
          </cell>
        </row>
        <row r="363">
          <cell r="A363">
            <v>35768</v>
          </cell>
          <cell r="B363">
            <v>-1.7127780000000001E-3</v>
          </cell>
          <cell r="C363">
            <v>-1.6187E-2</v>
          </cell>
          <cell r="D363">
            <v>2.6382735237034938E-2</v>
          </cell>
        </row>
        <row r="364">
          <cell r="A364">
            <v>35769</v>
          </cell>
          <cell r="B364">
            <v>9.1526890000000003E-3</v>
          </cell>
          <cell r="C364">
            <v>-1.828E-3</v>
          </cell>
          <cell r="D364">
            <v>2.0911713964998802E-2</v>
          </cell>
        </row>
        <row r="365">
          <cell r="A365">
            <v>35772</v>
          </cell>
          <cell r="B365">
            <v>-1.0997279999999999E-3</v>
          </cell>
          <cell r="C365">
            <v>2.0147000000000002E-2</v>
          </cell>
          <cell r="D365">
            <v>-1.6057286731780973E-3</v>
          </cell>
        </row>
        <row r="366">
          <cell r="A366">
            <v>35773</v>
          </cell>
          <cell r="B366">
            <v>-4.9724117999999998E-3</v>
          </cell>
          <cell r="C366">
            <v>-2.3338999999999999E-2</v>
          </cell>
          <cell r="D366">
            <v>8.3992869032027961E-3</v>
          </cell>
        </row>
        <row r="367">
          <cell r="A367">
            <v>35774</v>
          </cell>
          <cell r="B367">
            <v>-6.3782450999999999E-3</v>
          </cell>
          <cell r="C367">
            <v>1.838E-3</v>
          </cell>
          <cell r="D367">
            <v>-1.7986771587057748E-2</v>
          </cell>
        </row>
        <row r="368">
          <cell r="A368">
            <v>35775</v>
          </cell>
          <cell r="B368">
            <v>-1.386458E-2</v>
          </cell>
          <cell r="C368">
            <v>-1.6514000000000001E-2</v>
          </cell>
          <cell r="D368">
            <v>8.0460010329930221E-3</v>
          </cell>
        </row>
        <row r="369">
          <cell r="A369">
            <v>35776</v>
          </cell>
          <cell r="B369">
            <v>-5.7416228999999995E-4</v>
          </cell>
          <cell r="C369">
            <v>-7.463E-3</v>
          </cell>
          <cell r="D369">
            <v>-3.2840802738979602E-2</v>
          </cell>
        </row>
        <row r="370">
          <cell r="A370">
            <v>35779</v>
          </cell>
          <cell r="B370">
            <v>7.6137460000000002E-3</v>
          </cell>
          <cell r="C370">
            <v>1.8799999999999999E-3</v>
          </cell>
          <cell r="D370">
            <v>2.5191736167359036E-2</v>
          </cell>
        </row>
        <row r="371">
          <cell r="A371">
            <v>35780</v>
          </cell>
          <cell r="B371">
            <v>4.9667219000000002E-3</v>
          </cell>
          <cell r="C371">
            <v>-1.3133000000000001E-2</v>
          </cell>
          <cell r="D371">
            <v>-1.6114964364869477E-3</v>
          </cell>
        </row>
        <row r="372">
          <cell r="A372">
            <v>35781</v>
          </cell>
          <cell r="B372">
            <v>-3.5437609999999998E-4</v>
          </cell>
          <cell r="C372">
            <v>-1.3308E-2</v>
          </cell>
          <cell r="D372">
            <v>1.75980014510424E-2</v>
          </cell>
        </row>
        <row r="373">
          <cell r="A373">
            <v>35782</v>
          </cell>
          <cell r="B373">
            <v>-9.2340270000000006E-3</v>
          </cell>
          <cell r="C373">
            <v>-9.6340000000000002E-3</v>
          </cell>
          <cell r="D373">
            <v>2.2866626779311616E-2</v>
          </cell>
        </row>
        <row r="374">
          <cell r="A374">
            <v>35783</v>
          </cell>
          <cell r="B374">
            <v>-8.4674469999999995E-3</v>
          </cell>
          <cell r="C374">
            <v>0</v>
          </cell>
          <cell r="D374">
            <v>2.7410017763623173E-2</v>
          </cell>
        </row>
        <row r="375">
          <cell r="A375">
            <v>35786</v>
          </cell>
          <cell r="B375">
            <v>6.0713039999999996E-3</v>
          </cell>
          <cell r="C375">
            <v>1.1672999999999999E-2</v>
          </cell>
          <cell r="D375">
            <v>-8.5665206273536354E-3</v>
          </cell>
        </row>
        <row r="376">
          <cell r="A376">
            <v>35787</v>
          </cell>
          <cell r="B376">
            <v>-1.073959E-2</v>
          </cell>
          <cell r="C376">
            <v>0</v>
          </cell>
          <cell r="D376">
            <v>2.5786170621035387E-2</v>
          </cell>
        </row>
        <row r="377">
          <cell r="A377">
            <v>35788</v>
          </cell>
          <cell r="B377">
            <v>-4.8987841999999998E-3</v>
          </cell>
          <cell r="C377">
            <v>0</v>
          </cell>
          <cell r="D377">
            <v>-4.4881352575142364E-3</v>
          </cell>
        </row>
        <row r="378">
          <cell r="A378">
            <v>35790</v>
          </cell>
          <cell r="B378">
            <v>2.376464E-3</v>
          </cell>
          <cell r="C378">
            <v>1.1538E-2</v>
          </cell>
          <cell r="D378">
            <v>8.4226233653188487E-3</v>
          </cell>
        </row>
        <row r="379">
          <cell r="A379">
            <v>35793</v>
          </cell>
          <cell r="B379">
            <v>1.5950150999999999E-2</v>
          </cell>
          <cell r="C379">
            <v>0</v>
          </cell>
          <cell r="D379">
            <v>-3.0142725806592274E-5</v>
          </cell>
        </row>
        <row r="380">
          <cell r="A380">
            <v>35794</v>
          </cell>
          <cell r="B380">
            <v>1.7363989999999999E-2</v>
          </cell>
          <cell r="C380">
            <v>3.8019999999999998E-3</v>
          </cell>
          <cell r="D380">
            <v>-7.8250134618731426E-3</v>
          </cell>
        </row>
        <row r="381">
          <cell r="A381">
            <v>35795</v>
          </cell>
          <cell r="B381">
            <v>2.457781E-3</v>
          </cell>
          <cell r="C381">
            <v>1.7045000000000001E-2</v>
          </cell>
          <cell r="D381">
            <v>1.1761732732334496E-2</v>
          </cell>
        </row>
        <row r="382">
          <cell r="A382">
            <v>35797</v>
          </cell>
          <cell r="B382">
            <v>1.6027179999999999E-3</v>
          </cell>
          <cell r="C382">
            <v>-1.3035E-2</v>
          </cell>
          <cell r="D382">
            <v>7.3050385930428785E-3</v>
          </cell>
        </row>
        <row r="383">
          <cell r="A383">
            <v>35800</v>
          </cell>
          <cell r="B383">
            <v>1.1090819999999999E-3</v>
          </cell>
          <cell r="C383">
            <v>2.6415000000000001E-2</v>
          </cell>
          <cell r="D383">
            <v>2.1314449787736223E-2</v>
          </cell>
        </row>
        <row r="384">
          <cell r="A384">
            <v>35801</v>
          </cell>
          <cell r="B384">
            <v>-1.050267E-2</v>
          </cell>
          <cell r="C384">
            <v>5.5149999999999999E-3</v>
          </cell>
          <cell r="D384">
            <v>3.3457737350526262E-2</v>
          </cell>
        </row>
        <row r="385">
          <cell r="A385">
            <v>35802</v>
          </cell>
          <cell r="B385">
            <v>-1.7806339999999999E-3</v>
          </cell>
          <cell r="C385">
            <v>-7.3130000000000001E-3</v>
          </cell>
          <cell r="D385">
            <v>4.2044046755547182E-3</v>
          </cell>
        </row>
        <row r="386">
          <cell r="A386">
            <v>35803</v>
          </cell>
          <cell r="B386">
            <v>-9.1962599999999995E-3</v>
          </cell>
          <cell r="C386">
            <v>-1.2891E-2</v>
          </cell>
          <cell r="D386">
            <v>8.2035744419728385E-3</v>
          </cell>
        </row>
        <row r="387">
          <cell r="A387">
            <v>35804</v>
          </cell>
          <cell r="B387">
            <v>-2.8392860999999998E-2</v>
          </cell>
          <cell r="C387">
            <v>-4.2909999999999997E-2</v>
          </cell>
          <cell r="D387">
            <v>1.8591570012566061E-2</v>
          </cell>
        </row>
        <row r="388">
          <cell r="A388">
            <v>35807</v>
          </cell>
          <cell r="B388">
            <v>7.8443847999999997E-3</v>
          </cell>
          <cell r="C388">
            <v>2.1441999999999999E-2</v>
          </cell>
          <cell r="D388">
            <v>-2.8650602079673959E-2</v>
          </cell>
        </row>
        <row r="389">
          <cell r="A389">
            <v>35808</v>
          </cell>
          <cell r="B389">
            <v>1.3528139999999999E-2</v>
          </cell>
          <cell r="C389">
            <v>0</v>
          </cell>
          <cell r="D389">
            <v>-7.3434800662319777E-4</v>
          </cell>
        </row>
        <row r="390">
          <cell r="A390">
            <v>35809</v>
          </cell>
          <cell r="B390">
            <v>6.8567940000000003E-3</v>
          </cell>
          <cell r="C390">
            <v>5.7250000000000001E-3</v>
          </cell>
          <cell r="D390">
            <v>-1.7155074123617609E-2</v>
          </cell>
        </row>
        <row r="391">
          <cell r="A391">
            <v>35810</v>
          </cell>
          <cell r="B391">
            <v>-6.6336989000000002E-3</v>
          </cell>
          <cell r="C391">
            <v>-1.8979999999999999E-3</v>
          </cell>
          <cell r="D391">
            <v>3.2614979088779528E-2</v>
          </cell>
        </row>
        <row r="392">
          <cell r="A392">
            <v>35811</v>
          </cell>
          <cell r="B392">
            <v>1.141327E-2</v>
          </cell>
          <cell r="C392">
            <v>1.5209E-2</v>
          </cell>
          <cell r="D392">
            <v>2.8423070555988916E-2</v>
          </cell>
        </row>
        <row r="393">
          <cell r="A393">
            <v>35815</v>
          </cell>
          <cell r="B393">
            <v>1.6040769999999999E-2</v>
          </cell>
          <cell r="C393">
            <v>2.9963E-2</v>
          </cell>
          <cell r="D393">
            <v>3.9910496288495523E-3</v>
          </cell>
        </row>
        <row r="394">
          <cell r="A394">
            <v>35816</v>
          </cell>
          <cell r="B394">
            <v>-7.2228960000000004E-3</v>
          </cell>
          <cell r="C394">
            <v>0</v>
          </cell>
          <cell r="D394">
            <v>-3.1273980532855905E-2</v>
          </cell>
        </row>
        <row r="395">
          <cell r="A395">
            <v>35817</v>
          </cell>
          <cell r="B395">
            <v>-8.5432333999999992E-3</v>
          </cell>
          <cell r="C395">
            <v>1.818E-3</v>
          </cell>
          <cell r="D395">
            <v>-1.5236583973033957E-3</v>
          </cell>
        </row>
        <row r="396">
          <cell r="A396">
            <v>35818</v>
          </cell>
          <cell r="B396">
            <v>-5.9371240999999998E-3</v>
          </cell>
          <cell r="C396">
            <v>1.815E-3</v>
          </cell>
          <cell r="D396">
            <v>1.3309966974984544E-2</v>
          </cell>
        </row>
        <row r="397">
          <cell r="A397">
            <v>35821</v>
          </cell>
          <cell r="B397">
            <v>-5.7517813E-4</v>
          </cell>
          <cell r="C397">
            <v>-1.812E-3</v>
          </cell>
          <cell r="D397">
            <v>2.914979352645819E-2</v>
          </cell>
        </row>
        <row r="398">
          <cell r="A398">
            <v>35822</v>
          </cell>
          <cell r="B398">
            <v>9.6163806000000001E-3</v>
          </cell>
          <cell r="C398">
            <v>4.3556999999999998E-2</v>
          </cell>
          <cell r="D398">
            <v>-1.0378888898325944E-2</v>
          </cell>
        </row>
        <row r="399">
          <cell r="A399">
            <v>35823</v>
          </cell>
          <cell r="B399">
            <v>7.8613581000000002E-3</v>
          </cell>
          <cell r="C399">
            <v>-3.4783000000000001E-2</v>
          </cell>
          <cell r="D399">
            <v>3.0219992422932718E-2</v>
          </cell>
        </row>
        <row r="400">
          <cell r="A400">
            <v>35824</v>
          </cell>
          <cell r="B400">
            <v>7.7508459999999996E-3</v>
          </cell>
          <cell r="C400">
            <v>1.2612999999999999E-2</v>
          </cell>
          <cell r="D400">
            <v>1.2249677780990842E-2</v>
          </cell>
        </row>
        <row r="401">
          <cell r="A401">
            <v>35825</v>
          </cell>
          <cell r="B401">
            <v>-4.5855291999999997E-3</v>
          </cell>
          <cell r="C401">
            <v>-3.2028000000000001E-2</v>
          </cell>
          <cell r="D401">
            <v>1.9234386756961097E-3</v>
          </cell>
        </row>
        <row r="402">
          <cell r="A402">
            <v>35828</v>
          </cell>
          <cell r="B402">
            <v>1.8506970000000001E-2</v>
          </cell>
          <cell r="C402">
            <v>4.2278999999999997E-2</v>
          </cell>
          <cell r="D402">
            <v>-2.0237128547892724E-2</v>
          </cell>
        </row>
        <row r="403">
          <cell r="A403">
            <v>35829</v>
          </cell>
          <cell r="B403">
            <v>4.5169861999999998E-3</v>
          </cell>
          <cell r="C403">
            <v>-5.2909999999999997E-3</v>
          </cell>
          <cell r="D403">
            <v>1.2110904844601533E-2</v>
          </cell>
        </row>
        <row r="404">
          <cell r="A404">
            <v>35830</v>
          </cell>
          <cell r="B404">
            <v>1.4681659999999999E-3</v>
          </cell>
          <cell r="C404">
            <v>3.7234000000000003E-2</v>
          </cell>
          <cell r="D404">
            <v>-3.4793896779171218E-2</v>
          </cell>
        </row>
        <row r="405">
          <cell r="A405">
            <v>35831</v>
          </cell>
          <cell r="B405">
            <v>-5.2391313000000001E-4</v>
          </cell>
          <cell r="C405">
            <v>1.709E-3</v>
          </cell>
          <cell r="D405">
            <v>-1.5908608867185925E-2</v>
          </cell>
        </row>
        <row r="406">
          <cell r="A406">
            <v>35832</v>
          </cell>
          <cell r="B406">
            <v>6.8799788000000004E-3</v>
          </cell>
          <cell r="C406">
            <v>1.7060000000000001E-3</v>
          </cell>
          <cell r="D406">
            <v>1.4660831237238048E-2</v>
          </cell>
        </row>
        <row r="407">
          <cell r="A407">
            <v>35835</v>
          </cell>
          <cell r="B407">
            <v>-4.2204930999999998E-4</v>
          </cell>
          <cell r="C407">
            <v>-6.8139999999999997E-3</v>
          </cell>
          <cell r="D407">
            <v>-4.2319304660439983E-2</v>
          </cell>
        </row>
        <row r="408">
          <cell r="A408">
            <v>35836</v>
          </cell>
          <cell r="B408">
            <v>7.3424489000000004E-3</v>
          </cell>
          <cell r="C408">
            <v>6.8609999999999999E-3</v>
          </cell>
          <cell r="D408">
            <v>-8.1411926398489154E-4</v>
          </cell>
        </row>
        <row r="409">
          <cell r="A409">
            <v>35837</v>
          </cell>
          <cell r="B409">
            <v>1.9782451E-3</v>
          </cell>
          <cell r="C409">
            <v>-2.0442999999999999E-2</v>
          </cell>
          <cell r="D409">
            <v>4.3801942390379489E-2</v>
          </cell>
        </row>
        <row r="410">
          <cell r="A410">
            <v>35838</v>
          </cell>
          <cell r="B410">
            <v>3.546128E-3</v>
          </cell>
          <cell r="C410">
            <v>-1.3774E-2</v>
          </cell>
          <cell r="D410">
            <v>-3.6476349931037544E-2</v>
          </cell>
        </row>
        <row r="411">
          <cell r="A411">
            <v>35839</v>
          </cell>
          <cell r="B411">
            <v>-2.2081099000000001E-3</v>
          </cell>
          <cell r="C411">
            <v>-1.7698999999999999E-2</v>
          </cell>
          <cell r="D411">
            <v>-4.4615233480433947E-3</v>
          </cell>
        </row>
        <row r="412">
          <cell r="A412">
            <v>35843</v>
          </cell>
          <cell r="B412">
            <v>2.9404890000000001E-3</v>
          </cell>
          <cell r="C412">
            <v>2.5225000000000001E-2</v>
          </cell>
          <cell r="D412">
            <v>-3.0019889378149478E-2</v>
          </cell>
        </row>
        <row r="413">
          <cell r="A413">
            <v>35844</v>
          </cell>
          <cell r="B413">
            <v>8.1718545000000007E-3</v>
          </cell>
          <cell r="C413">
            <v>-1.0545000000000001E-2</v>
          </cell>
          <cell r="D413">
            <v>4.7589415120541378E-3</v>
          </cell>
        </row>
        <row r="414">
          <cell r="A414">
            <v>35845</v>
          </cell>
          <cell r="B414">
            <v>-3.7172299000000002E-3</v>
          </cell>
          <cell r="C414">
            <v>1.776E-3</v>
          </cell>
          <cell r="D414">
            <v>1.0981034670930478E-2</v>
          </cell>
        </row>
        <row r="415">
          <cell r="A415">
            <v>35846</v>
          </cell>
          <cell r="B415">
            <v>4.3828449999999998E-3</v>
          </cell>
          <cell r="C415">
            <v>8.8649999999999996E-3</v>
          </cell>
          <cell r="D415">
            <v>2.6251099052603699E-2</v>
          </cell>
        </row>
        <row r="416">
          <cell r="A416">
            <v>35849</v>
          </cell>
          <cell r="B416">
            <v>2.3273808999999999E-3</v>
          </cell>
          <cell r="C416">
            <v>-5.2719999999999998E-3</v>
          </cell>
          <cell r="D416">
            <v>1.617561883180163E-2</v>
          </cell>
        </row>
        <row r="417">
          <cell r="A417">
            <v>35850</v>
          </cell>
          <cell r="B417">
            <v>-6.5858560000000002E-3</v>
          </cell>
          <cell r="C417">
            <v>-8.8339999999999998E-3</v>
          </cell>
          <cell r="D417">
            <v>-1.5858267127302539E-2</v>
          </cell>
        </row>
        <row r="418">
          <cell r="A418">
            <v>35851</v>
          </cell>
          <cell r="B418">
            <v>1.047232E-2</v>
          </cell>
          <cell r="C418">
            <v>1.7830000000000001E-3</v>
          </cell>
          <cell r="D418">
            <v>-6.1046161644964236E-3</v>
          </cell>
        </row>
        <row r="419">
          <cell r="A419">
            <v>35852</v>
          </cell>
          <cell r="B419">
            <v>5.9570991E-3</v>
          </cell>
          <cell r="C419">
            <v>1.779E-3</v>
          </cell>
          <cell r="D419">
            <v>-1.9010325683639806E-2</v>
          </cell>
        </row>
        <row r="420">
          <cell r="A420">
            <v>35853</v>
          </cell>
          <cell r="B420">
            <v>1.711948E-3</v>
          </cell>
          <cell r="C420">
            <v>-5.3290000000000004E-3</v>
          </cell>
          <cell r="D420">
            <v>2.7009848586272422E-3</v>
          </cell>
        </row>
        <row r="421">
          <cell r="A421">
            <v>35856</v>
          </cell>
          <cell r="B421">
            <v>6.1250619000000005E-5</v>
          </cell>
          <cell r="C421">
            <v>1.0714E-2</v>
          </cell>
          <cell r="D421">
            <v>-1.7415776217322043E-2</v>
          </cell>
        </row>
        <row r="422">
          <cell r="A422">
            <v>35857</v>
          </cell>
          <cell r="B422">
            <v>4.5272480000000002E-3</v>
          </cell>
          <cell r="C422">
            <v>2.1201000000000001E-2</v>
          </cell>
          <cell r="D422">
            <v>2.9960738371910267E-3</v>
          </cell>
        </row>
        <row r="423">
          <cell r="A423">
            <v>35858</v>
          </cell>
          <cell r="B423">
            <v>-5.0199162000000002E-3</v>
          </cell>
          <cell r="C423">
            <v>3.46E-3</v>
          </cell>
          <cell r="D423">
            <v>1.2906060139714848E-2</v>
          </cell>
        </row>
        <row r="424">
          <cell r="A424">
            <v>35859</v>
          </cell>
          <cell r="B424">
            <v>-6.3287378000000004E-3</v>
          </cell>
          <cell r="C424">
            <v>8.6210000000000002E-3</v>
          </cell>
          <cell r="D424">
            <v>1.9974677791124273E-2</v>
          </cell>
        </row>
        <row r="425">
          <cell r="A425">
            <v>35860</v>
          </cell>
          <cell r="B425">
            <v>1.6850629999999998E-2</v>
          </cell>
          <cell r="C425">
            <v>-1.709E-3</v>
          </cell>
          <cell r="D425">
            <v>2.8690303861318878E-2</v>
          </cell>
        </row>
        <row r="426">
          <cell r="A426">
            <v>35863</v>
          </cell>
          <cell r="B426">
            <v>4.8127738000000001E-5</v>
          </cell>
          <cell r="C426">
            <v>1.0274E-2</v>
          </cell>
          <cell r="D426">
            <v>-2.4641333082505712E-3</v>
          </cell>
        </row>
        <row r="427">
          <cell r="A427">
            <v>35864</v>
          </cell>
          <cell r="B427">
            <v>1.003366E-2</v>
          </cell>
          <cell r="C427">
            <v>1.5254E-2</v>
          </cell>
          <cell r="D427">
            <v>5.002475183033317E-3</v>
          </cell>
        </row>
        <row r="428">
          <cell r="A428">
            <v>35865</v>
          </cell>
          <cell r="B428">
            <v>4.902951E-3</v>
          </cell>
          <cell r="C428">
            <v>3.8400000000000001E-3</v>
          </cell>
          <cell r="D428">
            <v>2.6381641241775E-3</v>
          </cell>
        </row>
        <row r="429">
          <cell r="A429">
            <v>35866</v>
          </cell>
          <cell r="B429">
            <v>1.0624129999999999E-3</v>
          </cell>
          <cell r="C429">
            <v>-5.0590000000000001E-3</v>
          </cell>
          <cell r="D429">
            <v>-1.3791447603334173E-2</v>
          </cell>
        </row>
        <row r="430">
          <cell r="A430">
            <v>35867</v>
          </cell>
          <cell r="B430">
            <v>-1.5143349999999999E-3</v>
          </cell>
          <cell r="C430">
            <v>-6.7799999999999996E-3</v>
          </cell>
          <cell r="D430">
            <v>2.2111966880116407E-2</v>
          </cell>
        </row>
        <row r="431">
          <cell r="A431">
            <v>35870</v>
          </cell>
          <cell r="B431">
            <v>8.6219842000000001E-3</v>
          </cell>
          <cell r="C431">
            <v>0</v>
          </cell>
          <cell r="D431">
            <v>4.0516441100308942E-3</v>
          </cell>
        </row>
        <row r="432">
          <cell r="A432">
            <v>35871</v>
          </cell>
          <cell r="B432">
            <v>2.257298E-3</v>
          </cell>
          <cell r="C432">
            <v>3.4129999999999998E-3</v>
          </cell>
          <cell r="D432">
            <v>-3.7919846422796999E-3</v>
          </cell>
        </row>
        <row r="433">
          <cell r="A433">
            <v>35872</v>
          </cell>
          <cell r="B433">
            <v>4.6110939999999996E-3</v>
          </cell>
          <cell r="C433">
            <v>-1.3605000000000001E-2</v>
          </cell>
          <cell r="D433">
            <v>1.4630959359124729E-2</v>
          </cell>
        </row>
        <row r="434">
          <cell r="A434">
            <v>35873</v>
          </cell>
          <cell r="B434">
            <v>3.5178771E-3</v>
          </cell>
          <cell r="C434">
            <v>3.4480000000000001E-3</v>
          </cell>
          <cell r="D434">
            <v>-1.8194379083866008E-2</v>
          </cell>
        </row>
        <row r="435">
          <cell r="A435">
            <v>35874</v>
          </cell>
          <cell r="B435">
            <v>8.4895696E-3</v>
          </cell>
          <cell r="C435">
            <v>-5.1549999999999999E-3</v>
          </cell>
          <cell r="D435">
            <v>-1.0814667346618512E-2</v>
          </cell>
        </row>
        <row r="436">
          <cell r="A436">
            <v>35877</v>
          </cell>
          <cell r="B436">
            <v>-3.6048030000000002E-3</v>
          </cell>
          <cell r="C436">
            <v>5.1809999999999998E-3</v>
          </cell>
          <cell r="D436">
            <v>-3.1770109130746294E-2</v>
          </cell>
        </row>
        <row r="437">
          <cell r="A437">
            <v>35878</v>
          </cell>
          <cell r="B437">
            <v>7.7812131E-3</v>
          </cell>
          <cell r="C437">
            <v>2.2336999999999999E-2</v>
          </cell>
          <cell r="D437">
            <v>1.9986279032262244E-2</v>
          </cell>
        </row>
        <row r="438">
          <cell r="A438">
            <v>35879</v>
          </cell>
          <cell r="B438">
            <v>-3.642078E-3</v>
          </cell>
          <cell r="C438">
            <v>-1.681E-3</v>
          </cell>
          <cell r="D438">
            <v>3.1563519182433053E-2</v>
          </cell>
        </row>
        <row r="439">
          <cell r="A439">
            <v>35880</v>
          </cell>
          <cell r="B439">
            <v>-6.9444829999999996E-4</v>
          </cell>
          <cell r="C439">
            <v>3.3670000000000002E-3</v>
          </cell>
          <cell r="D439">
            <v>-6.314670325793581E-3</v>
          </cell>
        </row>
        <row r="440">
          <cell r="A440">
            <v>35881</v>
          </cell>
          <cell r="B440">
            <v>-3.8975339999999998E-3</v>
          </cell>
          <cell r="C440">
            <v>-1.6778999999999999E-2</v>
          </cell>
          <cell r="D440">
            <v>3.2304070572421573E-2</v>
          </cell>
        </row>
        <row r="441">
          <cell r="A441">
            <v>35884</v>
          </cell>
          <cell r="B441">
            <v>-2.0126660999999998E-3</v>
          </cell>
          <cell r="C441">
            <v>2.0478E-2</v>
          </cell>
          <cell r="D441">
            <v>-4.0189694408900856E-3</v>
          </cell>
        </row>
        <row r="442">
          <cell r="A442">
            <v>35885</v>
          </cell>
          <cell r="B442">
            <v>7.2026801999999996E-3</v>
          </cell>
          <cell r="C442">
            <v>1.6722000000000001E-2</v>
          </cell>
          <cell r="D442">
            <v>-7.4702748784919448E-3</v>
          </cell>
        </row>
        <row r="443">
          <cell r="A443">
            <v>35886</v>
          </cell>
          <cell r="B443">
            <v>6.1036431999999998E-3</v>
          </cell>
          <cell r="C443">
            <v>0</v>
          </cell>
          <cell r="D443">
            <v>1.4493970642571519E-2</v>
          </cell>
        </row>
        <row r="444">
          <cell r="A444">
            <v>35887</v>
          </cell>
          <cell r="B444">
            <v>9.4611598000000005E-3</v>
          </cell>
          <cell r="C444">
            <v>6.5789999999999998E-3</v>
          </cell>
          <cell r="D444">
            <v>2.7223385008336543E-2</v>
          </cell>
        </row>
        <row r="445">
          <cell r="A445">
            <v>35888</v>
          </cell>
          <cell r="B445">
            <v>2.1534520000000001E-3</v>
          </cell>
          <cell r="C445">
            <v>-3.2680000000000001E-3</v>
          </cell>
          <cell r="D445">
            <v>2.4197298927581823E-3</v>
          </cell>
        </row>
        <row r="446">
          <cell r="A446">
            <v>35891</v>
          </cell>
          <cell r="B446">
            <v>1.1514340000000001E-4</v>
          </cell>
          <cell r="C446">
            <v>-1.639E-3</v>
          </cell>
          <cell r="D446">
            <v>-8.5393330684410129E-3</v>
          </cell>
        </row>
        <row r="447">
          <cell r="A447">
            <v>35892</v>
          </cell>
          <cell r="B447">
            <v>-9.0441498999999995E-3</v>
          </cell>
          <cell r="C447">
            <v>-8.2100000000000003E-3</v>
          </cell>
          <cell r="D447">
            <v>1.1285005756592303E-2</v>
          </cell>
        </row>
        <row r="448">
          <cell r="A448">
            <v>35893</v>
          </cell>
          <cell r="B448">
            <v>-6.3083768000000004E-3</v>
          </cell>
          <cell r="C448">
            <v>1.1589E-2</v>
          </cell>
          <cell r="D448">
            <v>7.7848954473767051E-3</v>
          </cell>
        </row>
        <row r="449">
          <cell r="A449">
            <v>35894</v>
          </cell>
          <cell r="B449">
            <v>7.8049349000000002E-3</v>
          </cell>
          <cell r="C449">
            <v>8.1829999999999993E-3</v>
          </cell>
          <cell r="D449">
            <v>2.5912094356383975E-4</v>
          </cell>
        </row>
        <row r="450">
          <cell r="A450">
            <v>35898</v>
          </cell>
          <cell r="B450">
            <v>-8.4758857999999999E-4</v>
          </cell>
          <cell r="C450">
            <v>-9.7400000000000004E-3</v>
          </cell>
          <cell r="D450">
            <v>-9.0487043900532305E-3</v>
          </cell>
        </row>
        <row r="451">
          <cell r="A451">
            <v>35899</v>
          </cell>
          <cell r="B451">
            <v>6.3765141999999999E-3</v>
          </cell>
          <cell r="C451">
            <v>-6.5570000000000003E-3</v>
          </cell>
          <cell r="D451">
            <v>-3.162944498843101E-2</v>
          </cell>
        </row>
        <row r="452">
          <cell r="A452">
            <v>35900</v>
          </cell>
          <cell r="B452">
            <v>2.508021E-3</v>
          </cell>
          <cell r="C452">
            <v>-6.6010000000000001E-3</v>
          </cell>
          <cell r="D452">
            <v>6.8211741749706345E-3</v>
          </cell>
        </row>
        <row r="453">
          <cell r="A453">
            <v>35901</v>
          </cell>
          <cell r="B453">
            <v>-9.4713977999999997E-3</v>
          </cell>
          <cell r="C453">
            <v>5.9801E-2</v>
          </cell>
          <cell r="D453">
            <v>-1.5745522069485429E-2</v>
          </cell>
        </row>
        <row r="454">
          <cell r="A454">
            <v>35902</v>
          </cell>
          <cell r="B454">
            <v>1.213557E-2</v>
          </cell>
          <cell r="C454">
            <v>-3.4483E-2</v>
          </cell>
          <cell r="D454">
            <v>-6.0224769041804294E-2</v>
          </cell>
        </row>
        <row r="455">
          <cell r="A455">
            <v>35905</v>
          </cell>
          <cell r="B455">
            <v>-5.9688648999999997E-5</v>
          </cell>
          <cell r="C455">
            <v>2.9221E-2</v>
          </cell>
          <cell r="D455">
            <v>2.8105265700667292E-2</v>
          </cell>
        </row>
        <row r="456">
          <cell r="A456">
            <v>35906</v>
          </cell>
          <cell r="B456">
            <v>1.0956029999999999E-3</v>
          </cell>
          <cell r="C456">
            <v>-1.5770000000000001E-3</v>
          </cell>
          <cell r="D456">
            <v>3.435854122122195E-2</v>
          </cell>
        </row>
        <row r="457">
          <cell r="A457">
            <v>35907</v>
          </cell>
          <cell r="B457">
            <v>1.9547469000000001E-3</v>
          </cell>
          <cell r="C457">
            <v>-1.58E-3</v>
          </cell>
          <cell r="D457">
            <v>3.2012127689844849E-2</v>
          </cell>
        </row>
        <row r="458">
          <cell r="A458">
            <v>35908</v>
          </cell>
          <cell r="B458">
            <v>-8.9375320999999994E-3</v>
          </cell>
          <cell r="C458">
            <v>3.1649999999999998E-3</v>
          </cell>
          <cell r="D458">
            <v>1.223226356537066E-2</v>
          </cell>
        </row>
        <row r="459">
          <cell r="A459">
            <v>35909</v>
          </cell>
          <cell r="B459">
            <v>-1.007652E-2</v>
          </cell>
          <cell r="C459">
            <v>-1.5770000000000001E-3</v>
          </cell>
          <cell r="D459">
            <v>2.5023804945935257E-2</v>
          </cell>
        </row>
        <row r="460">
          <cell r="A460">
            <v>35912</v>
          </cell>
          <cell r="B460">
            <v>-2.0010481E-2</v>
          </cell>
          <cell r="C460">
            <v>-4.7390000000000002E-3</v>
          </cell>
          <cell r="D460">
            <v>-2.0717191081614961E-2</v>
          </cell>
        </row>
        <row r="461">
          <cell r="A461">
            <v>35913</v>
          </cell>
          <cell r="B461">
            <v>9.4338821E-4</v>
          </cell>
          <cell r="C461">
            <v>0</v>
          </cell>
          <cell r="D461">
            <v>-2.2255717279420995E-2</v>
          </cell>
        </row>
        <row r="462">
          <cell r="A462">
            <v>35914</v>
          </cell>
          <cell r="B462">
            <v>8.6096320000000007E-3</v>
          </cell>
          <cell r="C462">
            <v>4.2856999999999999E-2</v>
          </cell>
          <cell r="D462">
            <v>-1.0237208445376234E-2</v>
          </cell>
        </row>
        <row r="463">
          <cell r="A463">
            <v>35915</v>
          </cell>
          <cell r="B463">
            <v>1.578334E-2</v>
          </cell>
          <cell r="C463">
            <v>1.2177E-2</v>
          </cell>
          <cell r="D463">
            <v>6.1405854763136869E-3</v>
          </cell>
        </row>
        <row r="464">
          <cell r="A464">
            <v>35916</v>
          </cell>
          <cell r="B464">
            <v>7.2968280999999996E-3</v>
          </cell>
          <cell r="C464">
            <v>-3.0079999999999998E-3</v>
          </cell>
          <cell r="D464">
            <v>-3.2166615339036531E-3</v>
          </cell>
        </row>
        <row r="465">
          <cell r="A465">
            <v>35919</v>
          </cell>
          <cell r="B465">
            <v>1.500422E-3</v>
          </cell>
          <cell r="C465">
            <v>1.0558E-2</v>
          </cell>
          <cell r="D465">
            <v>-2.0134062618943571E-2</v>
          </cell>
        </row>
        <row r="466">
          <cell r="A466">
            <v>35920</v>
          </cell>
          <cell r="B466">
            <v>-5.0293630999999998E-3</v>
          </cell>
          <cell r="C466">
            <v>1.493E-3</v>
          </cell>
          <cell r="D466">
            <v>2.0914633049795794E-2</v>
          </cell>
        </row>
        <row r="467">
          <cell r="A467">
            <v>35921</v>
          </cell>
          <cell r="B467">
            <v>-8.5211350000000009E-3</v>
          </cell>
          <cell r="C467">
            <v>-1.1923E-2</v>
          </cell>
          <cell r="D467">
            <v>-2.551699841465549E-2</v>
          </cell>
        </row>
        <row r="468">
          <cell r="A468">
            <v>35922</v>
          </cell>
          <cell r="B468">
            <v>-7.3614209000000003E-3</v>
          </cell>
          <cell r="C468">
            <v>-7.541E-3</v>
          </cell>
          <cell r="D468">
            <v>1.3117286740152334E-2</v>
          </cell>
        </row>
        <row r="469">
          <cell r="A469">
            <v>35923</v>
          </cell>
          <cell r="B469">
            <v>9.4516388999999999E-3</v>
          </cell>
          <cell r="C469">
            <v>1.6716999999999999E-2</v>
          </cell>
          <cell r="D469">
            <v>9.1316108128167706E-3</v>
          </cell>
        </row>
        <row r="470">
          <cell r="A470">
            <v>35926</v>
          </cell>
          <cell r="B470">
            <v>-3.8422289E-4</v>
          </cell>
          <cell r="C470">
            <v>1.7937000000000002E-2</v>
          </cell>
          <cell r="D470">
            <v>1.7284646203424625E-2</v>
          </cell>
        </row>
        <row r="471">
          <cell r="A471">
            <v>35927</v>
          </cell>
          <cell r="B471">
            <v>4.9402411000000002E-3</v>
          </cell>
          <cell r="C471">
            <v>1.0279E-2</v>
          </cell>
          <cell r="D471">
            <v>1.758189299076407E-2</v>
          </cell>
        </row>
        <row r="472">
          <cell r="A472">
            <v>35928</v>
          </cell>
          <cell r="B472">
            <v>2.2912419000000002E-3</v>
          </cell>
          <cell r="C472">
            <v>1.4534999999999999E-2</v>
          </cell>
          <cell r="D472">
            <v>-1.0665880228325153E-2</v>
          </cell>
        </row>
        <row r="473">
          <cell r="A473">
            <v>35929</v>
          </cell>
          <cell r="B473">
            <v>-1.8515599999999999E-3</v>
          </cell>
          <cell r="C473">
            <v>2.8649999999999999E-3</v>
          </cell>
          <cell r="D473">
            <v>-2.0673208617328132E-2</v>
          </cell>
        </row>
        <row r="474">
          <cell r="A474">
            <v>35930</v>
          </cell>
          <cell r="B474">
            <v>-6.5786819999999998E-3</v>
          </cell>
          <cell r="C474">
            <v>-2.7143E-2</v>
          </cell>
          <cell r="D474">
            <v>1.4964296291421153E-2</v>
          </cell>
        </row>
        <row r="475">
          <cell r="A475">
            <v>35933</v>
          </cell>
          <cell r="B475">
            <v>-3.4363291000000002E-3</v>
          </cell>
          <cell r="C475">
            <v>-5.8739999999999999E-3</v>
          </cell>
          <cell r="D475">
            <v>-1.7357070487770132E-3</v>
          </cell>
        </row>
        <row r="476">
          <cell r="A476">
            <v>35934</v>
          </cell>
          <cell r="B476">
            <v>3.1383579999999999E-3</v>
          </cell>
          <cell r="C476">
            <v>4.431E-3</v>
          </cell>
          <cell r="D476">
            <v>7.6404145101760523E-3</v>
          </cell>
        </row>
        <row r="477">
          <cell r="A477">
            <v>35935</v>
          </cell>
          <cell r="B477">
            <v>7.7432361000000002E-3</v>
          </cell>
          <cell r="C477">
            <v>-5.7650000000000002E-3</v>
          </cell>
          <cell r="D477">
            <v>-1.4004625232959533E-2</v>
          </cell>
        </row>
        <row r="478">
          <cell r="A478">
            <v>35936</v>
          </cell>
          <cell r="B478">
            <v>-2.4951941000000001E-3</v>
          </cell>
          <cell r="C478">
            <v>-2.967E-3</v>
          </cell>
          <cell r="D478">
            <v>-9.6982418944903115E-3</v>
          </cell>
        </row>
        <row r="479">
          <cell r="A479">
            <v>35937</v>
          </cell>
          <cell r="B479">
            <v>-3.9906361999999997E-3</v>
          </cell>
          <cell r="C479">
            <v>-1.488E-3</v>
          </cell>
          <cell r="D479">
            <v>-2.7646656606620801E-2</v>
          </cell>
        </row>
        <row r="480">
          <cell r="A480">
            <v>35941</v>
          </cell>
          <cell r="B480">
            <v>-1.465872E-2</v>
          </cell>
          <cell r="C480">
            <v>-2.2355E-2</v>
          </cell>
          <cell r="D480">
            <v>-3.0756957233910698E-2</v>
          </cell>
        </row>
        <row r="481">
          <cell r="A481">
            <v>35942</v>
          </cell>
          <cell r="B481">
            <v>-4.0140267999999998E-3</v>
          </cell>
          <cell r="C481">
            <v>-1.6768000000000002E-2</v>
          </cell>
          <cell r="D481">
            <v>2.0531109390421243E-2</v>
          </cell>
        </row>
        <row r="482">
          <cell r="A482">
            <v>35943</v>
          </cell>
          <cell r="B482">
            <v>5.5190370999999997E-3</v>
          </cell>
          <cell r="C482">
            <v>4.3410999999999998E-2</v>
          </cell>
          <cell r="D482">
            <v>-2.8155237462521576E-3</v>
          </cell>
        </row>
        <row r="483">
          <cell r="A483">
            <v>35944</v>
          </cell>
          <cell r="B483">
            <v>-2.6040949999999998E-3</v>
          </cell>
          <cell r="C483">
            <v>-1.4859999999999999E-3</v>
          </cell>
          <cell r="D483">
            <v>2.1508548474131972E-2</v>
          </cell>
        </row>
        <row r="484">
          <cell r="A484">
            <v>35947</v>
          </cell>
          <cell r="B484">
            <v>-3.9569219000000001E-4</v>
          </cell>
          <cell r="C484">
            <v>2.9759999999999999E-3</v>
          </cell>
          <cell r="D484">
            <v>-2.4480316713495709E-2</v>
          </cell>
        </row>
        <row r="485">
          <cell r="A485">
            <v>35948</v>
          </cell>
          <cell r="B485">
            <v>1.03254E-3</v>
          </cell>
          <cell r="C485">
            <v>1.1868999999999999E-2</v>
          </cell>
          <cell r="D485">
            <v>9.7250370363060057E-3</v>
          </cell>
        </row>
        <row r="486">
          <cell r="A486">
            <v>35949</v>
          </cell>
          <cell r="B486">
            <v>-6.6812950999999999E-3</v>
          </cell>
          <cell r="C486">
            <v>8.7980000000000003E-3</v>
          </cell>
          <cell r="D486">
            <v>-1.3116696698531105E-2</v>
          </cell>
        </row>
        <row r="487">
          <cell r="A487">
            <v>35950</v>
          </cell>
          <cell r="B487">
            <v>8.3114495999999996E-3</v>
          </cell>
          <cell r="C487">
            <v>1.8894999999999999E-2</v>
          </cell>
          <cell r="D487">
            <v>3.4610899710090459E-2</v>
          </cell>
        </row>
        <row r="488">
          <cell r="A488">
            <v>35951</v>
          </cell>
          <cell r="B488">
            <v>1.5313729999999999E-2</v>
          </cell>
          <cell r="C488">
            <v>4.2796000000000001E-2</v>
          </cell>
          <cell r="D488">
            <v>1.880717589656844E-2</v>
          </cell>
        </row>
        <row r="489">
          <cell r="A489">
            <v>35954</v>
          </cell>
          <cell r="B489">
            <v>2.8985699E-3</v>
          </cell>
          <cell r="C489">
            <v>-2.3255999999999999E-2</v>
          </cell>
          <cell r="D489">
            <v>-2.0364831236487357E-2</v>
          </cell>
        </row>
        <row r="490">
          <cell r="A490">
            <v>35955</v>
          </cell>
          <cell r="B490">
            <v>1.4044999999999999E-3</v>
          </cell>
          <cell r="C490">
            <v>-2.8010000000000001E-3</v>
          </cell>
          <cell r="D490">
            <v>2.0048526929568711E-2</v>
          </cell>
        </row>
        <row r="491">
          <cell r="A491">
            <v>35956</v>
          </cell>
          <cell r="B491">
            <v>-5.5367029E-3</v>
          </cell>
          <cell r="C491">
            <v>1.4040000000000001E-3</v>
          </cell>
          <cell r="D491">
            <v>-1.3776001880361988E-2</v>
          </cell>
        </row>
        <row r="492">
          <cell r="A492">
            <v>35957</v>
          </cell>
          <cell r="B492">
            <v>-1.483023E-2</v>
          </cell>
          <cell r="C492">
            <v>1.9635E-2</v>
          </cell>
          <cell r="D492">
            <v>-1.4760873140144182E-2</v>
          </cell>
        </row>
        <row r="493">
          <cell r="A493">
            <v>35958</v>
          </cell>
          <cell r="B493">
            <v>1.5425039000000001E-3</v>
          </cell>
          <cell r="C493">
            <v>-8.2529999999999999E-3</v>
          </cell>
          <cell r="D493">
            <v>-2.0745266941705975E-2</v>
          </cell>
        </row>
        <row r="494">
          <cell r="A494">
            <v>35961</v>
          </cell>
          <cell r="B494">
            <v>-2.0223061000000001E-2</v>
          </cell>
          <cell r="C494">
            <v>-2.774E-3</v>
          </cell>
          <cell r="D494">
            <v>7.0587014706555706E-3</v>
          </cell>
        </row>
        <row r="495">
          <cell r="A495">
            <v>35962</v>
          </cell>
          <cell r="B495">
            <v>7.6248338000000004E-3</v>
          </cell>
          <cell r="C495">
            <v>-8.345E-3</v>
          </cell>
          <cell r="D495">
            <v>4.4802625608018065E-2</v>
          </cell>
        </row>
        <row r="496">
          <cell r="A496">
            <v>35963</v>
          </cell>
          <cell r="B496">
            <v>1.694555E-2</v>
          </cell>
          <cell r="C496">
            <v>3.2258000000000002E-2</v>
          </cell>
          <cell r="D496">
            <v>1.0840677838766855E-2</v>
          </cell>
        </row>
        <row r="497">
          <cell r="A497">
            <v>35964</v>
          </cell>
          <cell r="B497">
            <v>-1.7084240000000001E-3</v>
          </cell>
          <cell r="C497">
            <v>2.0379999999999999E-2</v>
          </cell>
          <cell r="D497">
            <v>8.2357955172280839E-3</v>
          </cell>
        </row>
        <row r="498">
          <cell r="A498">
            <v>35965</v>
          </cell>
          <cell r="B498">
            <v>-5.7879341999999999E-3</v>
          </cell>
          <cell r="C498">
            <v>-1.4647E-2</v>
          </cell>
          <cell r="D498">
            <v>2.7040661774614616E-2</v>
          </cell>
        </row>
        <row r="499">
          <cell r="A499">
            <v>35968</v>
          </cell>
          <cell r="B499">
            <v>1.3924549999999999E-3</v>
          </cell>
          <cell r="C499">
            <v>-1.0810999999999999E-2</v>
          </cell>
          <cell r="D499">
            <v>-2.0590161581180877E-2</v>
          </cell>
        </row>
        <row r="500">
          <cell r="A500">
            <v>35969</v>
          </cell>
          <cell r="B500">
            <v>1.149533E-2</v>
          </cell>
          <cell r="C500">
            <v>-1.2295E-2</v>
          </cell>
          <cell r="D500">
            <v>7.6603521242879502E-3</v>
          </cell>
        </row>
        <row r="501">
          <cell r="A501">
            <v>35970</v>
          </cell>
          <cell r="B501">
            <v>9.7880624000000003E-3</v>
          </cell>
          <cell r="C501">
            <v>5.5329999999999997E-3</v>
          </cell>
          <cell r="D501">
            <v>-1.7671229452124848E-2</v>
          </cell>
        </row>
        <row r="502">
          <cell r="A502">
            <v>35971</v>
          </cell>
          <cell r="B502">
            <v>-1.5497620000000001E-3</v>
          </cell>
          <cell r="C502">
            <v>6.8780000000000004E-3</v>
          </cell>
          <cell r="D502">
            <v>-7.4728127273793188E-4</v>
          </cell>
        </row>
        <row r="503">
          <cell r="A503">
            <v>35972</v>
          </cell>
          <cell r="B503">
            <v>2.9149430000000001E-3</v>
          </cell>
          <cell r="C503">
            <v>2.3224000000000002E-2</v>
          </cell>
          <cell r="D503">
            <v>2.0277349126728739E-2</v>
          </cell>
        </row>
        <row r="504">
          <cell r="A504">
            <v>35975</v>
          </cell>
          <cell r="B504">
            <v>4.3787961000000004E-3</v>
          </cell>
          <cell r="C504">
            <v>0</v>
          </cell>
          <cell r="D504">
            <v>1.5777165828735118E-2</v>
          </cell>
        </row>
        <row r="505">
          <cell r="A505">
            <v>35976</v>
          </cell>
          <cell r="B505">
            <v>-2.1482710999999998E-3</v>
          </cell>
          <cell r="C505">
            <v>-9.3460000000000001E-3</v>
          </cell>
          <cell r="D505">
            <v>1.7070244693613512E-2</v>
          </cell>
        </row>
        <row r="506">
          <cell r="A506">
            <v>35977</v>
          </cell>
          <cell r="B506">
            <v>1.1002359999999999E-2</v>
          </cell>
          <cell r="C506">
            <v>2.6949999999999999E-3</v>
          </cell>
          <cell r="D506">
            <v>8.4379983394178293E-3</v>
          </cell>
        </row>
        <row r="507">
          <cell r="A507">
            <v>35978</v>
          </cell>
          <cell r="B507">
            <v>2.4834301E-4</v>
          </cell>
          <cell r="C507">
            <v>1.3439999999999999E-3</v>
          </cell>
          <cell r="D507">
            <v>1.4153671230996867E-2</v>
          </cell>
        </row>
        <row r="508">
          <cell r="A508">
            <v>35982</v>
          </cell>
          <cell r="B508">
            <v>8.6661084000000006E-3</v>
          </cell>
          <cell r="C508">
            <v>2.8188000000000001E-2</v>
          </cell>
          <cell r="D508">
            <v>-2.8447073301954839E-3</v>
          </cell>
        </row>
        <row r="509">
          <cell r="A509">
            <v>35983</v>
          </cell>
          <cell r="B509">
            <v>-1.474721E-3</v>
          </cell>
          <cell r="C509">
            <v>-9.1380000000000003E-3</v>
          </cell>
          <cell r="D509">
            <v>2.9131316003161434E-3</v>
          </cell>
        </row>
        <row r="510">
          <cell r="A510">
            <v>35984</v>
          </cell>
          <cell r="B510">
            <v>7.6140859000000003E-3</v>
          </cell>
          <cell r="C510">
            <v>3.2938000000000002E-2</v>
          </cell>
          <cell r="D510">
            <v>1.1984850616208798E-2</v>
          </cell>
        </row>
        <row r="511">
          <cell r="A511">
            <v>35985</v>
          </cell>
          <cell r="B511">
            <v>-6.6167311999999999E-3</v>
          </cell>
          <cell r="C511">
            <v>0</v>
          </cell>
          <cell r="D511">
            <v>8.7625474841366291E-3</v>
          </cell>
        </row>
        <row r="512">
          <cell r="A512">
            <v>35986</v>
          </cell>
          <cell r="B512">
            <v>3.365973E-3</v>
          </cell>
          <cell r="C512">
            <v>0</v>
          </cell>
          <cell r="D512">
            <v>-3.2082366479502245E-4</v>
          </cell>
        </row>
        <row r="513">
          <cell r="A513">
            <v>35989</v>
          </cell>
          <cell r="B513">
            <v>-1.3310669E-3</v>
          </cell>
          <cell r="C513">
            <v>-5.1019999999999998E-3</v>
          </cell>
          <cell r="D513">
            <v>-4.4245785602075038E-3</v>
          </cell>
        </row>
        <row r="514">
          <cell r="A514">
            <v>35990</v>
          </cell>
          <cell r="B514">
            <v>9.9747553000000006E-3</v>
          </cell>
          <cell r="C514">
            <v>1.6667000000000001E-2</v>
          </cell>
          <cell r="D514">
            <v>1.6164148438755133E-2</v>
          </cell>
        </row>
        <row r="515">
          <cell r="A515">
            <v>35991</v>
          </cell>
          <cell r="B515">
            <v>-3.7798679E-3</v>
          </cell>
          <cell r="C515">
            <v>1.0088E-2</v>
          </cell>
          <cell r="D515">
            <v>7.6914116210520245E-3</v>
          </cell>
        </row>
        <row r="516">
          <cell r="A516">
            <v>35992</v>
          </cell>
          <cell r="B516">
            <v>7.1693649999999996E-3</v>
          </cell>
          <cell r="C516">
            <v>8.8638999999999996E-2</v>
          </cell>
          <cell r="D516">
            <v>9.9096151444433289E-3</v>
          </cell>
        </row>
        <row r="517">
          <cell r="A517">
            <v>35993</v>
          </cell>
          <cell r="B517">
            <v>1.2129109999999999E-3</v>
          </cell>
          <cell r="C517">
            <v>-5.7340000000000004E-3</v>
          </cell>
          <cell r="D517">
            <v>-1.2575910258794898E-2</v>
          </cell>
        </row>
        <row r="518">
          <cell r="A518">
            <v>35996</v>
          </cell>
          <cell r="B518">
            <v>-1.912195E-3</v>
          </cell>
          <cell r="C518">
            <v>-2.307E-3</v>
          </cell>
          <cell r="D518">
            <v>-3.6883392174945406E-2</v>
          </cell>
        </row>
        <row r="519">
          <cell r="A519">
            <v>35997</v>
          </cell>
          <cell r="B519">
            <v>-1.4621469999999999E-2</v>
          </cell>
          <cell r="C519">
            <v>-1.1559999999999999E-3</v>
          </cell>
          <cell r="D519">
            <v>1.0666102106568598E-2</v>
          </cell>
        </row>
        <row r="520">
          <cell r="A520">
            <v>35998</v>
          </cell>
          <cell r="B520">
            <v>-2.5719390000000001E-3</v>
          </cell>
          <cell r="C520">
            <v>-1.0416999999999999E-2</v>
          </cell>
          <cell r="D520">
            <v>-3.0222990654404369E-2</v>
          </cell>
        </row>
        <row r="521">
          <cell r="A521">
            <v>35999</v>
          </cell>
          <cell r="B521">
            <v>-2.0473150999999998E-2</v>
          </cell>
          <cell r="C521">
            <v>-7.0179999999999999E-3</v>
          </cell>
          <cell r="D521">
            <v>4.5349882678011877E-3</v>
          </cell>
        </row>
        <row r="522">
          <cell r="A522">
            <v>36000</v>
          </cell>
          <cell r="B522">
            <v>-1.4022699999999999E-3</v>
          </cell>
          <cell r="C522">
            <v>1.6490000000000001E-2</v>
          </cell>
          <cell r="D522">
            <v>-2.8883727225494371E-2</v>
          </cell>
        </row>
        <row r="523">
          <cell r="A523">
            <v>36003</v>
          </cell>
          <cell r="B523">
            <v>1.3040591E-3</v>
          </cell>
          <cell r="C523">
            <v>-8.1110000000000002E-3</v>
          </cell>
          <cell r="D523">
            <v>2.4366804766582817E-2</v>
          </cell>
        </row>
        <row r="524">
          <cell r="A524">
            <v>36004</v>
          </cell>
          <cell r="B524">
            <v>-1.336703E-2</v>
          </cell>
          <cell r="C524">
            <v>-9.3460000000000001E-3</v>
          </cell>
          <cell r="D524">
            <v>1.0625726239421152E-2</v>
          </cell>
        </row>
        <row r="525">
          <cell r="A525">
            <v>36005</v>
          </cell>
          <cell r="B525">
            <v>-3.9158667999999999E-3</v>
          </cell>
          <cell r="C525">
            <v>-5.8960000000000002E-3</v>
          </cell>
          <cell r="D525">
            <v>-2.5277480112522954E-2</v>
          </cell>
        </row>
        <row r="526">
          <cell r="A526">
            <v>36006</v>
          </cell>
          <cell r="B526">
            <v>1.293236E-2</v>
          </cell>
          <cell r="C526">
            <v>-2.372E-3</v>
          </cell>
          <cell r="D526">
            <v>1.0247556459019869E-4</v>
          </cell>
        </row>
        <row r="527">
          <cell r="A527">
            <v>36007</v>
          </cell>
          <cell r="B527">
            <v>-1.6782169999999999E-2</v>
          </cell>
          <cell r="C527">
            <v>-5.9449999999999998E-3</v>
          </cell>
          <cell r="D527">
            <v>-5.7992998963097842E-3</v>
          </cell>
        </row>
        <row r="528">
          <cell r="A528">
            <v>36010</v>
          </cell>
          <cell r="B528">
            <v>-7.8717526000000003E-3</v>
          </cell>
          <cell r="C528">
            <v>-2.512E-2</v>
          </cell>
          <cell r="D528">
            <v>-1.3316380256760629E-2</v>
          </cell>
        </row>
        <row r="529">
          <cell r="A529">
            <v>36011</v>
          </cell>
          <cell r="B529">
            <v>-3.4499879999999997E-2</v>
          </cell>
          <cell r="C529">
            <v>-2.8221E-2</v>
          </cell>
          <cell r="D529">
            <v>-1.9275114019162709E-2</v>
          </cell>
        </row>
        <row r="530">
          <cell r="A530">
            <v>36012</v>
          </cell>
          <cell r="B530">
            <v>5.1844600000000001E-3</v>
          </cell>
          <cell r="C530">
            <v>-4.6717000000000002E-2</v>
          </cell>
          <cell r="D530">
            <v>1.068770867195501E-2</v>
          </cell>
        </row>
        <row r="531">
          <cell r="A531">
            <v>36013</v>
          </cell>
          <cell r="B531">
            <v>7.3219221000000003E-3</v>
          </cell>
          <cell r="C531">
            <v>-1.9868E-2</v>
          </cell>
          <cell r="D531">
            <v>-6.4247652996238802E-3</v>
          </cell>
        </row>
        <row r="532">
          <cell r="A532">
            <v>36014</v>
          </cell>
          <cell r="B532">
            <v>2.9235440000000001E-3</v>
          </cell>
          <cell r="C532">
            <v>9.4590000000000004E-3</v>
          </cell>
          <cell r="D532">
            <v>-1.1534218180602407E-2</v>
          </cell>
        </row>
        <row r="533">
          <cell r="A533">
            <v>36017</v>
          </cell>
          <cell r="B533">
            <v>-6.2434450000000002E-3</v>
          </cell>
          <cell r="C533">
            <v>-4.0159999999999996E-3</v>
          </cell>
          <cell r="D533">
            <v>-1.1954551710142369E-2</v>
          </cell>
        </row>
        <row r="534">
          <cell r="A534">
            <v>36018</v>
          </cell>
          <cell r="B534">
            <v>-1.4960589999999999E-2</v>
          </cell>
          <cell r="C534">
            <v>-1.2097E-2</v>
          </cell>
          <cell r="D534">
            <v>3.2495479033575636E-2</v>
          </cell>
        </row>
        <row r="535">
          <cell r="A535">
            <v>36019</v>
          </cell>
          <cell r="B535">
            <v>1.492521E-2</v>
          </cell>
          <cell r="C535">
            <v>6.803E-3</v>
          </cell>
          <cell r="D535">
            <v>-6.995597312428492E-3</v>
          </cell>
        </row>
        <row r="536">
          <cell r="A536">
            <v>36020</v>
          </cell>
          <cell r="B536">
            <v>-8.0753014999999997E-3</v>
          </cell>
          <cell r="C536">
            <v>2.9729999999999999E-2</v>
          </cell>
          <cell r="D536">
            <v>3.6297425435253716E-2</v>
          </cell>
        </row>
        <row r="537">
          <cell r="A537">
            <v>36021</v>
          </cell>
          <cell r="B537">
            <v>-9.9663640999999997E-3</v>
          </cell>
          <cell r="C537">
            <v>4.5932000000000001E-2</v>
          </cell>
          <cell r="D537">
            <v>2.7674672064579298E-3</v>
          </cell>
        </row>
        <row r="538">
          <cell r="A538">
            <v>36024</v>
          </cell>
          <cell r="B538">
            <v>1.492017E-2</v>
          </cell>
          <cell r="C538">
            <v>2.5089999999999999E-3</v>
          </cell>
          <cell r="D538">
            <v>9.2721849961001634E-3</v>
          </cell>
        </row>
        <row r="539">
          <cell r="A539">
            <v>36025</v>
          </cell>
          <cell r="B539">
            <v>1.542109E-2</v>
          </cell>
          <cell r="C539">
            <v>8.7609999999999997E-3</v>
          </cell>
          <cell r="D539">
            <v>-5.0836424391383916E-3</v>
          </cell>
        </row>
        <row r="540">
          <cell r="A540">
            <v>36026</v>
          </cell>
          <cell r="B540">
            <v>-3.6686319000000002E-3</v>
          </cell>
          <cell r="C540">
            <v>1.6227999999999999E-2</v>
          </cell>
          <cell r="D540">
            <v>-1.3582249291097082E-2</v>
          </cell>
        </row>
        <row r="541">
          <cell r="A541">
            <v>36027</v>
          </cell>
          <cell r="B541">
            <v>-6.6049532000000003E-3</v>
          </cell>
          <cell r="C541">
            <v>2.4480000000000001E-3</v>
          </cell>
          <cell r="D541">
            <v>1.0819668463792675E-2</v>
          </cell>
        </row>
        <row r="542">
          <cell r="A542">
            <v>36028</v>
          </cell>
          <cell r="B542">
            <v>-1.0151469999999999E-2</v>
          </cell>
          <cell r="C542">
            <v>-6.1050000000000002E-3</v>
          </cell>
          <cell r="D542">
            <v>2.816885822950943E-2</v>
          </cell>
        </row>
        <row r="543">
          <cell r="A543">
            <v>36031</v>
          </cell>
          <cell r="B543">
            <v>5.0786128E-3</v>
          </cell>
          <cell r="C543">
            <v>8.6E-3</v>
          </cell>
          <cell r="D543">
            <v>1.2965627687270942E-2</v>
          </cell>
        </row>
        <row r="544">
          <cell r="A544">
            <v>36032</v>
          </cell>
          <cell r="B544">
            <v>2.1177840000000002E-3</v>
          </cell>
          <cell r="C544">
            <v>1.3398E-2</v>
          </cell>
          <cell r="D544">
            <v>2.0858567184730781E-2</v>
          </cell>
        </row>
        <row r="545">
          <cell r="A545">
            <v>36033</v>
          </cell>
          <cell r="B545">
            <v>-9.5152976E-3</v>
          </cell>
          <cell r="C545">
            <v>6.0099999999999997E-3</v>
          </cell>
          <cell r="D545">
            <v>-1.1412032122294469E-2</v>
          </cell>
        </row>
        <row r="546">
          <cell r="A546">
            <v>36034</v>
          </cell>
          <cell r="B546">
            <v>-3.7945318999999998E-2</v>
          </cell>
          <cell r="C546">
            <v>-4.7790000000000003E-3</v>
          </cell>
          <cell r="D546">
            <v>-5.2060139199021638E-3</v>
          </cell>
        </row>
        <row r="547">
          <cell r="A547">
            <v>36035</v>
          </cell>
          <cell r="B547">
            <v>-1.323452E-2</v>
          </cell>
          <cell r="C547">
            <v>-5.5222E-2</v>
          </cell>
          <cell r="D547">
            <v>-1.5701891592709627E-2</v>
          </cell>
        </row>
        <row r="548">
          <cell r="A548">
            <v>36038</v>
          </cell>
          <cell r="B548">
            <v>-6.1488359999999999E-2</v>
          </cell>
          <cell r="C548">
            <v>-3.9390000000000001E-2</v>
          </cell>
          <cell r="D548">
            <v>9.7088318114229022E-3</v>
          </cell>
        </row>
        <row r="549">
          <cell r="A549">
            <v>36039</v>
          </cell>
          <cell r="B549">
            <v>3.1635702000000002E-2</v>
          </cell>
          <cell r="C549">
            <v>-1.455E-2</v>
          </cell>
          <cell r="D549">
            <v>4.56708525403271E-3</v>
          </cell>
        </row>
        <row r="550">
          <cell r="A550">
            <v>36040</v>
          </cell>
          <cell r="B550">
            <v>-1.5688989999999999E-3</v>
          </cell>
          <cell r="C550">
            <v>4.9664E-2</v>
          </cell>
          <cell r="D550">
            <v>-5.1314394742421054E-3</v>
          </cell>
        </row>
        <row r="551">
          <cell r="A551">
            <v>36041</v>
          </cell>
          <cell r="B551">
            <v>-9.7635062000000009E-3</v>
          </cell>
          <cell r="C551">
            <v>9.4629000000000005E-2</v>
          </cell>
          <cell r="D551">
            <v>4.1246208283123309E-2</v>
          </cell>
        </row>
        <row r="552">
          <cell r="A552">
            <v>36042</v>
          </cell>
          <cell r="B552">
            <v>-7.3614442E-3</v>
          </cell>
          <cell r="C552">
            <v>1.8692E-2</v>
          </cell>
          <cell r="D552">
            <v>-1.5144212813026359E-3</v>
          </cell>
        </row>
        <row r="553">
          <cell r="A553">
            <v>36046</v>
          </cell>
          <cell r="B553">
            <v>4.5746519999999999E-2</v>
          </cell>
          <cell r="C553">
            <v>-1.1468000000000001E-2</v>
          </cell>
          <cell r="D553">
            <v>-1.0185582773360347E-2</v>
          </cell>
        </row>
        <row r="554">
          <cell r="A554">
            <v>36047</v>
          </cell>
          <cell r="B554">
            <v>-1.657459E-2</v>
          </cell>
          <cell r="C554">
            <v>3.1322999999999997E-2</v>
          </cell>
          <cell r="D554">
            <v>1.6410381714796918E-2</v>
          </cell>
        </row>
        <row r="555">
          <cell r="A555">
            <v>36048</v>
          </cell>
          <cell r="B555">
            <v>-2.4668550000000001E-2</v>
          </cell>
          <cell r="C555">
            <v>7.8740000000000008E-3</v>
          </cell>
          <cell r="D555">
            <v>1.2654553010995162E-2</v>
          </cell>
        </row>
        <row r="556">
          <cell r="A556">
            <v>36049</v>
          </cell>
          <cell r="B556">
            <v>2.38727E-2</v>
          </cell>
          <cell r="C556">
            <v>-3.3479999999999998E-3</v>
          </cell>
          <cell r="D556">
            <v>-1.5105746259273301E-2</v>
          </cell>
        </row>
        <row r="557">
          <cell r="A557">
            <v>36052</v>
          </cell>
          <cell r="B557">
            <v>2.1037690000000001E-2</v>
          </cell>
          <cell r="C557">
            <v>5.8230999999999998E-2</v>
          </cell>
          <cell r="D557">
            <v>9.7129223742427051E-3</v>
          </cell>
        </row>
        <row r="558">
          <cell r="A558">
            <v>36053</v>
          </cell>
          <cell r="B558">
            <v>6.7036570999999996E-3</v>
          </cell>
          <cell r="C558">
            <v>-4.9735000000000001E-2</v>
          </cell>
          <cell r="D558">
            <v>-2.0492242706485198E-2</v>
          </cell>
        </row>
        <row r="559">
          <cell r="A559">
            <v>36054</v>
          </cell>
          <cell r="B559">
            <v>8.7632034000000008E-3</v>
          </cell>
          <cell r="C559">
            <v>0</v>
          </cell>
          <cell r="D559">
            <v>-1.6977174787449201E-3</v>
          </cell>
        </row>
        <row r="560">
          <cell r="A560">
            <v>36055</v>
          </cell>
          <cell r="B560">
            <v>-2.3097459000000001E-2</v>
          </cell>
          <cell r="C560">
            <v>1.3363E-2</v>
          </cell>
          <cell r="D560">
            <v>2.4170515612150334E-2</v>
          </cell>
        </row>
        <row r="561">
          <cell r="A561">
            <v>36056</v>
          </cell>
          <cell r="B561">
            <v>2.7768939999999998E-3</v>
          </cell>
          <cell r="C561">
            <v>6.5929999999999999E-3</v>
          </cell>
          <cell r="D561">
            <v>6.1146512255056962E-3</v>
          </cell>
        </row>
        <row r="562">
          <cell r="A562">
            <v>36059</v>
          </cell>
          <cell r="B562">
            <v>3.5010331E-4</v>
          </cell>
          <cell r="C562">
            <v>3.9301000000000003E-2</v>
          </cell>
          <cell r="D562">
            <v>-2.3229783111726854E-2</v>
          </cell>
        </row>
        <row r="563">
          <cell r="A563">
            <v>36060</v>
          </cell>
          <cell r="B563">
            <v>6.8624619999999997E-3</v>
          </cell>
          <cell r="C563">
            <v>-6.3029999999999996E-3</v>
          </cell>
          <cell r="D563">
            <v>1.3542721185617612E-2</v>
          </cell>
        </row>
        <row r="564">
          <cell r="A564">
            <v>36061</v>
          </cell>
          <cell r="B564">
            <v>3.1523309999999999E-2</v>
          </cell>
          <cell r="C564">
            <v>-1.057E-3</v>
          </cell>
          <cell r="D564">
            <v>-4.0388492068320736E-2</v>
          </cell>
        </row>
        <row r="565">
          <cell r="A565">
            <v>36062</v>
          </cell>
          <cell r="B565">
            <v>-1.9227330000000001E-2</v>
          </cell>
          <cell r="C565">
            <v>2.3279999999999999E-2</v>
          </cell>
          <cell r="D565">
            <v>-4.0482193541024891E-3</v>
          </cell>
        </row>
        <row r="566">
          <cell r="A566">
            <v>36063</v>
          </cell>
          <cell r="B566">
            <v>-2.0466801E-3</v>
          </cell>
          <cell r="C566">
            <v>-3.1020000000000002E-3</v>
          </cell>
          <cell r="D566">
            <v>9.0089134238220403E-3</v>
          </cell>
        </row>
        <row r="567">
          <cell r="A567">
            <v>36066</v>
          </cell>
          <cell r="B567">
            <v>4.9543451000000002E-3</v>
          </cell>
          <cell r="C567">
            <v>2.8008000000000002E-2</v>
          </cell>
          <cell r="D567">
            <v>-2.1598272138229069E-3</v>
          </cell>
        </row>
        <row r="568">
          <cell r="A568">
            <v>36067</v>
          </cell>
          <cell r="B568">
            <v>-1.2991420000000001E-3</v>
          </cell>
          <cell r="C568">
            <v>-2.1191000000000002E-2</v>
          </cell>
          <cell r="D568">
            <v>-1.0958450831868527E-2</v>
          </cell>
        </row>
        <row r="569">
          <cell r="A569">
            <v>36068</v>
          </cell>
          <cell r="B569">
            <v>-2.6054068999999999E-2</v>
          </cell>
          <cell r="C569">
            <v>-3.7113E-2</v>
          </cell>
          <cell r="D569">
            <v>6.0380438314888707E-3</v>
          </cell>
        </row>
        <row r="570">
          <cell r="A570">
            <v>36069</v>
          </cell>
          <cell r="B570">
            <v>-2.91404E-2</v>
          </cell>
          <cell r="C570">
            <v>-4.1756000000000001E-2</v>
          </cell>
          <cell r="D570">
            <v>-3.0099045133740177E-3</v>
          </cell>
        </row>
        <row r="571">
          <cell r="A571">
            <v>36070</v>
          </cell>
          <cell r="B571">
            <v>1.5888599999999999E-2</v>
          </cell>
          <cell r="C571">
            <v>1.4525E-2</v>
          </cell>
          <cell r="D571">
            <v>2.2562764639771249E-2</v>
          </cell>
        </row>
        <row r="572">
          <cell r="A572">
            <v>36073</v>
          </cell>
          <cell r="B572">
            <v>-1.316544E-2</v>
          </cell>
          <cell r="C572">
            <v>4.8458000000000001E-2</v>
          </cell>
          <cell r="D572">
            <v>1.3941205924701272E-3</v>
          </cell>
        </row>
        <row r="573">
          <cell r="A573">
            <v>36074</v>
          </cell>
          <cell r="B573">
            <v>-2.4641759000000002E-3</v>
          </cell>
          <cell r="C573">
            <v>-1.3655E-2</v>
          </cell>
          <cell r="D573">
            <v>2.0803854117822818E-2</v>
          </cell>
        </row>
        <row r="574">
          <cell r="A574">
            <v>36075</v>
          </cell>
          <cell r="B574">
            <v>-1.37191E-2</v>
          </cell>
          <cell r="C574">
            <v>-4.0468999999999998E-2</v>
          </cell>
          <cell r="D574">
            <v>1.1697035599231853E-3</v>
          </cell>
        </row>
        <row r="575">
          <cell r="A575">
            <v>36076</v>
          </cell>
          <cell r="B575">
            <v>-1.472299E-2</v>
          </cell>
          <cell r="C575">
            <v>-4.3284999999999997E-2</v>
          </cell>
          <cell r="D575">
            <v>8.3691904165918984E-3</v>
          </cell>
        </row>
        <row r="576">
          <cell r="A576">
            <v>36077</v>
          </cell>
          <cell r="B576">
            <v>2.0841120000000001E-2</v>
          </cell>
          <cell r="C576">
            <v>2.32E-3</v>
          </cell>
          <cell r="D576">
            <v>1.1809874311208279E-2</v>
          </cell>
        </row>
        <row r="577">
          <cell r="A577">
            <v>36080</v>
          </cell>
          <cell r="B577">
            <v>1.2981980000000001E-2</v>
          </cell>
          <cell r="C577">
            <v>5.5556000000000001E-2</v>
          </cell>
          <cell r="D577">
            <v>-1.5391916333876599E-2</v>
          </cell>
        </row>
        <row r="578">
          <cell r="A578">
            <v>36081</v>
          </cell>
          <cell r="B578">
            <v>-2.5213489E-3</v>
          </cell>
          <cell r="C578">
            <v>-4.3860000000000001E-3</v>
          </cell>
          <cell r="D578">
            <v>-2.5491402663724294E-2</v>
          </cell>
        </row>
        <row r="579">
          <cell r="A579">
            <v>36082</v>
          </cell>
          <cell r="B579">
            <v>1.1930980000000001E-2</v>
          </cell>
          <cell r="C579">
            <v>1.3216E-2</v>
          </cell>
          <cell r="D579">
            <v>1.9036973826234149E-3</v>
          </cell>
        </row>
        <row r="580">
          <cell r="A580">
            <v>36083</v>
          </cell>
          <cell r="B580">
            <v>3.9610401000000003E-2</v>
          </cell>
          <cell r="C580">
            <v>1.6303999999999999E-2</v>
          </cell>
          <cell r="D580">
            <v>-2.6659077384802443E-2</v>
          </cell>
        </row>
        <row r="581">
          <cell r="A581">
            <v>36084</v>
          </cell>
          <cell r="B581">
            <v>1.1406100000000001E-2</v>
          </cell>
          <cell r="C581">
            <v>1.3904E-2</v>
          </cell>
          <cell r="D581">
            <v>-1.6300643796218095E-2</v>
          </cell>
        </row>
        <row r="582">
          <cell r="A582">
            <v>36087</v>
          </cell>
          <cell r="B582">
            <v>6.3513661999999999E-3</v>
          </cell>
          <cell r="C582">
            <v>5.2742999999999998E-2</v>
          </cell>
          <cell r="D582">
            <v>-9.154935666850772E-4</v>
          </cell>
        </row>
        <row r="583">
          <cell r="A583">
            <v>36088</v>
          </cell>
          <cell r="B583">
            <v>5.2362470999999999E-3</v>
          </cell>
          <cell r="C583">
            <v>-8.2164000000000001E-2</v>
          </cell>
          <cell r="D583">
            <v>3.9524545701405511E-2</v>
          </cell>
        </row>
        <row r="584">
          <cell r="A584">
            <v>36089</v>
          </cell>
          <cell r="B584">
            <v>2.1832119999999999E-3</v>
          </cell>
          <cell r="C584">
            <v>5.1310000000000001E-2</v>
          </cell>
          <cell r="D584">
            <v>5.742706357044769E-3</v>
          </cell>
        </row>
        <row r="585">
          <cell r="A585">
            <v>36090</v>
          </cell>
          <cell r="B585">
            <v>6.9197412000000002E-3</v>
          </cell>
          <cell r="C585">
            <v>5.1919999999999996E-3</v>
          </cell>
          <cell r="D585">
            <v>4.1049722213311046E-3</v>
          </cell>
        </row>
        <row r="586">
          <cell r="A586">
            <v>36091</v>
          </cell>
          <cell r="B586">
            <v>-6.0507720000000003E-3</v>
          </cell>
          <cell r="C586">
            <v>4.1320000000000003E-3</v>
          </cell>
          <cell r="D586">
            <v>-1.7931563261319727E-4</v>
          </cell>
        </row>
        <row r="587">
          <cell r="A587">
            <v>36094</v>
          </cell>
          <cell r="B587">
            <v>1.448242E-3</v>
          </cell>
          <cell r="C587">
            <v>1.4402999999999999E-2</v>
          </cell>
          <cell r="D587">
            <v>-1.4337516053688493E-3</v>
          </cell>
        </row>
        <row r="588">
          <cell r="A588">
            <v>36095</v>
          </cell>
          <cell r="B588">
            <v>-4.0517030000000002E-3</v>
          </cell>
          <cell r="C588">
            <v>-1.0139999999999999E-3</v>
          </cell>
          <cell r="D588">
            <v>-4.1660172317868893E-3</v>
          </cell>
        </row>
        <row r="589">
          <cell r="A589">
            <v>36096</v>
          </cell>
          <cell r="B589">
            <v>5.2253797000000003E-4</v>
          </cell>
          <cell r="C589">
            <v>2.0300000000000001E-3</v>
          </cell>
          <cell r="D589">
            <v>2.5608574197594214E-2</v>
          </cell>
        </row>
        <row r="590">
          <cell r="A590">
            <v>36097</v>
          </cell>
          <cell r="B590">
            <v>1.6499691E-2</v>
          </cell>
          <cell r="C590">
            <v>1.8237E-2</v>
          </cell>
          <cell r="D590">
            <v>3.4201449071767254E-2</v>
          </cell>
        </row>
        <row r="591">
          <cell r="A591">
            <v>36098</v>
          </cell>
          <cell r="B591">
            <v>1.3758630000000001E-2</v>
          </cell>
          <cell r="C591">
            <v>-5.9699999999999996E-3</v>
          </cell>
          <cell r="D591">
            <v>4.8665985212559271E-4</v>
          </cell>
        </row>
        <row r="592">
          <cell r="A592">
            <v>36101</v>
          </cell>
          <cell r="B592">
            <v>1.386751E-2</v>
          </cell>
          <cell r="C592">
            <v>6.0060000000000001E-3</v>
          </cell>
          <cell r="D592">
            <v>5.0449306505175873E-3</v>
          </cell>
        </row>
        <row r="593">
          <cell r="A593">
            <v>36102</v>
          </cell>
          <cell r="B593">
            <v>4.6784730999999998E-4</v>
          </cell>
          <cell r="C593">
            <v>6.9649999999999998E-3</v>
          </cell>
          <cell r="D593">
            <v>1.6767334165885384E-2</v>
          </cell>
        </row>
        <row r="594">
          <cell r="A594">
            <v>36103</v>
          </cell>
          <cell r="B594">
            <v>6.6787722000000004E-3</v>
          </cell>
          <cell r="C594">
            <v>-6.8380000000000003E-3</v>
          </cell>
          <cell r="D594">
            <v>8.6540281279807729E-3</v>
          </cell>
        </row>
        <row r="595">
          <cell r="A595">
            <v>36104</v>
          </cell>
          <cell r="B595">
            <v>1.309783E-2</v>
          </cell>
          <cell r="C595">
            <v>-1.4955E-2</v>
          </cell>
          <cell r="D595">
            <v>1.5137329522625587E-2</v>
          </cell>
        </row>
        <row r="596">
          <cell r="A596">
            <v>36105</v>
          </cell>
          <cell r="B596">
            <v>5.6583118000000003E-3</v>
          </cell>
          <cell r="C596">
            <v>-2.0240000000000002E-3</v>
          </cell>
          <cell r="D596">
            <v>1.4268431340700216E-2</v>
          </cell>
        </row>
        <row r="597">
          <cell r="A597">
            <v>36108</v>
          </cell>
          <cell r="B597">
            <v>-1.065729E-2</v>
          </cell>
          <cell r="C597">
            <v>-1.0142E-2</v>
          </cell>
          <cell r="D597">
            <v>-5.4761438007752128E-3</v>
          </cell>
        </row>
        <row r="598">
          <cell r="A598">
            <v>36109</v>
          </cell>
          <cell r="B598">
            <v>-2.497029E-3</v>
          </cell>
          <cell r="C598">
            <v>-1.6393000000000001E-2</v>
          </cell>
          <cell r="D598">
            <v>1.0723860589812562E-2</v>
          </cell>
        </row>
        <row r="599">
          <cell r="A599">
            <v>36110</v>
          </cell>
          <cell r="B599">
            <v>-7.6037422000000002E-3</v>
          </cell>
          <cell r="C599">
            <v>0</v>
          </cell>
          <cell r="D599">
            <v>1.4565511381480212E-2</v>
          </cell>
        </row>
        <row r="600">
          <cell r="A600">
            <v>36111</v>
          </cell>
          <cell r="B600">
            <v>-1.939206E-3</v>
          </cell>
          <cell r="C600">
            <v>-1.042E-3</v>
          </cell>
          <cell r="D600">
            <v>6.7513358728681361E-3</v>
          </cell>
        </row>
        <row r="601">
          <cell r="A601">
            <v>36112</v>
          </cell>
          <cell r="B601">
            <v>6.8658319999999997E-3</v>
          </cell>
          <cell r="C601">
            <v>-8.3420000000000005E-3</v>
          </cell>
          <cell r="D601">
            <v>-1.3042800105417252E-3</v>
          </cell>
        </row>
        <row r="602">
          <cell r="A602">
            <v>36115</v>
          </cell>
          <cell r="B602">
            <v>7.5366651000000002E-3</v>
          </cell>
          <cell r="C602">
            <v>1.367E-2</v>
          </cell>
          <cell r="D602">
            <v>2.4566848846111933E-2</v>
          </cell>
        </row>
        <row r="603">
          <cell r="A603">
            <v>36116</v>
          </cell>
          <cell r="B603">
            <v>1.8400790000000001E-3</v>
          </cell>
          <cell r="C603">
            <v>2.2821999999999999E-2</v>
          </cell>
          <cell r="D603">
            <v>-7.3746816613269317E-3</v>
          </cell>
        </row>
        <row r="604">
          <cell r="A604">
            <v>36117</v>
          </cell>
          <cell r="B604">
            <v>4.0403842000000002E-3</v>
          </cell>
          <cell r="C604">
            <v>-1.0139999999999999E-3</v>
          </cell>
          <cell r="D604">
            <v>2.5461252984188665E-2</v>
          </cell>
        </row>
        <row r="605">
          <cell r="A605">
            <v>36118</v>
          </cell>
          <cell r="B605">
            <v>6.2380200000000004E-3</v>
          </cell>
          <cell r="C605">
            <v>1.1168000000000001E-2</v>
          </cell>
          <cell r="D605">
            <v>6.7329142510914597E-3</v>
          </cell>
        </row>
        <row r="606">
          <cell r="A606">
            <v>36119</v>
          </cell>
          <cell r="B606">
            <v>9.2753563000000008E-3</v>
          </cell>
          <cell r="C606">
            <v>1.4056000000000001E-2</v>
          </cell>
          <cell r="D606">
            <v>8.495144593567483E-3</v>
          </cell>
        </row>
        <row r="607">
          <cell r="A607">
            <v>36122</v>
          </cell>
          <cell r="B607">
            <v>1.8503499999999999E-2</v>
          </cell>
          <cell r="C607">
            <v>1.3861E-2</v>
          </cell>
          <cell r="D607">
            <v>-1.4782175263464703E-2</v>
          </cell>
        </row>
        <row r="608">
          <cell r="A608">
            <v>36123</v>
          </cell>
          <cell r="B608">
            <v>-4.4373390000000002E-3</v>
          </cell>
          <cell r="C608">
            <v>-2.3438000000000001E-2</v>
          </cell>
          <cell r="D608">
            <v>2.4629461051465018E-2</v>
          </cell>
        </row>
        <row r="609">
          <cell r="A609">
            <v>36124</v>
          </cell>
          <cell r="B609">
            <v>2.6199079999999998E-3</v>
          </cell>
          <cell r="C609">
            <v>8.9999999999999993E-3</v>
          </cell>
          <cell r="D609">
            <v>8.7853140317302181E-3</v>
          </cell>
        </row>
        <row r="610">
          <cell r="A610">
            <v>36126</v>
          </cell>
          <cell r="B610">
            <v>3.3201289000000002E-3</v>
          </cell>
          <cell r="C610">
            <v>-1.1893000000000001E-2</v>
          </cell>
          <cell r="D610">
            <v>-6.8433455727191506E-3</v>
          </cell>
        </row>
        <row r="611">
          <cell r="A611">
            <v>36129</v>
          </cell>
          <cell r="B611">
            <v>-1.991252E-2</v>
          </cell>
          <cell r="C611">
            <v>-2.3068999999999999E-2</v>
          </cell>
          <cell r="D611">
            <v>-2.7015519339665506E-2</v>
          </cell>
        </row>
        <row r="612">
          <cell r="A612">
            <v>36130</v>
          </cell>
          <cell r="B612">
            <v>3.4821930000000002E-3</v>
          </cell>
          <cell r="C612">
            <v>-5.1330000000000004E-3</v>
          </cell>
          <cell r="D612">
            <v>5.7354030632463804E-3</v>
          </cell>
        </row>
        <row r="613">
          <cell r="A613">
            <v>36131</v>
          </cell>
          <cell r="B613">
            <v>-2.0707769000000002E-3</v>
          </cell>
          <cell r="C613">
            <v>2.2703999999999998E-2</v>
          </cell>
          <cell r="D613">
            <v>3.1130141034228176E-2</v>
          </cell>
        </row>
        <row r="614">
          <cell r="A614">
            <v>36132</v>
          </cell>
          <cell r="B614">
            <v>-1.432804E-2</v>
          </cell>
          <cell r="C614">
            <v>-5.045E-3</v>
          </cell>
          <cell r="D614">
            <v>1.9946621833215161E-2</v>
          </cell>
        </row>
        <row r="615">
          <cell r="A615">
            <v>36133</v>
          </cell>
          <cell r="B615">
            <v>1.8574978999999998E-2</v>
          </cell>
          <cell r="C615">
            <v>3.5497000000000001E-2</v>
          </cell>
          <cell r="D615">
            <v>9.0448872687469706E-3</v>
          </cell>
        </row>
        <row r="616">
          <cell r="A616">
            <v>36136</v>
          </cell>
          <cell r="B616">
            <v>6.5755998E-3</v>
          </cell>
          <cell r="C616">
            <v>4.0156999999999998E-2</v>
          </cell>
          <cell r="D616">
            <v>1.1972732452933288E-2</v>
          </cell>
        </row>
        <row r="617">
          <cell r="A617">
            <v>36137</v>
          </cell>
          <cell r="B617">
            <v>-4.3260190000000004E-3</v>
          </cell>
          <cell r="C617">
            <v>-2.6365E-2</v>
          </cell>
          <cell r="D617">
            <v>1.3510754369061573E-3</v>
          </cell>
        </row>
        <row r="618">
          <cell r="A618">
            <v>36138</v>
          </cell>
          <cell r="B618">
            <v>-1.5872149000000001E-4</v>
          </cell>
          <cell r="C618">
            <v>9.6710000000000008E-3</v>
          </cell>
          <cell r="D618">
            <v>2.0979522265851536E-3</v>
          </cell>
        </row>
        <row r="619">
          <cell r="A619">
            <v>36139</v>
          </cell>
          <cell r="B619">
            <v>-1.497386E-2</v>
          </cell>
          <cell r="C619">
            <v>-6.705E-3</v>
          </cell>
          <cell r="D619">
            <v>7.2185695755018209E-3</v>
          </cell>
        </row>
        <row r="620">
          <cell r="A620">
            <v>36140</v>
          </cell>
          <cell r="B620">
            <v>-2.4058130000000001E-3</v>
          </cell>
          <cell r="C620">
            <v>1.9289999999999999E-3</v>
          </cell>
          <cell r="D620">
            <v>1.1290014567251427E-2</v>
          </cell>
        </row>
        <row r="621">
          <cell r="A621">
            <v>36143</v>
          </cell>
          <cell r="B621">
            <v>-1.806487E-2</v>
          </cell>
          <cell r="C621">
            <v>-4.5235999999999998E-2</v>
          </cell>
          <cell r="D621">
            <v>-2.4309947539392307E-2</v>
          </cell>
        </row>
        <row r="622">
          <cell r="A622">
            <v>36144</v>
          </cell>
          <cell r="B622">
            <v>1.463037E-2</v>
          </cell>
          <cell r="C622">
            <v>-3.6290000000000003E-2</v>
          </cell>
          <cell r="D622">
            <v>1.5113017733023426E-2</v>
          </cell>
        </row>
        <row r="623">
          <cell r="A623">
            <v>36145</v>
          </cell>
          <cell r="B623">
            <v>-2.0147420999999999E-4</v>
          </cell>
          <cell r="C623">
            <v>1.4644000000000001E-2</v>
          </cell>
          <cell r="D623">
            <v>2.7298239311229322E-2</v>
          </cell>
        </row>
        <row r="624">
          <cell r="A624">
            <v>36146</v>
          </cell>
          <cell r="B624">
            <v>1.412557E-2</v>
          </cell>
          <cell r="C624">
            <v>-1.6494999999999999E-2</v>
          </cell>
          <cell r="D624">
            <v>1.1486090074199096E-2</v>
          </cell>
        </row>
        <row r="625">
          <cell r="A625">
            <v>36147</v>
          </cell>
          <cell r="B625">
            <v>3.234626E-3</v>
          </cell>
          <cell r="C625">
            <v>1.153E-2</v>
          </cell>
          <cell r="D625">
            <v>9.135629485738983E-3</v>
          </cell>
        </row>
        <row r="626">
          <cell r="A626">
            <v>36150</v>
          </cell>
          <cell r="B626">
            <v>1.070203E-2</v>
          </cell>
          <cell r="C626">
            <v>0</v>
          </cell>
          <cell r="D626">
            <v>3.4479856884288118E-2</v>
          </cell>
        </row>
        <row r="627">
          <cell r="A627">
            <v>36151</v>
          </cell>
          <cell r="B627">
            <v>1.9977251000000001E-3</v>
          </cell>
          <cell r="C627">
            <v>1.7617000000000001E-2</v>
          </cell>
          <cell r="D627">
            <v>6.9877298920282271E-3</v>
          </cell>
        </row>
        <row r="628">
          <cell r="A628">
            <v>36152</v>
          </cell>
          <cell r="B628">
            <v>1.7968110999999998E-2</v>
          </cell>
          <cell r="C628">
            <v>4.0730000000000002E-3</v>
          </cell>
          <cell r="D628">
            <v>8.7705189392000005E-3</v>
          </cell>
        </row>
        <row r="629">
          <cell r="A629">
            <v>36153</v>
          </cell>
          <cell r="B629">
            <v>7.6192861999999995E-4</v>
          </cell>
          <cell r="C629">
            <v>-5.071E-3</v>
          </cell>
          <cell r="D629">
            <v>2.5181911065383922E-3</v>
          </cell>
        </row>
        <row r="630">
          <cell r="A630">
            <v>36157</v>
          </cell>
          <cell r="B630">
            <v>1.164982E-4</v>
          </cell>
          <cell r="C630">
            <v>9.1739999999999999E-3</v>
          </cell>
          <cell r="D630">
            <v>-2.596022522635133E-4</v>
          </cell>
        </row>
        <row r="631">
          <cell r="A631">
            <v>36158</v>
          </cell>
          <cell r="B631">
            <v>1.3834539999999999E-2</v>
          </cell>
          <cell r="C631">
            <v>9.0910000000000001E-3</v>
          </cell>
          <cell r="D631">
            <v>1.7373612568582386E-2</v>
          </cell>
        </row>
        <row r="632">
          <cell r="A632">
            <v>36159</v>
          </cell>
          <cell r="B632">
            <v>-4.4335681000000002E-3</v>
          </cell>
          <cell r="C632">
            <v>-3.003E-3</v>
          </cell>
          <cell r="D632">
            <v>-1.1212122274538716E-3</v>
          </cell>
        </row>
        <row r="633">
          <cell r="A633">
            <v>36160</v>
          </cell>
          <cell r="B633">
            <v>3.3389438999999999E-3</v>
          </cell>
          <cell r="C633">
            <v>4.0161000000000002E-2</v>
          </cell>
          <cell r="D633">
            <v>8.3051604171462401E-3</v>
          </cell>
        </row>
        <row r="634">
          <cell r="A634">
            <v>36164</v>
          </cell>
          <cell r="B634">
            <v>-2.6296840999999998E-3</v>
          </cell>
          <cell r="C634">
            <v>-3.8609999999999998E-3</v>
          </cell>
          <cell r="D634">
            <v>1.6860593427724391E-2</v>
          </cell>
        </row>
        <row r="635">
          <cell r="A635">
            <v>36165</v>
          </cell>
          <cell r="B635">
            <v>1.0056209999999999E-2</v>
          </cell>
          <cell r="C635">
            <v>-3.8760000000000001E-3</v>
          </cell>
          <cell r="D635">
            <v>-5.683202278539079E-2</v>
          </cell>
        </row>
        <row r="636">
          <cell r="A636">
            <v>36166</v>
          </cell>
          <cell r="B636">
            <v>1.8614391000000001E-2</v>
          </cell>
          <cell r="C636">
            <v>1.2645999999999999E-2</v>
          </cell>
          <cell r="D636">
            <v>-7.1386209264527878E-3</v>
          </cell>
        </row>
        <row r="637">
          <cell r="A637">
            <v>36167</v>
          </cell>
          <cell r="B637">
            <v>-1.7340669999999999E-3</v>
          </cell>
          <cell r="C637">
            <v>-2.882E-3</v>
          </cell>
          <cell r="D637">
            <v>-4.1184637757239462E-2</v>
          </cell>
        </row>
        <row r="638">
          <cell r="A638">
            <v>36168</v>
          </cell>
          <cell r="B638">
            <v>3.7562361000000001E-3</v>
          </cell>
          <cell r="C638">
            <v>0</v>
          </cell>
          <cell r="D638">
            <v>4.3225894512255003E-2</v>
          </cell>
        </row>
        <row r="639">
          <cell r="A639">
            <v>36171</v>
          </cell>
          <cell r="B639">
            <v>-1.0709679999999999E-2</v>
          </cell>
          <cell r="C639">
            <v>-2.0230999999999999E-2</v>
          </cell>
          <cell r="D639">
            <v>4.5633360134493151E-2</v>
          </cell>
        </row>
        <row r="640">
          <cell r="A640">
            <v>36172</v>
          </cell>
          <cell r="B640">
            <v>-1.6140580000000002E-2</v>
          </cell>
          <cell r="C640">
            <v>0</v>
          </cell>
          <cell r="D640">
            <v>-3.2373992594358247E-2</v>
          </cell>
        </row>
        <row r="641">
          <cell r="A641">
            <v>36173</v>
          </cell>
          <cell r="B641">
            <v>-6.7589939999999999E-3</v>
          </cell>
          <cell r="C641">
            <v>5.8997000000000001E-2</v>
          </cell>
          <cell r="D641">
            <v>-1.889079690424722E-2</v>
          </cell>
        </row>
        <row r="642">
          <cell r="A642">
            <v>36174</v>
          </cell>
          <cell r="B642">
            <v>-1.5407250000000001E-2</v>
          </cell>
          <cell r="C642">
            <v>-4.6430000000000004E-3</v>
          </cell>
          <cell r="D642">
            <v>2.7741574440198091E-2</v>
          </cell>
        </row>
        <row r="643">
          <cell r="A643">
            <v>36175</v>
          </cell>
          <cell r="B643">
            <v>2.084627E-2</v>
          </cell>
          <cell r="C643">
            <v>1.3993E-2</v>
          </cell>
          <cell r="D643">
            <v>2.7153240742399332E-2</v>
          </cell>
        </row>
        <row r="644">
          <cell r="A644">
            <v>36179</v>
          </cell>
          <cell r="B644">
            <v>2.9085250999999999E-3</v>
          </cell>
          <cell r="C644">
            <v>3.4958999999999997E-2</v>
          </cell>
          <cell r="D644">
            <v>1.7425525444252576E-2</v>
          </cell>
        </row>
        <row r="645">
          <cell r="A645">
            <v>36180</v>
          </cell>
          <cell r="B645">
            <v>2.2279349999999999E-3</v>
          </cell>
          <cell r="C645">
            <v>1.0666999999999999E-2</v>
          </cell>
          <cell r="D645">
            <v>5.9789144030066854E-3</v>
          </cell>
        </row>
        <row r="646">
          <cell r="A646">
            <v>36181</v>
          </cell>
          <cell r="B646">
            <v>-1.4113799999999999E-2</v>
          </cell>
          <cell r="C646">
            <v>-3.5179999999999999E-3</v>
          </cell>
          <cell r="D646">
            <v>1.0824297183965381E-2</v>
          </cell>
        </row>
        <row r="647">
          <cell r="A647">
            <v>36182</v>
          </cell>
          <cell r="B647">
            <v>-7.5366510999999997E-3</v>
          </cell>
          <cell r="C647">
            <v>-1.5004E-2</v>
          </cell>
          <cell r="D647">
            <v>1.2308273160602345E-2</v>
          </cell>
        </row>
        <row r="648">
          <cell r="A648">
            <v>36185</v>
          </cell>
          <cell r="B648">
            <v>4.9266381999999997E-3</v>
          </cell>
          <cell r="C648">
            <v>-1.3441E-2</v>
          </cell>
          <cell r="D648">
            <v>-3.3504807903636857E-2</v>
          </cell>
        </row>
        <row r="649">
          <cell r="A649">
            <v>36186</v>
          </cell>
          <cell r="B649">
            <v>1.0361510000000001E-2</v>
          </cell>
          <cell r="C649">
            <v>1.817E-3</v>
          </cell>
          <cell r="D649">
            <v>1.707025804535478E-2</v>
          </cell>
        </row>
        <row r="650">
          <cell r="A650">
            <v>36187</v>
          </cell>
          <cell r="B650">
            <v>-6.0116299E-3</v>
          </cell>
          <cell r="C650">
            <v>5.1677000000000001E-2</v>
          </cell>
          <cell r="D650">
            <v>-2.4333463644795716E-2</v>
          </cell>
        </row>
        <row r="651">
          <cell r="A651">
            <v>36188</v>
          </cell>
          <cell r="B651">
            <v>1.2436880000000001E-2</v>
          </cell>
          <cell r="C651">
            <v>5.8620999999999999E-2</v>
          </cell>
          <cell r="D651">
            <v>-8.1567405259314052E-3</v>
          </cell>
        </row>
        <row r="652">
          <cell r="A652">
            <v>36189</v>
          </cell>
          <cell r="B652">
            <v>8.7347841000000002E-3</v>
          </cell>
          <cell r="C652">
            <v>1.629E-3</v>
          </cell>
          <cell r="D652">
            <v>-3.7785743791526993E-2</v>
          </cell>
        </row>
        <row r="653">
          <cell r="A653">
            <v>36192</v>
          </cell>
          <cell r="B653">
            <v>-4.7478358999999996E-3</v>
          </cell>
          <cell r="C653">
            <v>-9.7560000000000008E-3</v>
          </cell>
          <cell r="D653">
            <v>1.2664435746816194E-2</v>
          </cell>
        </row>
        <row r="654">
          <cell r="A654">
            <v>36193</v>
          </cell>
          <cell r="B654">
            <v>-5.9686428999999996E-3</v>
          </cell>
          <cell r="C654">
            <v>1.3957000000000001E-2</v>
          </cell>
          <cell r="D654">
            <v>3.0204939765442251E-2</v>
          </cell>
        </row>
        <row r="655">
          <cell r="A655">
            <v>36194</v>
          </cell>
          <cell r="B655">
            <v>8.2335537E-3</v>
          </cell>
          <cell r="C655">
            <v>1.2146000000000001E-2</v>
          </cell>
          <cell r="D655">
            <v>6.5722159101608835E-3</v>
          </cell>
        </row>
        <row r="656">
          <cell r="A656">
            <v>36195</v>
          </cell>
          <cell r="B656">
            <v>-1.3838329999999999E-2</v>
          </cell>
          <cell r="C656">
            <v>1.52E-2</v>
          </cell>
          <cell r="D656">
            <v>3.4368404349820469E-2</v>
          </cell>
        </row>
        <row r="657">
          <cell r="A657">
            <v>36196</v>
          </cell>
          <cell r="B657">
            <v>-7.0101679000000002E-3</v>
          </cell>
          <cell r="C657">
            <v>-3.9399999999999999E-3</v>
          </cell>
          <cell r="D657">
            <v>9.6544313786437463E-3</v>
          </cell>
        </row>
        <row r="658">
          <cell r="A658">
            <v>36199</v>
          </cell>
          <cell r="B658">
            <v>-8.7088718999999998E-4</v>
          </cell>
          <cell r="C658">
            <v>7.9100000000000004E-4</v>
          </cell>
          <cell r="D658">
            <v>1.9074467986289756E-2</v>
          </cell>
        </row>
        <row r="659">
          <cell r="A659">
            <v>36200</v>
          </cell>
          <cell r="B659">
            <v>-1.7840279000000001E-2</v>
          </cell>
          <cell r="C659">
            <v>-5.5339999999999999E-3</v>
          </cell>
          <cell r="D659">
            <v>2.5251522350706157E-2</v>
          </cell>
        </row>
        <row r="660">
          <cell r="A660">
            <v>36201</v>
          </cell>
          <cell r="B660">
            <v>3.7409830999999998E-3</v>
          </cell>
          <cell r="C660">
            <v>-1.5103E-2</v>
          </cell>
          <cell r="D660">
            <v>-1.4191621177444769E-2</v>
          </cell>
        </row>
        <row r="661">
          <cell r="A661">
            <v>36202</v>
          </cell>
          <cell r="B661">
            <v>1.9654979999999999E-2</v>
          </cell>
          <cell r="C661">
            <v>9.0720000000000002E-3</v>
          </cell>
          <cell r="D661">
            <v>2.8234637821569875E-2</v>
          </cell>
        </row>
        <row r="662">
          <cell r="A662">
            <v>36203</v>
          </cell>
          <cell r="B662">
            <v>-1.411681E-2</v>
          </cell>
          <cell r="C662">
            <v>1.2019E-2</v>
          </cell>
          <cell r="D662">
            <v>-1.9982270558790649E-2</v>
          </cell>
        </row>
        <row r="663">
          <cell r="A663">
            <v>36207</v>
          </cell>
          <cell r="B663">
            <v>8.7461788000000006E-3</v>
          </cell>
          <cell r="C663">
            <v>2.3753E-2</v>
          </cell>
          <cell r="D663">
            <v>5.7245357244908313E-3</v>
          </cell>
        </row>
        <row r="664">
          <cell r="A664">
            <v>36208</v>
          </cell>
          <cell r="B664">
            <v>-1.000362E-2</v>
          </cell>
          <cell r="C664">
            <v>-6.9610000000000002E-3</v>
          </cell>
          <cell r="D664">
            <v>4.2459228335323118E-4</v>
          </cell>
        </row>
        <row r="665">
          <cell r="A665">
            <v>36209</v>
          </cell>
          <cell r="B665">
            <v>1.0538530000000001E-2</v>
          </cell>
          <cell r="C665">
            <v>9.3460000000000001E-3</v>
          </cell>
          <cell r="D665">
            <v>2.5941235445778865E-3</v>
          </cell>
        </row>
        <row r="666">
          <cell r="A666">
            <v>36210</v>
          </cell>
          <cell r="B666">
            <v>4.2739958999999999E-4</v>
          </cell>
          <cell r="C666">
            <v>1.0802000000000001E-2</v>
          </cell>
          <cell r="D666">
            <v>2.8723879532960517E-2</v>
          </cell>
        </row>
        <row r="667">
          <cell r="A667">
            <v>36213</v>
          </cell>
          <cell r="B667">
            <v>2.3320170000000001E-2</v>
          </cell>
          <cell r="C667">
            <v>3.8931E-2</v>
          </cell>
          <cell r="D667">
            <v>-2.9856124857701949E-2</v>
          </cell>
        </row>
        <row r="668">
          <cell r="A668">
            <v>36214</v>
          </cell>
          <cell r="B668">
            <v>-3.0139570999999999E-3</v>
          </cell>
          <cell r="C668">
            <v>7.3499999999999998E-4</v>
          </cell>
          <cell r="D668">
            <v>-6.8024014451848469E-3</v>
          </cell>
        </row>
        <row r="669">
          <cell r="A669">
            <v>36215</v>
          </cell>
          <cell r="B669">
            <v>-1.120733E-2</v>
          </cell>
          <cell r="C669">
            <v>-2.9368999999999999E-2</v>
          </cell>
          <cell r="D669">
            <v>3.84951271343561E-2</v>
          </cell>
        </row>
        <row r="670">
          <cell r="A670">
            <v>36216</v>
          </cell>
          <cell r="B670">
            <v>-7.5015867999999996E-3</v>
          </cell>
          <cell r="C670">
            <v>-1.513E-3</v>
          </cell>
          <cell r="D670">
            <v>1.5735185931906592E-2</v>
          </cell>
        </row>
        <row r="671">
          <cell r="A671">
            <v>36217</v>
          </cell>
          <cell r="B671">
            <v>-1.7886359999999999E-3</v>
          </cell>
          <cell r="C671">
            <v>-1.2121E-2</v>
          </cell>
          <cell r="D671">
            <v>-4.8959207731166243E-3</v>
          </cell>
        </row>
        <row r="672">
          <cell r="A672">
            <v>36220</v>
          </cell>
          <cell r="B672">
            <v>-1.343676E-3</v>
          </cell>
          <cell r="C672">
            <v>4.6011999999999997E-2</v>
          </cell>
          <cell r="D672">
            <v>-2.4648768749234717E-3</v>
          </cell>
        </row>
        <row r="673">
          <cell r="A673">
            <v>36221</v>
          </cell>
          <cell r="B673">
            <v>-4.0112701000000004E-3</v>
          </cell>
          <cell r="C673">
            <v>-1.4663000000000001E-2</v>
          </cell>
          <cell r="D673">
            <v>2.627944462761489E-2</v>
          </cell>
        </row>
        <row r="674">
          <cell r="A674">
            <v>36222</v>
          </cell>
          <cell r="B674">
            <v>-1.042758E-3</v>
          </cell>
          <cell r="C674">
            <v>-1.7857000000000001E-2</v>
          </cell>
          <cell r="D674">
            <v>2.04472588750646E-2</v>
          </cell>
        </row>
        <row r="675">
          <cell r="A675">
            <v>36223</v>
          </cell>
          <cell r="B675">
            <v>1.3758889999999999E-2</v>
          </cell>
          <cell r="C675">
            <v>2.2727000000000001E-2</v>
          </cell>
          <cell r="D675">
            <v>-4.9445263900468328E-3</v>
          </cell>
        </row>
        <row r="676">
          <cell r="A676">
            <v>36224</v>
          </cell>
          <cell r="B676">
            <v>2.0803249999999999E-2</v>
          </cell>
          <cell r="C676">
            <v>5.0369999999999998E-2</v>
          </cell>
          <cell r="D676">
            <v>3.5550042800669646E-2</v>
          </cell>
        </row>
        <row r="677">
          <cell r="A677">
            <v>36227</v>
          </cell>
          <cell r="B677">
            <v>1.528541E-3</v>
          </cell>
          <cell r="C677">
            <v>1.0578000000000001E-2</v>
          </cell>
          <cell r="D677">
            <v>-1.7460439600232025E-3</v>
          </cell>
        </row>
        <row r="678">
          <cell r="A678">
            <v>36228</v>
          </cell>
          <cell r="B678">
            <v>-2.2026440000000001E-3</v>
          </cell>
          <cell r="C678">
            <v>-1.2560999999999999E-2</v>
          </cell>
          <cell r="D678">
            <v>-1.1240476598021409E-2</v>
          </cell>
        </row>
        <row r="679">
          <cell r="A679">
            <v>36229</v>
          </cell>
          <cell r="B679">
            <v>5.6722960000000003E-3</v>
          </cell>
          <cell r="C679">
            <v>1.1306999999999999E-2</v>
          </cell>
          <cell r="D679">
            <v>1.0938340137551794E-2</v>
          </cell>
        </row>
        <row r="680">
          <cell r="A680">
            <v>36230</v>
          </cell>
          <cell r="B680">
            <v>8.9508984000000007E-3</v>
          </cell>
          <cell r="C680">
            <v>2.0960000000000002E-3</v>
          </cell>
          <cell r="D680">
            <v>3.0898940115265061E-2</v>
          </cell>
        </row>
        <row r="681">
          <cell r="A681">
            <v>36231</v>
          </cell>
          <cell r="B681">
            <v>-4.5279328999999998E-4</v>
          </cell>
          <cell r="C681">
            <v>3.9052000000000003E-2</v>
          </cell>
          <cell r="D681">
            <v>5.2252897423166189E-4</v>
          </cell>
        </row>
        <row r="682">
          <cell r="A682">
            <v>36234</v>
          </cell>
          <cell r="B682">
            <v>6.3622762000000001E-3</v>
          </cell>
          <cell r="C682">
            <v>4.6979999999999999E-3</v>
          </cell>
          <cell r="D682">
            <v>-2.8849425875644652E-2</v>
          </cell>
        </row>
        <row r="683">
          <cell r="A683">
            <v>36235</v>
          </cell>
          <cell r="B683">
            <v>-2.4790340000000002E-3</v>
          </cell>
          <cell r="C683">
            <v>4.6759999999999996E-3</v>
          </cell>
          <cell r="D683">
            <v>-4.2195733725509554E-2</v>
          </cell>
        </row>
        <row r="684">
          <cell r="A684">
            <v>36236</v>
          </cell>
          <cell r="B684">
            <v>-5.4178452000000002E-3</v>
          </cell>
          <cell r="C684">
            <v>-2.6596000000000002E-2</v>
          </cell>
          <cell r="D684">
            <v>-2.8742703952454263E-2</v>
          </cell>
        </row>
        <row r="685">
          <cell r="A685">
            <v>36237</v>
          </cell>
          <cell r="B685">
            <v>1.173212E-2</v>
          </cell>
          <cell r="C685">
            <v>4.4399000000000001E-2</v>
          </cell>
          <cell r="D685">
            <v>2.7503698173093394E-2</v>
          </cell>
        </row>
        <row r="686">
          <cell r="A686">
            <v>36238</v>
          </cell>
          <cell r="B686">
            <v>-1.104777E-2</v>
          </cell>
          <cell r="C686">
            <v>-1.0463999999999999E-2</v>
          </cell>
          <cell r="D686">
            <v>1.7987916459885289E-2</v>
          </cell>
        </row>
        <row r="687">
          <cell r="A687">
            <v>36241</v>
          </cell>
          <cell r="B687">
            <v>-8.5122959000000003E-4</v>
          </cell>
          <cell r="C687">
            <v>6.6090000000000003E-3</v>
          </cell>
          <cell r="D687">
            <v>-3.9741074794409692E-2</v>
          </cell>
        </row>
        <row r="688">
          <cell r="A688">
            <v>36242</v>
          </cell>
          <cell r="B688">
            <v>-2.4895200999999999E-2</v>
          </cell>
          <cell r="C688">
            <v>-5.2529999999999999E-3</v>
          </cell>
          <cell r="D688">
            <v>2.1080321015073622E-2</v>
          </cell>
        </row>
        <row r="689">
          <cell r="A689">
            <v>36243</v>
          </cell>
          <cell r="B689">
            <v>1.656544E-3</v>
          </cell>
          <cell r="C689">
            <v>-1.7822000000000001E-2</v>
          </cell>
          <cell r="D689">
            <v>3.3736691121283302E-2</v>
          </cell>
        </row>
        <row r="690">
          <cell r="A690">
            <v>36244</v>
          </cell>
          <cell r="B690">
            <v>1.4907399999999999E-2</v>
          </cell>
          <cell r="C690">
            <v>2.6879999999999999E-3</v>
          </cell>
          <cell r="D690">
            <v>1.4663983617020371E-2</v>
          </cell>
        </row>
        <row r="691">
          <cell r="A691">
            <v>36245</v>
          </cell>
          <cell r="B691">
            <v>-4.195041E-3</v>
          </cell>
          <cell r="C691">
            <v>-2.1447999999999998E-2</v>
          </cell>
          <cell r="D691">
            <v>3.9222895672414992E-3</v>
          </cell>
        </row>
        <row r="692">
          <cell r="A692">
            <v>36248</v>
          </cell>
          <cell r="B692">
            <v>1.6448211000000001E-2</v>
          </cell>
          <cell r="C692">
            <v>-3.9725999999999997E-2</v>
          </cell>
          <cell r="D692">
            <v>-4.1638987164038799E-4</v>
          </cell>
        </row>
        <row r="693">
          <cell r="A693">
            <v>36249</v>
          </cell>
          <cell r="B693">
            <v>-6.6744070999999999E-3</v>
          </cell>
          <cell r="C693">
            <v>6.4190000000000002E-3</v>
          </cell>
          <cell r="D693">
            <v>-2.579535974386149E-2</v>
          </cell>
        </row>
        <row r="694">
          <cell r="A694">
            <v>36250</v>
          </cell>
          <cell r="B694">
            <v>-7.8962883000000001E-3</v>
          </cell>
          <cell r="C694">
            <v>-3.5439999999999998E-3</v>
          </cell>
          <cell r="D694">
            <v>-4.061499365264154E-2</v>
          </cell>
        </row>
        <row r="695">
          <cell r="A695">
            <v>36251</v>
          </cell>
          <cell r="B695">
            <v>3.8265708999999999E-3</v>
          </cell>
          <cell r="C695">
            <v>-4.9789999999999999E-3</v>
          </cell>
          <cell r="D695">
            <v>-4.2215593419875019E-2</v>
          </cell>
        </row>
        <row r="696">
          <cell r="A696">
            <v>36255</v>
          </cell>
          <cell r="B696">
            <v>1.6070791000000001E-2</v>
          </cell>
          <cell r="C696">
            <v>-4.2890000000000003E-3</v>
          </cell>
          <cell r="D696">
            <v>2.5818484755558035E-2</v>
          </cell>
        </row>
        <row r="697">
          <cell r="A697">
            <v>36256</v>
          </cell>
          <cell r="B697">
            <v>-3.1732700000000002E-3</v>
          </cell>
          <cell r="C697">
            <v>-2.8715000000000001E-2</v>
          </cell>
          <cell r="D697">
            <v>-8.0465830903038493E-2</v>
          </cell>
        </row>
        <row r="698">
          <cell r="A698">
            <v>36257</v>
          </cell>
          <cell r="B698">
            <v>7.2849072000000003E-3</v>
          </cell>
          <cell r="C698">
            <v>-1.3304E-2</v>
          </cell>
          <cell r="D698">
            <v>-1.8047360385793576E-2</v>
          </cell>
        </row>
        <row r="699">
          <cell r="A699">
            <v>36258</v>
          </cell>
          <cell r="B699">
            <v>1.365068E-2</v>
          </cell>
          <cell r="C699">
            <v>2.9963E-2</v>
          </cell>
          <cell r="D699">
            <v>5.5806788454948464E-3</v>
          </cell>
        </row>
        <row r="700">
          <cell r="A700">
            <v>36259</v>
          </cell>
          <cell r="B700">
            <v>3.792194E-3</v>
          </cell>
          <cell r="C700">
            <v>3.8545000000000003E-2</v>
          </cell>
          <cell r="D700">
            <v>2.4335153940333143E-2</v>
          </cell>
        </row>
        <row r="701">
          <cell r="A701">
            <v>36262</v>
          </cell>
          <cell r="B701">
            <v>1.0573880000000001E-2</v>
          </cell>
          <cell r="C701">
            <v>2.8711E-2</v>
          </cell>
          <cell r="D701">
            <v>4.3880137779646278E-2</v>
          </cell>
        </row>
        <row r="702">
          <cell r="A702">
            <v>36263</v>
          </cell>
          <cell r="B702">
            <v>-2.0238189E-3</v>
          </cell>
          <cell r="C702">
            <v>3.3355999999999997E-2</v>
          </cell>
          <cell r="D702">
            <v>-6.0494708404276731E-2</v>
          </cell>
        </row>
        <row r="703">
          <cell r="A703">
            <v>36264</v>
          </cell>
          <cell r="B703">
            <v>-9.1726276999999998E-3</v>
          </cell>
          <cell r="C703">
            <v>-5.4017999999999997E-2</v>
          </cell>
          <cell r="D703">
            <v>-3.3169423214491234E-2</v>
          </cell>
        </row>
        <row r="704">
          <cell r="A704">
            <v>36265</v>
          </cell>
          <cell r="B704">
            <v>-5.5721551000000001E-3</v>
          </cell>
          <cell r="C704">
            <v>-2.9248E-2</v>
          </cell>
          <cell r="D704">
            <v>-7.4221403672892095E-2</v>
          </cell>
        </row>
        <row r="705">
          <cell r="A705">
            <v>36266</v>
          </cell>
          <cell r="B705">
            <v>2.1604761000000002E-3</v>
          </cell>
          <cell r="C705">
            <v>-2.726E-2</v>
          </cell>
          <cell r="D705">
            <v>-2.5310231531778804E-2</v>
          </cell>
        </row>
        <row r="706">
          <cell r="A706">
            <v>36269</v>
          </cell>
          <cell r="B706">
            <v>-1.48092E-2</v>
          </cell>
          <cell r="C706">
            <v>-8.2596000000000003E-2</v>
          </cell>
          <cell r="D706">
            <v>-0.10003772010142009</v>
          </cell>
        </row>
        <row r="707">
          <cell r="A707">
            <v>36270</v>
          </cell>
          <cell r="B707">
            <v>9.2649171000000006E-3</v>
          </cell>
          <cell r="C707">
            <v>6.3505000000000006E-2</v>
          </cell>
          <cell r="D707">
            <v>6.7421614584002976E-2</v>
          </cell>
        </row>
        <row r="708">
          <cell r="A708">
            <v>36271</v>
          </cell>
          <cell r="B708">
            <v>2.2212589000000001E-2</v>
          </cell>
          <cell r="C708">
            <v>2.2676000000000002E-2</v>
          </cell>
          <cell r="D708">
            <v>7.4219264407835883E-2</v>
          </cell>
        </row>
        <row r="709">
          <cell r="A709">
            <v>36272</v>
          </cell>
          <cell r="B709">
            <v>9.4771123999999995E-3</v>
          </cell>
          <cell r="C709">
            <v>4.6563E-2</v>
          </cell>
          <cell r="D709">
            <v>-2.2175312492057953E-2</v>
          </cell>
        </row>
        <row r="710">
          <cell r="A710">
            <v>36273</v>
          </cell>
          <cell r="B710">
            <v>-1.593349E-3</v>
          </cell>
          <cell r="C710">
            <v>-4.2370000000000003E-3</v>
          </cell>
          <cell r="D710">
            <v>-1.7957722791653419E-2</v>
          </cell>
        </row>
        <row r="711">
          <cell r="A711">
            <v>36276</v>
          </cell>
          <cell r="B711">
            <v>-5.3679762999999997E-4</v>
          </cell>
          <cell r="C711">
            <v>1.0638E-2</v>
          </cell>
          <cell r="D711">
            <v>-4.6859930081415868E-2</v>
          </cell>
        </row>
        <row r="712">
          <cell r="A712">
            <v>36277</v>
          </cell>
          <cell r="B712">
            <v>6.556564E-3</v>
          </cell>
          <cell r="C712">
            <v>6.6667000000000004E-2</v>
          </cell>
          <cell r="D712">
            <v>6.7919267517614124E-2</v>
          </cell>
        </row>
        <row r="713">
          <cell r="A713">
            <v>36278</v>
          </cell>
          <cell r="B713">
            <v>-4.9728378999999998E-3</v>
          </cell>
          <cell r="C713">
            <v>-3.3552999999999999E-2</v>
          </cell>
          <cell r="D713">
            <v>-2.2125998583666928E-2</v>
          </cell>
        </row>
        <row r="714">
          <cell r="A714">
            <v>36279</v>
          </cell>
          <cell r="B714">
            <v>-3.4652911000000002E-3</v>
          </cell>
          <cell r="C714">
            <v>-1.2933999999999999E-2</v>
          </cell>
          <cell r="D714">
            <v>4.1943582003175051E-2</v>
          </cell>
        </row>
        <row r="715">
          <cell r="A715">
            <v>36280</v>
          </cell>
          <cell r="B715">
            <v>-6.9835599999999998E-3</v>
          </cell>
          <cell r="C715">
            <v>-8.2760000000000004E-3</v>
          </cell>
          <cell r="D715">
            <v>2.4378857045925129E-2</v>
          </cell>
        </row>
        <row r="716">
          <cell r="A716">
            <v>36283</v>
          </cell>
          <cell r="B716">
            <v>1.561601E-2</v>
          </cell>
          <cell r="C716">
            <v>1.3910000000000001E-3</v>
          </cell>
          <cell r="D716">
            <v>2.6259871539923818E-2</v>
          </cell>
        </row>
        <row r="717">
          <cell r="A717">
            <v>36284</v>
          </cell>
          <cell r="B717">
            <v>-1.273871E-2</v>
          </cell>
          <cell r="C717">
            <v>-3.4719999999999998E-3</v>
          </cell>
          <cell r="D717">
            <v>-4.5423422895986887E-2</v>
          </cell>
        </row>
        <row r="718">
          <cell r="A718">
            <v>36285</v>
          </cell>
          <cell r="B718">
            <v>7.3444722000000004E-3</v>
          </cell>
          <cell r="C718">
            <v>1.3940000000000001E-3</v>
          </cell>
          <cell r="D718">
            <v>-2.0510845175766623E-2</v>
          </cell>
        </row>
        <row r="719">
          <cell r="A719">
            <v>36286</v>
          </cell>
          <cell r="B719">
            <v>-7.2075309999999997E-3</v>
          </cell>
          <cell r="C719">
            <v>-6.96E-4</v>
          </cell>
          <cell r="D719">
            <v>4.1135420063118655E-3</v>
          </cell>
        </row>
        <row r="720">
          <cell r="A720">
            <v>36287</v>
          </cell>
          <cell r="B720">
            <v>7.4620698999999999E-3</v>
          </cell>
          <cell r="C720">
            <v>-1.3231E-2</v>
          </cell>
          <cell r="D720">
            <v>2.6667650217040206E-2</v>
          </cell>
        </row>
        <row r="721">
          <cell r="A721">
            <v>36290</v>
          </cell>
          <cell r="B721">
            <v>-2.167329E-3</v>
          </cell>
          <cell r="C721">
            <v>5.646E-3</v>
          </cell>
          <cell r="D721">
            <v>-4.065462200497616E-2</v>
          </cell>
        </row>
        <row r="722">
          <cell r="A722">
            <v>36291</v>
          </cell>
          <cell r="B722">
            <v>1.062806E-2</v>
          </cell>
          <cell r="C722">
            <v>0.04</v>
          </cell>
          <cell r="D722">
            <v>-2.4349378371241626E-2</v>
          </cell>
        </row>
        <row r="723">
          <cell r="A723">
            <v>36292</v>
          </cell>
          <cell r="B723">
            <v>3.8073789E-3</v>
          </cell>
          <cell r="C723">
            <v>1.0796E-2</v>
          </cell>
          <cell r="D723">
            <v>-5.8187257144213689E-2</v>
          </cell>
        </row>
        <row r="724">
          <cell r="A724">
            <v>36293</v>
          </cell>
          <cell r="B724">
            <v>6.0062817999999999E-3</v>
          </cell>
          <cell r="C724">
            <v>0</v>
          </cell>
          <cell r="D724">
            <v>3.4379926122861892E-2</v>
          </cell>
        </row>
        <row r="725">
          <cell r="A725">
            <v>36294</v>
          </cell>
          <cell r="B725">
            <v>-2.1060780000000001E-2</v>
          </cell>
          <cell r="C725">
            <v>-3.6715999999999999E-2</v>
          </cell>
          <cell r="D725">
            <v>8.2794543293698286E-3</v>
          </cell>
        </row>
        <row r="726">
          <cell r="A726">
            <v>36297</v>
          </cell>
          <cell r="B726">
            <v>-2.2611669000000001E-3</v>
          </cell>
          <cell r="C726">
            <v>-9.0089999999999996E-3</v>
          </cell>
          <cell r="D726">
            <v>2.2562200338223537E-2</v>
          </cell>
        </row>
        <row r="727">
          <cell r="A727">
            <v>36298</v>
          </cell>
          <cell r="B727">
            <v>-3.782938E-3</v>
          </cell>
          <cell r="C727">
            <v>-1.5384999999999999E-2</v>
          </cell>
          <cell r="D727">
            <v>3.2588372945055788E-2</v>
          </cell>
        </row>
        <row r="728">
          <cell r="A728">
            <v>36299</v>
          </cell>
          <cell r="B728">
            <v>8.7419860000000002E-3</v>
          </cell>
          <cell r="C728">
            <v>1.7756000000000001E-2</v>
          </cell>
          <cell r="D728">
            <v>-1.9680196801968086E-2</v>
          </cell>
        </row>
        <row r="729">
          <cell r="A729">
            <v>36300</v>
          </cell>
          <cell r="B729">
            <v>-6.3370221000000001E-4</v>
          </cell>
          <cell r="C729">
            <v>2.8611000000000001E-2</v>
          </cell>
          <cell r="D729">
            <v>-3.0962885012344676E-2</v>
          </cell>
        </row>
        <row r="730">
          <cell r="A730">
            <v>36301</v>
          </cell>
          <cell r="B730">
            <v>-4.5264479999999998E-3</v>
          </cell>
          <cell r="C730">
            <v>7.463E-3</v>
          </cell>
          <cell r="D730">
            <v>-4.3280074282079029E-2</v>
          </cell>
        </row>
        <row r="731">
          <cell r="A731">
            <v>36304</v>
          </cell>
          <cell r="B731">
            <v>-1.6876820000000001E-2</v>
          </cell>
          <cell r="C731">
            <v>-3.5017E-2</v>
          </cell>
          <cell r="D731">
            <v>-8.7112679781145008E-3</v>
          </cell>
        </row>
        <row r="732">
          <cell r="A732">
            <v>36305</v>
          </cell>
          <cell r="B732">
            <v>-1.4097739999999999E-2</v>
          </cell>
          <cell r="C732">
            <v>-3.4889999999999999E-3</v>
          </cell>
          <cell r="D732">
            <v>-6.2631857545152325E-2</v>
          </cell>
        </row>
        <row r="733">
          <cell r="A733">
            <v>36306</v>
          </cell>
          <cell r="B733">
            <v>1.167793E-2</v>
          </cell>
          <cell r="C733">
            <v>1.5690000000000001E-3</v>
          </cell>
          <cell r="D733">
            <v>3.3874124256623395E-2</v>
          </cell>
        </row>
        <row r="734">
          <cell r="A734">
            <v>36307</v>
          </cell>
          <cell r="B734">
            <v>-1.6693818999999999E-2</v>
          </cell>
          <cell r="C734">
            <v>-6.9999999999999999E-4</v>
          </cell>
          <cell r="D734">
            <v>-2.0280267245786687E-2</v>
          </cell>
        </row>
        <row r="735">
          <cell r="A735">
            <v>36308</v>
          </cell>
          <cell r="B735">
            <v>1.3192799999999999E-2</v>
          </cell>
          <cell r="C735">
            <v>4.2747E-2</v>
          </cell>
          <cell r="D735">
            <v>-6.0567731047145301E-4</v>
          </cell>
        </row>
        <row r="736">
          <cell r="A736">
            <v>36312</v>
          </cell>
          <cell r="B736">
            <v>-2.9671650999999999E-3</v>
          </cell>
          <cell r="C736">
            <v>-3.3600000000000001E-3</v>
          </cell>
          <cell r="D736">
            <v>8.3132508613148914E-2</v>
          </cell>
        </row>
        <row r="737">
          <cell r="A737">
            <v>36313</v>
          </cell>
          <cell r="B737">
            <v>-5.6624430000000003E-4</v>
          </cell>
          <cell r="C737">
            <v>-4.7200000000000002E-3</v>
          </cell>
          <cell r="D737">
            <v>-1.7640417957676791E-2</v>
          </cell>
        </row>
        <row r="738">
          <cell r="A738">
            <v>36314</v>
          </cell>
          <cell r="B738">
            <v>5.5926661000000001E-3</v>
          </cell>
          <cell r="C738">
            <v>1.4905E-2</v>
          </cell>
          <cell r="D738">
            <v>5.5373945255189794E-2</v>
          </cell>
        </row>
        <row r="739">
          <cell r="A739">
            <v>36315</v>
          </cell>
          <cell r="B739">
            <v>1.66614E-2</v>
          </cell>
          <cell r="C739">
            <v>3.3377999999999998E-2</v>
          </cell>
          <cell r="D739">
            <v>6.6604669647292614E-2</v>
          </cell>
        </row>
        <row r="740">
          <cell r="A740">
            <v>36318</v>
          </cell>
          <cell r="B740">
            <v>4.4629298999999999E-3</v>
          </cell>
          <cell r="C740">
            <v>3.8114000000000002E-2</v>
          </cell>
          <cell r="D740">
            <v>3.4823186444516985E-3</v>
          </cell>
        </row>
        <row r="741">
          <cell r="A741">
            <v>36319</v>
          </cell>
          <cell r="B741">
            <v>-9.8123457000000008E-3</v>
          </cell>
          <cell r="C741">
            <v>1.9913E-2</v>
          </cell>
          <cell r="D741">
            <v>-1.7085315183852701E-2</v>
          </cell>
        </row>
        <row r="742">
          <cell r="A742">
            <v>36320</v>
          </cell>
          <cell r="B742">
            <v>-2.0394089999999998E-3</v>
          </cell>
          <cell r="C742">
            <v>-3.0509999999999999E-3</v>
          </cell>
          <cell r="D742">
            <v>2.3146930918080288E-2</v>
          </cell>
        </row>
        <row r="743">
          <cell r="A743">
            <v>36321</v>
          </cell>
          <cell r="B743">
            <v>-1.042745E-2</v>
          </cell>
          <cell r="C743">
            <v>4.2839999999999996E-3</v>
          </cell>
          <cell r="D743">
            <v>-2.6686850412596108E-3</v>
          </cell>
        </row>
        <row r="744">
          <cell r="A744">
            <v>36322</v>
          </cell>
          <cell r="B744">
            <v>-5.2647930999999999E-3</v>
          </cell>
          <cell r="C744">
            <v>-3.9001000000000001E-2</v>
          </cell>
          <cell r="D744">
            <v>1.3868538017238086E-2</v>
          </cell>
        </row>
        <row r="745">
          <cell r="A745">
            <v>36325</v>
          </cell>
          <cell r="B745">
            <v>-2.1614520000000001E-4</v>
          </cell>
          <cell r="C745">
            <v>-1.5852999999999999E-2</v>
          </cell>
          <cell r="D745">
            <v>-2.8780976556623594E-2</v>
          </cell>
        </row>
        <row r="746">
          <cell r="A746">
            <v>36326</v>
          </cell>
          <cell r="B746">
            <v>4.3512052000000004E-3</v>
          </cell>
          <cell r="C746">
            <v>1.5464E-2</v>
          </cell>
          <cell r="D746">
            <v>2.3013223994327481E-2</v>
          </cell>
        </row>
        <row r="747">
          <cell r="A747">
            <v>36327</v>
          </cell>
          <cell r="B747">
            <v>1.6653188999999999E-2</v>
          </cell>
          <cell r="C747">
            <v>3.4264000000000003E-2</v>
          </cell>
          <cell r="D747">
            <v>-1.4665532800651526E-2</v>
          </cell>
        </row>
        <row r="748">
          <cell r="A748">
            <v>36328</v>
          </cell>
          <cell r="B748">
            <v>6.3035232000000002E-3</v>
          </cell>
          <cell r="C748">
            <v>6.5031000000000005E-2</v>
          </cell>
          <cell r="D748">
            <v>1.3690302136978971E-2</v>
          </cell>
        </row>
        <row r="749">
          <cell r="A749">
            <v>36329</v>
          </cell>
          <cell r="B749">
            <v>1.315983E-3</v>
          </cell>
          <cell r="C749">
            <v>-1.8433000000000001E-2</v>
          </cell>
          <cell r="D749">
            <v>5.5749457112435064E-3</v>
          </cell>
        </row>
        <row r="750">
          <cell r="A750">
            <v>36332</v>
          </cell>
          <cell r="B750">
            <v>5.4932210999999998E-4</v>
          </cell>
          <cell r="C750">
            <v>-4.1079999999999997E-3</v>
          </cell>
          <cell r="D750">
            <v>3.4037729608134004E-2</v>
          </cell>
        </row>
        <row r="751">
          <cell r="A751">
            <v>36333</v>
          </cell>
          <cell r="B751">
            <v>-6.1971819999999999E-3</v>
          </cell>
          <cell r="C751">
            <v>-2.3571000000000002E-2</v>
          </cell>
          <cell r="D751">
            <v>6.9927941877925281E-3</v>
          </cell>
        </row>
        <row r="752">
          <cell r="A752">
            <v>36334</v>
          </cell>
          <cell r="B752">
            <v>-3.7638131E-3</v>
          </cell>
          <cell r="C752">
            <v>1.8109999999999999E-3</v>
          </cell>
          <cell r="D752">
            <v>1.3905336047963734E-2</v>
          </cell>
        </row>
        <row r="753">
          <cell r="A753">
            <v>36335</v>
          </cell>
          <cell r="B753">
            <v>-1.1205110000000001E-2</v>
          </cell>
          <cell r="C753">
            <v>1.8675000000000001E-2</v>
          </cell>
          <cell r="D753">
            <v>-3.2121178934118255E-2</v>
          </cell>
        </row>
        <row r="754">
          <cell r="A754">
            <v>36336</v>
          </cell>
          <cell r="B754">
            <v>-1.793749E-4</v>
          </cell>
          <cell r="C754">
            <v>9.4619999999999999E-3</v>
          </cell>
          <cell r="D754">
            <v>-2.4289004491704236E-2</v>
          </cell>
        </row>
        <row r="755">
          <cell r="A755">
            <v>36339</v>
          </cell>
          <cell r="B755">
            <v>9.6241477999999998E-3</v>
          </cell>
          <cell r="C755">
            <v>2.9290000000000002E-3</v>
          </cell>
          <cell r="D755">
            <v>1.7619910219636159E-2</v>
          </cell>
        </row>
        <row r="756">
          <cell r="A756">
            <v>36340</v>
          </cell>
          <cell r="B756">
            <v>1.393224E-2</v>
          </cell>
          <cell r="C756">
            <v>1.9859999999999999E-2</v>
          </cell>
          <cell r="D756">
            <v>-1.4336697820752642E-2</v>
          </cell>
        </row>
        <row r="757">
          <cell r="A757">
            <v>36341</v>
          </cell>
          <cell r="B757">
            <v>1.5636680999999999E-2</v>
          </cell>
          <cell r="C757">
            <v>1.7181999999999999E-2</v>
          </cell>
          <cell r="D757">
            <v>2.162282803964688E-2</v>
          </cell>
        </row>
        <row r="758">
          <cell r="A758">
            <v>36342</v>
          </cell>
          <cell r="B758">
            <v>5.1103490000000001E-3</v>
          </cell>
          <cell r="C758">
            <v>6.757E-3</v>
          </cell>
          <cell r="D758">
            <v>-1.5763755681842628E-2</v>
          </cell>
        </row>
        <row r="759">
          <cell r="A759">
            <v>36343</v>
          </cell>
          <cell r="B759">
            <v>5.9549459000000004E-3</v>
          </cell>
          <cell r="C759">
            <v>2.2369999999999998E-3</v>
          </cell>
          <cell r="D759">
            <v>2.439113139743232E-2</v>
          </cell>
        </row>
        <row r="760">
          <cell r="A760">
            <v>36347</v>
          </cell>
          <cell r="B760">
            <v>2.3527859999999999E-4</v>
          </cell>
          <cell r="C760">
            <v>5.5800000000000001E-4</v>
          </cell>
          <cell r="D760">
            <v>5.8552651208918505E-3</v>
          </cell>
        </row>
        <row r="761">
          <cell r="A761">
            <v>36348</v>
          </cell>
          <cell r="B761">
            <v>2.0828018999999999E-3</v>
          </cell>
          <cell r="C761">
            <v>-2.0077999999999999E-2</v>
          </cell>
          <cell r="D761">
            <v>-3.3585852878525113E-2</v>
          </cell>
        </row>
        <row r="762">
          <cell r="A762">
            <v>36349</v>
          </cell>
          <cell r="B762">
            <v>-2.8622320000000001E-3</v>
          </cell>
          <cell r="C762">
            <v>-1.8782E-2</v>
          </cell>
          <cell r="D762">
            <v>2.5935624284245451E-2</v>
          </cell>
        </row>
        <row r="763">
          <cell r="A763">
            <v>36350</v>
          </cell>
          <cell r="B763">
            <v>5.2017629999999999E-3</v>
          </cell>
          <cell r="C763">
            <v>-9.861E-3</v>
          </cell>
          <cell r="D763">
            <v>1.5812092756869012E-2</v>
          </cell>
        </row>
        <row r="764">
          <cell r="A764">
            <v>36353</v>
          </cell>
          <cell r="B764">
            <v>-2.3511869000000002E-3</v>
          </cell>
          <cell r="C764">
            <v>2.2261E-2</v>
          </cell>
          <cell r="D764">
            <v>-1.0593297596907747E-2</v>
          </cell>
        </row>
        <row r="765">
          <cell r="A765">
            <v>36354</v>
          </cell>
          <cell r="B765">
            <v>-3.701509E-3</v>
          </cell>
          <cell r="C765">
            <v>3.4380000000000001E-3</v>
          </cell>
          <cell r="D765">
            <v>-5.9302993146171934E-3</v>
          </cell>
        </row>
        <row r="766">
          <cell r="A766">
            <v>36355</v>
          </cell>
          <cell r="B766">
            <v>2.1298268999999999E-3</v>
          </cell>
          <cell r="C766">
            <v>1.1422E-2</v>
          </cell>
          <cell r="D766">
            <v>3.6813656531835992E-2</v>
          </cell>
        </row>
        <row r="767">
          <cell r="A767">
            <v>36356</v>
          </cell>
          <cell r="B767">
            <v>8.5684238000000006E-3</v>
          </cell>
          <cell r="C767">
            <v>1.8634000000000001E-2</v>
          </cell>
          <cell r="D767">
            <v>1.9274423978186572E-2</v>
          </cell>
        </row>
        <row r="768">
          <cell r="A768">
            <v>36357</v>
          </cell>
          <cell r="B768">
            <v>3.4103249E-3</v>
          </cell>
          <cell r="C768">
            <v>3.8800000000000002E-3</v>
          </cell>
          <cell r="D768">
            <v>1.6683499945688185E-2</v>
          </cell>
        </row>
        <row r="769">
          <cell r="A769">
            <v>36360</v>
          </cell>
          <cell r="B769">
            <v>-6.4304447999999998E-3</v>
          </cell>
          <cell r="C769">
            <v>5.5199999999999997E-4</v>
          </cell>
          <cell r="D769">
            <v>6.9214439339813083E-3</v>
          </cell>
        </row>
        <row r="770">
          <cell r="A770">
            <v>36361</v>
          </cell>
          <cell r="B770">
            <v>-1.7849481E-2</v>
          </cell>
          <cell r="C770">
            <v>-2.649E-2</v>
          </cell>
          <cell r="D770">
            <v>-2.32360425243896E-2</v>
          </cell>
        </row>
        <row r="771">
          <cell r="A771">
            <v>36362</v>
          </cell>
          <cell r="B771">
            <v>3.4905850999999999E-4</v>
          </cell>
          <cell r="C771">
            <v>-0.16043099999999999</v>
          </cell>
          <cell r="D771">
            <v>-3.0073868957495087E-2</v>
          </cell>
        </row>
        <row r="772">
          <cell r="A772">
            <v>36363</v>
          </cell>
          <cell r="B772">
            <v>-8.7332251000000003E-3</v>
          </cell>
          <cell r="C772">
            <v>2.2282E-2</v>
          </cell>
          <cell r="D772">
            <v>3.1467563401210041E-2</v>
          </cell>
        </row>
        <row r="773">
          <cell r="A773">
            <v>36364</v>
          </cell>
          <cell r="B773">
            <v>-4.7585322000000003E-3</v>
          </cell>
          <cell r="C773">
            <v>-4.4254000000000002E-2</v>
          </cell>
          <cell r="D773">
            <v>-2.2372663711341167E-2</v>
          </cell>
        </row>
        <row r="774">
          <cell r="A774">
            <v>36367</v>
          </cell>
          <cell r="B774">
            <v>-4.9638581000000003E-3</v>
          </cell>
          <cell r="C774">
            <v>-3.8010000000000002E-2</v>
          </cell>
          <cell r="D774">
            <v>-2.8666353011298495E-2</v>
          </cell>
        </row>
        <row r="775">
          <cell r="A775">
            <v>36368</v>
          </cell>
          <cell r="B775">
            <v>8.1338091000000001E-3</v>
          </cell>
          <cell r="C775">
            <v>1.0776000000000001E-2</v>
          </cell>
          <cell r="D775">
            <v>1.2508345051917003E-2</v>
          </cell>
        </row>
        <row r="776">
          <cell r="A776">
            <v>36369</v>
          </cell>
          <cell r="B776">
            <v>1.112989E-4</v>
          </cell>
          <cell r="C776">
            <v>7.3205000000000006E-2</v>
          </cell>
          <cell r="D776">
            <v>-1.0974781710848203E-2</v>
          </cell>
        </row>
        <row r="777">
          <cell r="A777">
            <v>36370</v>
          </cell>
          <cell r="B777">
            <v>-1.543712E-2</v>
          </cell>
          <cell r="C777">
            <v>-1.0596E-2</v>
          </cell>
          <cell r="D777">
            <v>-3.8374139885076985E-2</v>
          </cell>
        </row>
        <row r="778">
          <cell r="A778">
            <v>36371</v>
          </cell>
          <cell r="B778">
            <v>-8.4399655000000004E-3</v>
          </cell>
          <cell r="C778">
            <v>1.2048E-2</v>
          </cell>
          <cell r="D778">
            <v>-4.7479900492595539E-2</v>
          </cell>
        </row>
        <row r="779">
          <cell r="A779">
            <v>36374</v>
          </cell>
          <cell r="B779">
            <v>-1.249366E-3</v>
          </cell>
          <cell r="C779">
            <v>9.2589999999999999E-3</v>
          </cell>
          <cell r="D779">
            <v>2.9304639094635432E-2</v>
          </cell>
        </row>
        <row r="780">
          <cell r="A780">
            <v>36375</v>
          </cell>
          <cell r="B780">
            <v>-5.3583160000000001E-3</v>
          </cell>
          <cell r="C780">
            <v>-7.208E-3</v>
          </cell>
          <cell r="D780">
            <v>-2.2758508111865194E-2</v>
          </cell>
        </row>
        <row r="781">
          <cell r="A781">
            <v>36376</v>
          </cell>
          <cell r="B781">
            <v>-1.290384E-2</v>
          </cell>
          <cell r="C781">
            <v>-9.2409999999999992E-3</v>
          </cell>
          <cell r="D781">
            <v>-7.4752038919401187E-3</v>
          </cell>
        </row>
        <row r="782">
          <cell r="A782">
            <v>36377</v>
          </cell>
          <cell r="B782">
            <v>4.4134841000000001E-3</v>
          </cell>
          <cell r="C782">
            <v>-1.3991E-2</v>
          </cell>
          <cell r="D782">
            <v>2.7940473900715412E-2</v>
          </cell>
        </row>
        <row r="783">
          <cell r="A783">
            <v>36378</v>
          </cell>
          <cell r="B783">
            <v>-1.0541439999999999E-2</v>
          </cell>
          <cell r="C783">
            <v>-7.4320000000000002E-3</v>
          </cell>
          <cell r="D783">
            <v>7.6451814910101223E-3</v>
          </cell>
        </row>
        <row r="784">
          <cell r="A784">
            <v>36381</v>
          </cell>
          <cell r="B784">
            <v>-1.163877E-3</v>
          </cell>
          <cell r="C784">
            <v>-1.0211E-2</v>
          </cell>
          <cell r="D784">
            <v>2.059312204848518E-2</v>
          </cell>
        </row>
        <row r="785">
          <cell r="A785">
            <v>36382</v>
          </cell>
          <cell r="B785">
            <v>-1.13717E-2</v>
          </cell>
          <cell r="C785">
            <v>2.5447000000000001E-2</v>
          </cell>
          <cell r="D785">
            <v>-3.767297655398294E-3</v>
          </cell>
        </row>
        <row r="786">
          <cell r="A786">
            <v>36383</v>
          </cell>
          <cell r="B786">
            <v>1.252258E-2</v>
          </cell>
          <cell r="C786">
            <v>1.3414000000000001E-2</v>
          </cell>
          <cell r="D786">
            <v>1.4978890369101716E-3</v>
          </cell>
        </row>
        <row r="787">
          <cell r="A787">
            <v>36384</v>
          </cell>
          <cell r="B787">
            <v>3.0007390999999998E-4</v>
          </cell>
          <cell r="C787">
            <v>-2.3824999999999999E-2</v>
          </cell>
          <cell r="D787">
            <v>-2.5665743835228683E-2</v>
          </cell>
        </row>
        <row r="788">
          <cell r="A788">
            <v>36385</v>
          </cell>
          <cell r="B788">
            <v>1.8304599000000001E-2</v>
          </cell>
          <cell r="C788">
            <v>2.4407000000000002E-2</v>
          </cell>
          <cell r="D788">
            <v>7.5944819820670251E-3</v>
          </cell>
        </row>
        <row r="789">
          <cell r="A789">
            <v>36388</v>
          </cell>
          <cell r="B789">
            <v>2.5349229000000001E-3</v>
          </cell>
          <cell r="C789">
            <v>1.9854E-2</v>
          </cell>
          <cell r="D789">
            <v>1.6081893245769585E-2</v>
          </cell>
        </row>
        <row r="790">
          <cell r="A790">
            <v>36389</v>
          </cell>
          <cell r="B790">
            <v>9.6577060999999999E-3</v>
          </cell>
          <cell r="C790">
            <v>-5.8399999999999997E-3</v>
          </cell>
          <cell r="D790">
            <v>1.0239021064075704E-3</v>
          </cell>
        </row>
        <row r="791">
          <cell r="A791">
            <v>36390</v>
          </cell>
          <cell r="B791">
            <v>-7.9217599999999999E-3</v>
          </cell>
          <cell r="C791">
            <v>1.3708E-2</v>
          </cell>
          <cell r="D791">
            <v>2.5670783614293313E-3</v>
          </cell>
        </row>
        <row r="792">
          <cell r="A792">
            <v>36391</v>
          </cell>
          <cell r="B792">
            <v>-5.4004131999999998E-3</v>
          </cell>
          <cell r="C792">
            <v>1.2880000000000001E-3</v>
          </cell>
          <cell r="D792">
            <v>2.1380880678688152E-2</v>
          </cell>
        </row>
        <row r="793">
          <cell r="A793">
            <v>36392</v>
          </cell>
          <cell r="B793">
            <v>8.4145386000000003E-3</v>
          </cell>
          <cell r="C793">
            <v>-3.215E-3</v>
          </cell>
          <cell r="D793">
            <v>-2.3853716383123169E-3</v>
          </cell>
        </row>
        <row r="794">
          <cell r="A794">
            <v>36395</v>
          </cell>
          <cell r="B794">
            <v>1.430496E-2</v>
          </cell>
          <cell r="C794">
            <v>5.0323E-2</v>
          </cell>
          <cell r="D794">
            <v>5.8742454452793691E-3</v>
          </cell>
        </row>
        <row r="795">
          <cell r="A795">
            <v>36396</v>
          </cell>
          <cell r="B795">
            <v>-1.1416550000000001E-3</v>
          </cell>
          <cell r="C795">
            <v>6.1399999999999996E-4</v>
          </cell>
          <cell r="D795">
            <v>8.3489143903037188E-4</v>
          </cell>
        </row>
        <row r="796">
          <cell r="A796">
            <v>36397</v>
          </cell>
          <cell r="B796">
            <v>9.4123064000000006E-3</v>
          </cell>
          <cell r="C796">
            <v>5.5396000000000001E-2</v>
          </cell>
          <cell r="D796">
            <v>1.4444819971415335E-2</v>
          </cell>
        </row>
        <row r="797">
          <cell r="A797">
            <v>36398</v>
          </cell>
          <cell r="B797">
            <v>-1.190515E-2</v>
          </cell>
          <cell r="C797">
            <v>-3.0284999999999999E-2</v>
          </cell>
          <cell r="D797">
            <v>1.0668942331243381E-2</v>
          </cell>
        </row>
        <row r="798">
          <cell r="A798">
            <v>36399</v>
          </cell>
          <cell r="B798">
            <v>-1.0257509999999999E-2</v>
          </cell>
          <cell r="C798">
            <v>-1.6816999999999999E-2</v>
          </cell>
          <cell r="D798">
            <v>-2.7426172124896953E-3</v>
          </cell>
        </row>
        <row r="799">
          <cell r="A799">
            <v>36402</v>
          </cell>
          <cell r="B799">
            <v>-1.7390151E-2</v>
          </cell>
          <cell r="C799">
            <v>-7.9410000000000001E-3</v>
          </cell>
          <cell r="D799">
            <v>7.2490207764177583E-3</v>
          </cell>
        </row>
        <row r="800">
          <cell r="A800">
            <v>36403</v>
          </cell>
          <cell r="B800">
            <v>-4.6036480999999997E-3</v>
          </cell>
          <cell r="C800">
            <v>-1.601E-2</v>
          </cell>
          <cell r="D800">
            <v>2.9612005551120646E-3</v>
          </cell>
        </row>
        <row r="801">
          <cell r="A801">
            <v>36404</v>
          </cell>
          <cell r="B801">
            <v>8.2461853000000002E-3</v>
          </cell>
          <cell r="C801">
            <v>4.8184999999999999E-2</v>
          </cell>
          <cell r="D801">
            <v>5.2934884407709326E-3</v>
          </cell>
        </row>
        <row r="802">
          <cell r="A802">
            <v>36405</v>
          </cell>
          <cell r="B802">
            <v>-9.3745310000000002E-3</v>
          </cell>
          <cell r="C802">
            <v>-1.194E-3</v>
          </cell>
          <cell r="D802">
            <v>2.5590226753819945E-2</v>
          </cell>
        </row>
        <row r="803">
          <cell r="A803">
            <v>36406</v>
          </cell>
          <cell r="B803">
            <v>2.3999721000000002E-2</v>
          </cell>
          <cell r="C803">
            <v>6.5750000000000001E-3</v>
          </cell>
          <cell r="D803">
            <v>6.8010378726703902E-3</v>
          </cell>
        </row>
        <row r="804">
          <cell r="A804">
            <v>36410</v>
          </cell>
          <cell r="B804">
            <v>-2.6619568999999999E-3</v>
          </cell>
          <cell r="C804">
            <v>1.3658E-2</v>
          </cell>
          <cell r="D804">
            <v>-2.2149903698974405E-2</v>
          </cell>
        </row>
        <row r="805">
          <cell r="A805">
            <v>36411</v>
          </cell>
          <cell r="B805">
            <v>-3.2017119000000002E-3</v>
          </cell>
          <cell r="C805">
            <v>-5.2719999999999998E-3</v>
          </cell>
          <cell r="D805">
            <v>-3.2961554300887541E-2</v>
          </cell>
        </row>
        <row r="806">
          <cell r="A806">
            <v>36412</v>
          </cell>
          <cell r="B806">
            <v>2.1539989000000001E-4</v>
          </cell>
          <cell r="C806">
            <v>1.1779E-2</v>
          </cell>
          <cell r="D806">
            <v>2.1710389714949097E-2</v>
          </cell>
        </row>
        <row r="807">
          <cell r="A807">
            <v>36413</v>
          </cell>
          <cell r="B807">
            <v>2.0027488999999998E-3</v>
          </cell>
          <cell r="C807">
            <v>1.6298E-2</v>
          </cell>
          <cell r="D807">
            <v>-3.0896544478153376E-2</v>
          </cell>
        </row>
        <row r="808">
          <cell r="A808">
            <v>36416</v>
          </cell>
          <cell r="B808">
            <v>-3.5025E-3</v>
          </cell>
          <cell r="C808">
            <v>3.4359999999999998E-3</v>
          </cell>
          <cell r="D808">
            <v>-2.1657616506692956E-2</v>
          </cell>
        </row>
        <row r="809">
          <cell r="A809">
            <v>36417</v>
          </cell>
          <cell r="B809">
            <v>-9.1059199000000004E-3</v>
          </cell>
          <cell r="C809">
            <v>-1.8265E-2</v>
          </cell>
          <cell r="D809">
            <v>-1.2404885549164857E-2</v>
          </cell>
        </row>
        <row r="810">
          <cell r="A810">
            <v>36418</v>
          </cell>
          <cell r="B810">
            <v>-1.0337570000000001E-2</v>
          </cell>
          <cell r="C810">
            <v>-5.8100000000000003E-4</v>
          </cell>
          <cell r="D810">
            <v>1.1632765450435567E-2</v>
          </cell>
        </row>
        <row r="811">
          <cell r="A811">
            <v>36419</v>
          </cell>
          <cell r="B811">
            <v>-1.6182569999999999E-3</v>
          </cell>
          <cell r="C811">
            <v>5.8170000000000001E-3</v>
          </cell>
          <cell r="D811">
            <v>5.2766385965936635E-3</v>
          </cell>
        </row>
        <row r="812">
          <cell r="A812">
            <v>36420</v>
          </cell>
          <cell r="B812">
            <v>9.0312511000000002E-3</v>
          </cell>
          <cell r="C812">
            <v>1.0989000000000001E-2</v>
          </cell>
          <cell r="D812">
            <v>-2.04542501475381E-2</v>
          </cell>
        </row>
        <row r="813">
          <cell r="A813">
            <v>36423</v>
          </cell>
          <cell r="B813">
            <v>-1.6188419999999999E-3</v>
          </cell>
          <cell r="C813">
            <v>1.7160000000000001E-3</v>
          </cell>
          <cell r="D813">
            <v>-2.8721692740580673E-2</v>
          </cell>
        </row>
        <row r="814">
          <cell r="A814">
            <v>36424</v>
          </cell>
          <cell r="B814">
            <v>-1.7671609000000001E-2</v>
          </cell>
          <cell r="C814">
            <v>-3.8263999999999999E-2</v>
          </cell>
          <cell r="D814">
            <v>3.8110134091212666E-2</v>
          </cell>
        </row>
        <row r="815">
          <cell r="A815">
            <v>36425</v>
          </cell>
          <cell r="B815">
            <v>-4.3143661E-4</v>
          </cell>
          <cell r="C815">
            <v>1.3063999999999999E-2</v>
          </cell>
          <cell r="D815">
            <v>8.847404685346838E-3</v>
          </cell>
        </row>
        <row r="816">
          <cell r="A816">
            <v>36426</v>
          </cell>
          <cell r="B816">
            <v>-1.7365029000000001E-2</v>
          </cell>
          <cell r="C816">
            <v>-1.3481999999999999E-2</v>
          </cell>
          <cell r="D816">
            <v>-1.8228072003106388E-2</v>
          </cell>
        </row>
        <row r="817">
          <cell r="A817">
            <v>36427</v>
          </cell>
          <cell r="B817">
            <v>-1.809045E-3</v>
          </cell>
          <cell r="C817">
            <v>1.5448999999999999E-2</v>
          </cell>
          <cell r="D817">
            <v>-6.6575544543728826E-3</v>
          </cell>
        </row>
        <row r="818">
          <cell r="A818">
            <v>36430</v>
          </cell>
          <cell r="B818">
            <v>3.8563769999999998E-3</v>
          </cell>
          <cell r="C818">
            <v>-2.9260000000000002E-3</v>
          </cell>
          <cell r="D818">
            <v>-1.7479289145196475E-2</v>
          </cell>
        </row>
        <row r="819">
          <cell r="A819">
            <v>36431</v>
          </cell>
          <cell r="B819">
            <v>-2.2169540000000001E-3</v>
          </cell>
          <cell r="C819">
            <v>-1.1736999999999999E-2</v>
          </cell>
          <cell r="D819">
            <v>-1.4691268947615965E-2</v>
          </cell>
        </row>
        <row r="820">
          <cell r="A820">
            <v>36432</v>
          </cell>
          <cell r="B820">
            <v>-6.2470390000000002E-3</v>
          </cell>
          <cell r="C820">
            <v>2.5534000000000001E-2</v>
          </cell>
          <cell r="D820">
            <v>-9.9517881890324178E-3</v>
          </cell>
        </row>
        <row r="821">
          <cell r="A821">
            <v>36433</v>
          </cell>
          <cell r="B821">
            <v>1.045722E-2</v>
          </cell>
          <cell r="C821">
            <v>1.9108E-2</v>
          </cell>
          <cell r="D821">
            <v>3.3742228485071912E-2</v>
          </cell>
        </row>
        <row r="822">
          <cell r="A822">
            <v>36434</v>
          </cell>
          <cell r="B822">
            <v>-1.0452739999999999E-3</v>
          </cell>
          <cell r="C822">
            <v>1.1360000000000001E-3</v>
          </cell>
          <cell r="D822">
            <v>-2.9043747323469704E-2</v>
          </cell>
        </row>
        <row r="823">
          <cell r="A823">
            <v>36437</v>
          </cell>
          <cell r="B823">
            <v>1.5068089999999999E-2</v>
          </cell>
          <cell r="C823">
            <v>4.1998000000000001E-2</v>
          </cell>
          <cell r="D823">
            <v>-2.9988616439228344E-2</v>
          </cell>
        </row>
        <row r="824">
          <cell r="A824">
            <v>36438</v>
          </cell>
          <cell r="B824">
            <v>-1.713514E-3</v>
          </cell>
          <cell r="C824">
            <v>-4.3573000000000001E-2</v>
          </cell>
          <cell r="D824">
            <v>-3.3445351512405463E-2</v>
          </cell>
        </row>
        <row r="825">
          <cell r="A825">
            <v>36439</v>
          </cell>
          <cell r="B825">
            <v>1.6894738999999999E-2</v>
          </cell>
          <cell r="C825">
            <v>3.4737999999999998E-2</v>
          </cell>
          <cell r="D825">
            <v>2.1129315185577147E-2</v>
          </cell>
        </row>
        <row r="826">
          <cell r="A826">
            <v>36440</v>
          </cell>
          <cell r="B826">
            <v>-5.6226369999999998E-3</v>
          </cell>
          <cell r="C826">
            <v>-1.6509999999999999E-3</v>
          </cell>
          <cell r="D826">
            <v>-1.5966791409759096E-2</v>
          </cell>
        </row>
        <row r="827">
          <cell r="A827">
            <v>36441</v>
          </cell>
          <cell r="B827">
            <v>1.1408980000000001E-2</v>
          </cell>
          <cell r="C827">
            <v>-1.1577E-2</v>
          </cell>
          <cell r="D827">
            <v>-3.2646252044099766E-2</v>
          </cell>
        </row>
        <row r="828">
          <cell r="A828">
            <v>36444</v>
          </cell>
          <cell r="B828">
            <v>-1.9313868999999999E-4</v>
          </cell>
          <cell r="C828">
            <v>-2.7889999999999998E-3</v>
          </cell>
          <cell r="D828">
            <v>-4.4306601683663516E-4</v>
          </cell>
        </row>
        <row r="829">
          <cell r="A829">
            <v>36445</v>
          </cell>
          <cell r="B829">
            <v>-1.6741529000000002E-2</v>
          </cell>
          <cell r="C829">
            <v>-1.0626E-2</v>
          </cell>
          <cell r="D829">
            <v>-3.5295621931260235E-2</v>
          </cell>
        </row>
        <row r="830">
          <cell r="A830">
            <v>36446</v>
          </cell>
          <cell r="B830">
            <v>-1.8550619000000001E-2</v>
          </cell>
          <cell r="C830">
            <v>-1.1871E-2</v>
          </cell>
          <cell r="D830">
            <v>-2.2794628324824151E-2</v>
          </cell>
        </row>
        <row r="831">
          <cell r="A831">
            <v>36447</v>
          </cell>
          <cell r="B831">
            <v>-1.5653710999999999E-3</v>
          </cell>
          <cell r="C831">
            <v>-3.7756999999999999E-2</v>
          </cell>
          <cell r="D831">
            <v>-2.968758053271614E-2</v>
          </cell>
        </row>
        <row r="832">
          <cell r="A832">
            <v>36448</v>
          </cell>
          <cell r="B832">
            <v>-2.5359860000000001E-2</v>
          </cell>
          <cell r="C832">
            <v>-3.3293999999999997E-2</v>
          </cell>
          <cell r="D832">
            <v>8.112032131657787E-2</v>
          </cell>
        </row>
        <row r="833">
          <cell r="A833">
            <v>36451</v>
          </cell>
          <cell r="B833">
            <v>5.182575E-3</v>
          </cell>
          <cell r="C833">
            <v>2.8289999999999999E-2</v>
          </cell>
          <cell r="D833">
            <v>-7.8516792025747906E-3</v>
          </cell>
        </row>
        <row r="834">
          <cell r="A834">
            <v>36452</v>
          </cell>
          <cell r="B834">
            <v>1.002746E-2</v>
          </cell>
          <cell r="C834">
            <v>2.2128999999999999E-2</v>
          </cell>
          <cell r="D834">
            <v>-2.3371342933472428E-2</v>
          </cell>
        </row>
        <row r="835">
          <cell r="A835">
            <v>36453</v>
          </cell>
          <cell r="B835">
            <v>1.28834E-2</v>
          </cell>
          <cell r="C835">
            <v>1.0532E-2</v>
          </cell>
          <cell r="D835">
            <v>-1.4570456640014884E-2</v>
          </cell>
        </row>
        <row r="836">
          <cell r="A836">
            <v>36454</v>
          </cell>
          <cell r="B836">
            <v>-3.2825129999999999E-3</v>
          </cell>
          <cell r="C836">
            <v>-1.737E-3</v>
          </cell>
          <cell r="D836">
            <v>8.041652185295356E-2</v>
          </cell>
        </row>
        <row r="837">
          <cell r="A837">
            <v>36455</v>
          </cell>
          <cell r="B837">
            <v>1.6685829999999999E-2</v>
          </cell>
          <cell r="C837">
            <v>2.8999999999999998E-3</v>
          </cell>
          <cell r="D837">
            <v>2.0784976262213428E-2</v>
          </cell>
        </row>
        <row r="838">
          <cell r="A838">
            <v>36458</v>
          </cell>
          <cell r="B838">
            <v>-5.1140309999999998E-3</v>
          </cell>
          <cell r="C838">
            <v>-1.0411E-2</v>
          </cell>
          <cell r="D838">
            <v>-3.7627833956234147E-3</v>
          </cell>
        </row>
        <row r="839">
          <cell r="A839">
            <v>36459</v>
          </cell>
          <cell r="B839">
            <v>-1.014848E-2</v>
          </cell>
          <cell r="C839">
            <v>-8.182E-3</v>
          </cell>
          <cell r="D839">
            <v>-1.5851549373308016E-2</v>
          </cell>
        </row>
        <row r="840">
          <cell r="A840">
            <v>36460</v>
          </cell>
          <cell r="B840">
            <v>1.200151E-2</v>
          </cell>
          <cell r="C840">
            <v>0</v>
          </cell>
          <cell r="D840">
            <v>-5.9221313528333264E-2</v>
          </cell>
        </row>
        <row r="841">
          <cell r="A841">
            <v>36461</v>
          </cell>
          <cell r="B841">
            <v>3.4504398999999998E-2</v>
          </cell>
          <cell r="C841">
            <v>1.4732E-2</v>
          </cell>
          <cell r="D841">
            <v>1.3627941317412073E-2</v>
          </cell>
        </row>
        <row r="842">
          <cell r="A842">
            <v>36462</v>
          </cell>
          <cell r="B842">
            <v>1.2171599999999999E-2</v>
          </cell>
          <cell r="C842">
            <v>-2.323E-3</v>
          </cell>
          <cell r="D842">
            <v>9.472673263686282E-4</v>
          </cell>
        </row>
        <row r="843">
          <cell r="A843">
            <v>36465</v>
          </cell>
          <cell r="B843">
            <v>-4.9295620999999998E-3</v>
          </cell>
          <cell r="C843">
            <v>-1.2224E-2</v>
          </cell>
          <cell r="D843">
            <v>-2.9449451813367333E-2</v>
          </cell>
        </row>
        <row r="844">
          <cell r="A844">
            <v>36466</v>
          </cell>
          <cell r="B844">
            <v>-5.3591458000000003E-3</v>
          </cell>
          <cell r="C844">
            <v>2.4160000000000001E-2</v>
          </cell>
          <cell r="D844">
            <v>5.9027887297288695E-2</v>
          </cell>
        </row>
        <row r="845">
          <cell r="A845">
            <v>36467</v>
          </cell>
          <cell r="B845">
            <v>4.3950997999999998E-3</v>
          </cell>
          <cell r="C845">
            <v>8.0549999999999997E-3</v>
          </cell>
          <cell r="D845">
            <v>-1.0717826310795764E-2</v>
          </cell>
        </row>
        <row r="846">
          <cell r="A846">
            <v>36468</v>
          </cell>
          <cell r="B846">
            <v>5.7856091000000002E-3</v>
          </cell>
          <cell r="C846">
            <v>1.7122999999999999E-2</v>
          </cell>
          <cell r="D846">
            <v>2.9485183432970574E-2</v>
          </cell>
        </row>
        <row r="847">
          <cell r="A847">
            <v>36469</v>
          </cell>
          <cell r="B847">
            <v>4.7783278999999996E-3</v>
          </cell>
          <cell r="C847">
            <v>0</v>
          </cell>
          <cell r="D847">
            <v>7.1004354844639295E-3</v>
          </cell>
        </row>
        <row r="848">
          <cell r="A848">
            <v>36472</v>
          </cell>
          <cell r="B848">
            <v>3.547288E-3</v>
          </cell>
          <cell r="C848">
            <v>0</v>
          </cell>
          <cell r="D848">
            <v>-1.0929823134985917E-2</v>
          </cell>
        </row>
        <row r="849">
          <cell r="A849">
            <v>36473</v>
          </cell>
          <cell r="B849">
            <v>-7.4813891999999998E-3</v>
          </cell>
          <cell r="C849">
            <v>-1.2345999999999999E-2</v>
          </cell>
          <cell r="D849">
            <v>-3.5565934545256361E-4</v>
          </cell>
        </row>
        <row r="850">
          <cell r="A850">
            <v>36474</v>
          </cell>
          <cell r="B850">
            <v>4.2153158999999997E-3</v>
          </cell>
          <cell r="C850">
            <v>-5.6800000000000004E-4</v>
          </cell>
          <cell r="D850">
            <v>-5.6388706147711631E-2</v>
          </cell>
        </row>
        <row r="851">
          <cell r="A851">
            <v>36475</v>
          </cell>
          <cell r="B851">
            <v>1.517132E-3</v>
          </cell>
          <cell r="C851">
            <v>-1.7060000000000001E-3</v>
          </cell>
          <cell r="D851">
            <v>-1.0429264544769112E-2</v>
          </cell>
        </row>
        <row r="852">
          <cell r="A852">
            <v>36476</v>
          </cell>
          <cell r="B852">
            <v>1.154647E-2</v>
          </cell>
          <cell r="C852">
            <v>-6.8339999999999998E-3</v>
          </cell>
          <cell r="D852">
            <v>-5.5891445003594442E-2</v>
          </cell>
        </row>
        <row r="853">
          <cell r="A853">
            <v>36479</v>
          </cell>
          <cell r="B853">
            <v>1.90127E-3</v>
          </cell>
          <cell r="C853">
            <v>-6.3070000000000001E-3</v>
          </cell>
          <cell r="D853">
            <v>-2.1235403634480732E-2</v>
          </cell>
        </row>
        <row r="854">
          <cell r="A854">
            <v>36480</v>
          </cell>
          <cell r="B854">
            <v>1.6126839E-2</v>
          </cell>
          <cell r="C854">
            <v>1.1102000000000001E-2</v>
          </cell>
          <cell r="D854">
            <v>6.0804594794873656E-2</v>
          </cell>
        </row>
        <row r="855">
          <cell r="A855">
            <v>36481</v>
          </cell>
          <cell r="B855">
            <v>-5.22186E-3</v>
          </cell>
          <cell r="C855">
            <v>-1.7714000000000001E-2</v>
          </cell>
          <cell r="D855">
            <v>9.0170779936908918E-3</v>
          </cell>
        </row>
        <row r="856">
          <cell r="A856">
            <v>36482</v>
          </cell>
          <cell r="B856">
            <v>6.9131809000000004E-3</v>
          </cell>
          <cell r="C856">
            <v>-7.5630000000000003E-3</v>
          </cell>
          <cell r="D856">
            <v>-4.4223666816577412E-2</v>
          </cell>
        </row>
        <row r="857">
          <cell r="A857">
            <v>36483</v>
          </cell>
          <cell r="B857">
            <v>-3.4310109999999999E-3</v>
          </cell>
          <cell r="C857">
            <v>-7.0340000000000003E-3</v>
          </cell>
          <cell r="D857">
            <v>-1.3441320177189908E-3</v>
          </cell>
        </row>
        <row r="858">
          <cell r="A858">
            <v>36486</v>
          </cell>
          <cell r="B858">
            <v>-2.8259549000000002E-3</v>
          </cell>
          <cell r="C858">
            <v>-1.6528999999999999E-2</v>
          </cell>
          <cell r="D858">
            <v>-5.2252785641263788E-2</v>
          </cell>
        </row>
        <row r="859">
          <cell r="A859">
            <v>36487</v>
          </cell>
          <cell r="B859">
            <v>-1.1527569999999999E-2</v>
          </cell>
          <cell r="C859">
            <v>-4.0216000000000002E-2</v>
          </cell>
          <cell r="D859">
            <v>-1.7957739052357757E-3</v>
          </cell>
        </row>
        <row r="860">
          <cell r="A860">
            <v>36488</v>
          </cell>
          <cell r="B860">
            <v>3.5271191E-3</v>
          </cell>
          <cell r="C860">
            <v>1.3759E-2</v>
          </cell>
          <cell r="D860">
            <v>-4.2546255444554371E-2</v>
          </cell>
        </row>
        <row r="861">
          <cell r="A861">
            <v>36490</v>
          </cell>
          <cell r="B861">
            <v>9.5805369E-4</v>
          </cell>
          <cell r="C861">
            <v>-1.2338E-2</v>
          </cell>
          <cell r="D861">
            <v>5.6533385456238427E-2</v>
          </cell>
        </row>
        <row r="862">
          <cell r="A862">
            <v>36493</v>
          </cell>
          <cell r="B862">
            <v>-5.7001370000000001E-3</v>
          </cell>
          <cell r="C862">
            <v>0</v>
          </cell>
          <cell r="D862">
            <v>-8.7478142897211564E-3</v>
          </cell>
        </row>
        <row r="863">
          <cell r="A863">
            <v>36494</v>
          </cell>
          <cell r="B863">
            <v>-8.6682010000000004E-3</v>
          </cell>
          <cell r="C863">
            <v>-1.6864000000000001E-2</v>
          </cell>
          <cell r="D863">
            <v>-5.3955502664562172E-2</v>
          </cell>
        </row>
        <row r="864">
          <cell r="A864">
            <v>36495</v>
          </cell>
          <cell r="B864">
            <v>4.9629929000000001E-3</v>
          </cell>
          <cell r="C864">
            <v>1.3342E-2</v>
          </cell>
          <cell r="D864">
            <v>-1.2256755481122261E-2</v>
          </cell>
        </row>
        <row r="865">
          <cell r="A865">
            <v>36496</v>
          </cell>
          <cell r="B865">
            <v>4.2905412000000002E-3</v>
          </cell>
          <cell r="C865">
            <v>-2.3824000000000001E-2</v>
          </cell>
          <cell r="D865">
            <v>-4.3346136624033083E-2</v>
          </cell>
        </row>
        <row r="866">
          <cell r="A866">
            <v>36497</v>
          </cell>
          <cell r="B866">
            <v>1.4583209999999999E-2</v>
          </cell>
          <cell r="C866">
            <v>-2.8902000000000001E-2</v>
          </cell>
          <cell r="D866">
            <v>1.9406131300342189E-2</v>
          </cell>
        </row>
        <row r="867">
          <cell r="A867">
            <v>36500</v>
          </cell>
          <cell r="B867">
            <v>-6.8717669000000004E-3</v>
          </cell>
          <cell r="C867">
            <v>-3.1746000000000003E-2</v>
          </cell>
          <cell r="D867">
            <v>-1.1710066032220023E-2</v>
          </cell>
        </row>
        <row r="868">
          <cell r="A868">
            <v>36501</v>
          </cell>
          <cell r="B868">
            <v>-9.6126719999999992E-3</v>
          </cell>
          <cell r="C868">
            <v>-6.1479999999999998E-3</v>
          </cell>
          <cell r="D868">
            <v>0.10981797276610528</v>
          </cell>
        </row>
        <row r="869">
          <cell r="A869">
            <v>36502</v>
          </cell>
          <cell r="B869">
            <v>-9.4608531999999996E-4</v>
          </cell>
          <cell r="C869">
            <v>-1.5807999999999999E-2</v>
          </cell>
          <cell r="D869">
            <v>-3.401176156430008E-2</v>
          </cell>
        </row>
        <row r="870">
          <cell r="A870">
            <v>36503</v>
          </cell>
          <cell r="B870">
            <v>1.4937290000000001E-3</v>
          </cell>
          <cell r="C870">
            <v>-2.4441000000000001E-2</v>
          </cell>
          <cell r="D870">
            <v>-1.7166088505434218E-2</v>
          </cell>
        </row>
        <row r="871">
          <cell r="A871">
            <v>36504</v>
          </cell>
          <cell r="B871">
            <v>5.0421151999999999E-3</v>
          </cell>
          <cell r="C871">
            <v>-2.5054E-2</v>
          </cell>
          <cell r="D871">
            <v>6.288911822426746E-2</v>
          </cell>
        </row>
        <row r="872">
          <cell r="A872">
            <v>36507</v>
          </cell>
          <cell r="B872">
            <v>-2.7457370999999999E-3</v>
          </cell>
          <cell r="C872">
            <v>-2.9369999999999999E-3</v>
          </cell>
          <cell r="D872">
            <v>3.4807859897095561E-2</v>
          </cell>
        </row>
        <row r="873">
          <cell r="A873">
            <v>36508</v>
          </cell>
          <cell r="B873">
            <v>-7.9302303000000005E-3</v>
          </cell>
          <cell r="C873">
            <v>5.8910000000000004E-3</v>
          </cell>
          <cell r="D873">
            <v>-2.8430300915310847E-2</v>
          </cell>
        </row>
        <row r="874">
          <cell r="A874">
            <v>36509</v>
          </cell>
          <cell r="B874">
            <v>1.6146019999999999E-3</v>
          </cell>
          <cell r="C874">
            <v>-1.464E-3</v>
          </cell>
          <cell r="D874">
            <v>-3.900476934950825E-2</v>
          </cell>
        </row>
        <row r="875">
          <cell r="A875">
            <v>36510</v>
          </cell>
          <cell r="B875">
            <v>-9.5898908000000005E-4</v>
          </cell>
          <cell r="C875">
            <v>-3.0792E-2</v>
          </cell>
          <cell r="D875">
            <v>-3.4958777843103528E-2</v>
          </cell>
        </row>
        <row r="876">
          <cell r="A876">
            <v>36511</v>
          </cell>
          <cell r="B876">
            <v>-1.181603E-4</v>
          </cell>
          <cell r="C876">
            <v>-1.2102999999999999E-2</v>
          </cell>
          <cell r="D876">
            <v>-2.9009366774464529E-2</v>
          </cell>
        </row>
        <row r="877">
          <cell r="A877">
            <v>36514</v>
          </cell>
          <cell r="B877">
            <v>-4.0623689999999997E-3</v>
          </cell>
          <cell r="C877">
            <v>6.2786999999999996E-2</v>
          </cell>
          <cell r="D877">
            <v>-1.3784805397446309E-2</v>
          </cell>
        </row>
        <row r="878">
          <cell r="A878">
            <v>36515</v>
          </cell>
          <cell r="B878">
            <v>6.9748298000000004E-3</v>
          </cell>
          <cell r="C878">
            <v>6.6281999999999994E-2</v>
          </cell>
          <cell r="D878">
            <v>-4.5892269209985348E-2</v>
          </cell>
        </row>
        <row r="879">
          <cell r="A879">
            <v>36516</v>
          </cell>
          <cell r="B879">
            <v>2.0692940000000002E-3</v>
          </cell>
          <cell r="C879">
            <v>8.6485999999999993E-2</v>
          </cell>
          <cell r="D879">
            <v>-7.6369279923767408E-2</v>
          </cell>
        </row>
        <row r="880">
          <cell r="A880">
            <v>36517</v>
          </cell>
          <cell r="B880">
            <v>1.560278E-2</v>
          </cell>
          <cell r="C880">
            <v>-1.2440000000000001E-3</v>
          </cell>
          <cell r="D880">
            <v>1.6600731544802461E-3</v>
          </cell>
        </row>
        <row r="881">
          <cell r="A881">
            <v>36521</v>
          </cell>
          <cell r="B881">
            <v>-1.459365E-3</v>
          </cell>
          <cell r="C881">
            <v>0</v>
          </cell>
          <cell r="D881">
            <v>7.9898566347151645E-2</v>
          </cell>
        </row>
        <row r="882">
          <cell r="A882">
            <v>36522</v>
          </cell>
          <cell r="B882">
            <v>2.5137591E-3</v>
          </cell>
          <cell r="C882">
            <v>-4.9810000000000002E-3</v>
          </cell>
          <cell r="D882">
            <v>-1.0521997192419863E-2</v>
          </cell>
        </row>
        <row r="883">
          <cell r="A883">
            <v>36523</v>
          </cell>
          <cell r="B883">
            <v>1.911594E-3</v>
          </cell>
          <cell r="C883">
            <v>2.503E-3</v>
          </cell>
          <cell r="D883">
            <v>1.9600987077972754E-2</v>
          </cell>
        </row>
        <row r="884">
          <cell r="A884">
            <v>36524</v>
          </cell>
          <cell r="B884">
            <v>1.6655050000000001E-3</v>
          </cell>
          <cell r="C884">
            <v>-1.248E-3</v>
          </cell>
          <cell r="D884">
            <v>6.7822766390308598E-3</v>
          </cell>
        </row>
        <row r="885">
          <cell r="A885">
            <v>36525</v>
          </cell>
          <cell r="B885">
            <v>5.5220829999999997E-3</v>
          </cell>
          <cell r="C885">
            <v>-5.0000000000000001E-3</v>
          </cell>
          <cell r="D885">
            <v>-3.5770426681212331E-2</v>
          </cell>
        </row>
        <row r="886">
          <cell r="A886">
            <v>36528</v>
          </cell>
          <cell r="B886">
            <v>-1.6327120000000001E-2</v>
          </cell>
          <cell r="C886">
            <v>-6.2810000000000001E-3</v>
          </cell>
          <cell r="D886">
            <v>-7.5982632813861306E-2</v>
          </cell>
        </row>
        <row r="887">
          <cell r="A887">
            <v>36529</v>
          </cell>
          <cell r="B887">
            <v>-3.2554830999999999E-2</v>
          </cell>
          <cell r="C887">
            <v>-8.8500000000000002E-3</v>
          </cell>
          <cell r="D887">
            <v>0.15045929148218362</v>
          </cell>
        </row>
        <row r="888">
          <cell r="A888">
            <v>36530</v>
          </cell>
          <cell r="B888">
            <v>1.3000589999999999E-3</v>
          </cell>
          <cell r="C888">
            <v>-3.8270000000000001E-3</v>
          </cell>
          <cell r="D888">
            <v>-2.0436115667314403E-2</v>
          </cell>
        </row>
        <row r="889">
          <cell r="A889">
            <v>36531</v>
          </cell>
          <cell r="B889">
            <v>6.2273880000000004E-3</v>
          </cell>
          <cell r="C889">
            <v>-1.7926000000000001E-2</v>
          </cell>
          <cell r="D889">
            <v>-6.5017122738171174E-2</v>
          </cell>
        </row>
        <row r="890">
          <cell r="A890">
            <v>36532</v>
          </cell>
          <cell r="B890">
            <v>2.8739049999999999E-2</v>
          </cell>
          <cell r="C890">
            <v>9.7783999999999996E-2</v>
          </cell>
          <cell r="D890">
            <v>-5.0368045893881552E-3</v>
          </cell>
        </row>
        <row r="891">
          <cell r="A891">
            <v>36535</v>
          </cell>
          <cell r="B891">
            <v>8.2287275999999993E-3</v>
          </cell>
          <cell r="C891">
            <v>-7.1260000000000004E-3</v>
          </cell>
          <cell r="D891">
            <v>2.1165820280256042E-2</v>
          </cell>
        </row>
        <row r="892">
          <cell r="A892">
            <v>36536</v>
          </cell>
          <cell r="B892">
            <v>-1.0254940000000001E-2</v>
          </cell>
          <cell r="C892">
            <v>-1.0766E-2</v>
          </cell>
          <cell r="D892">
            <v>3.568007373930171E-2</v>
          </cell>
        </row>
        <row r="893">
          <cell r="A893">
            <v>36537</v>
          </cell>
          <cell r="B893">
            <v>-1.814523E-3</v>
          </cell>
          <cell r="C893">
            <v>-2.0556000000000001E-2</v>
          </cell>
          <cell r="D893">
            <v>4.9907972601463069E-2</v>
          </cell>
        </row>
        <row r="894">
          <cell r="A894">
            <v>36538</v>
          </cell>
          <cell r="B894">
            <v>1.145258E-2</v>
          </cell>
          <cell r="C894">
            <v>2.5926000000000001E-2</v>
          </cell>
          <cell r="D894">
            <v>-4.3682173079931941E-3</v>
          </cell>
        </row>
        <row r="895">
          <cell r="A895">
            <v>36539</v>
          </cell>
          <cell r="B895">
            <v>4.5593170999999998E-3</v>
          </cell>
          <cell r="C895">
            <v>1.2030000000000001E-3</v>
          </cell>
          <cell r="D895">
            <v>-4.3394632616626794E-3</v>
          </cell>
        </row>
        <row r="896">
          <cell r="A896">
            <v>36543</v>
          </cell>
          <cell r="B896">
            <v>-8.2639037000000002E-3</v>
          </cell>
          <cell r="C896">
            <v>1.9231000000000002E-2</v>
          </cell>
          <cell r="D896">
            <v>2.6762489758823227E-2</v>
          </cell>
        </row>
        <row r="897">
          <cell r="A897">
            <v>36544</v>
          </cell>
          <cell r="B897">
            <v>4.3868068999999999E-3</v>
          </cell>
          <cell r="C897">
            <v>-2.4764000000000001E-2</v>
          </cell>
          <cell r="D897">
            <v>3.4818278042606732E-2</v>
          </cell>
        </row>
        <row r="898">
          <cell r="A898">
            <v>36545</v>
          </cell>
          <cell r="B898">
            <v>-8.2755750000000003E-3</v>
          </cell>
          <cell r="C898">
            <v>-2.0556000000000001E-2</v>
          </cell>
          <cell r="D898">
            <v>1.6580568500712545E-3</v>
          </cell>
        </row>
        <row r="899">
          <cell r="A899">
            <v>36546</v>
          </cell>
          <cell r="B899">
            <v>-1.3758549E-3</v>
          </cell>
          <cell r="C899">
            <v>4.5678999999999997E-2</v>
          </cell>
          <cell r="D899">
            <v>-6.0670243711601346E-3</v>
          </cell>
        </row>
        <row r="900">
          <cell r="A900">
            <v>36549</v>
          </cell>
          <cell r="B900">
            <v>-2.1585630000000001E-2</v>
          </cell>
          <cell r="C900">
            <v>2.3612999999999999E-2</v>
          </cell>
          <cell r="D900">
            <v>3.0728730760155587E-2</v>
          </cell>
        </row>
        <row r="901">
          <cell r="A901">
            <v>36550</v>
          </cell>
          <cell r="B901">
            <v>1.2727729E-4</v>
          </cell>
          <cell r="C901">
            <v>1.4994E-2</v>
          </cell>
          <cell r="D901">
            <v>6.700193296521828E-3</v>
          </cell>
        </row>
        <row r="902">
          <cell r="A902">
            <v>36551</v>
          </cell>
          <cell r="B902">
            <v>4.3035490000000003E-3</v>
          </cell>
          <cell r="C902">
            <v>3.6364E-2</v>
          </cell>
          <cell r="D902">
            <v>-3.8987312859062873E-2</v>
          </cell>
        </row>
        <row r="903">
          <cell r="A903">
            <v>36552</v>
          </cell>
          <cell r="B903">
            <v>-1.6308589999999999E-3</v>
          </cell>
          <cell r="C903">
            <v>-2.4122999999999999E-2</v>
          </cell>
          <cell r="D903">
            <v>1.0063197388916478E-2</v>
          </cell>
        </row>
        <row r="904">
          <cell r="A904">
            <v>36553</v>
          </cell>
          <cell r="B904">
            <v>-2.3806481000000001E-2</v>
          </cell>
          <cell r="C904">
            <v>1.5730000000000001E-2</v>
          </cell>
          <cell r="D904">
            <v>2.0820902421191612E-2</v>
          </cell>
        </row>
        <row r="905">
          <cell r="A905">
            <v>36556</v>
          </cell>
          <cell r="B905">
            <v>1.558058E-2</v>
          </cell>
          <cell r="C905">
            <v>8.8500000000000002E-3</v>
          </cell>
          <cell r="D905">
            <v>-2.4903575824197777E-4</v>
          </cell>
        </row>
        <row r="906">
          <cell r="A906">
            <v>36557</v>
          </cell>
          <cell r="B906">
            <v>5.3051030000000002E-3</v>
          </cell>
          <cell r="C906">
            <v>3.2889999999999998E-3</v>
          </cell>
          <cell r="D906">
            <v>-2.4000881106241212E-2</v>
          </cell>
        </row>
        <row r="907">
          <cell r="A907">
            <v>36558</v>
          </cell>
          <cell r="B907">
            <v>2.107851E-3</v>
          </cell>
          <cell r="C907">
            <v>1.093E-3</v>
          </cell>
          <cell r="D907">
            <v>3.9063941893442422E-3</v>
          </cell>
        </row>
        <row r="908">
          <cell r="A908">
            <v>36559</v>
          </cell>
          <cell r="B908">
            <v>7.6713030999999996E-3</v>
          </cell>
          <cell r="C908">
            <v>0</v>
          </cell>
          <cell r="D908">
            <v>-4.6934897094526362E-2</v>
          </cell>
        </row>
        <row r="909">
          <cell r="A909">
            <v>36560</v>
          </cell>
          <cell r="B909">
            <v>-2.5678099999999998E-3</v>
          </cell>
          <cell r="C909">
            <v>1.7467E-2</v>
          </cell>
          <cell r="D909">
            <v>-7.3775153877356781E-3</v>
          </cell>
        </row>
        <row r="910">
          <cell r="A910">
            <v>36563</v>
          </cell>
          <cell r="B910">
            <v>-4.3427148000000004E-3</v>
          </cell>
          <cell r="C910">
            <v>3.0043E-2</v>
          </cell>
          <cell r="D910">
            <v>8.6149937314203839E-3</v>
          </cell>
        </row>
        <row r="911">
          <cell r="A911">
            <v>36564</v>
          </cell>
          <cell r="B911">
            <v>7.5447759999999996E-3</v>
          </cell>
          <cell r="C911">
            <v>3.9583E-2</v>
          </cell>
          <cell r="D911">
            <v>-2.3381530605616541E-2</v>
          </cell>
        </row>
        <row r="912">
          <cell r="A912">
            <v>36565</v>
          </cell>
          <cell r="B912">
            <v>-1.8409509000000001E-2</v>
          </cell>
          <cell r="C912">
            <v>-5.0099999999999997E-3</v>
          </cell>
          <cell r="D912">
            <v>-1.9061061232588217E-2</v>
          </cell>
        </row>
        <row r="913">
          <cell r="A913">
            <v>36566</v>
          </cell>
          <cell r="B913">
            <v>-3.8880439999999998E-3</v>
          </cell>
          <cell r="C913">
            <v>2.6183000000000001E-2</v>
          </cell>
          <cell r="D913">
            <v>-3.9023784787665439E-2</v>
          </cell>
        </row>
        <row r="914">
          <cell r="A914">
            <v>36567</v>
          </cell>
          <cell r="B914">
            <v>-1.5946841E-2</v>
          </cell>
          <cell r="C914">
            <v>-5.2992999999999998E-2</v>
          </cell>
          <cell r="D914">
            <v>6.8741180128681911E-3</v>
          </cell>
        </row>
        <row r="915">
          <cell r="A915">
            <v>36570</v>
          </cell>
          <cell r="B915">
            <v>1.0841331E-3</v>
          </cell>
          <cell r="C915">
            <v>-5.1809999999999998E-3</v>
          </cell>
          <cell r="D915">
            <v>-2.6737440731273932E-2</v>
          </cell>
        </row>
        <row r="916">
          <cell r="A916">
            <v>36571</v>
          </cell>
          <cell r="B916">
            <v>1.058577E-2</v>
          </cell>
          <cell r="C916">
            <v>1.2500000000000001E-2</v>
          </cell>
          <cell r="D916">
            <v>2.818101162167741E-2</v>
          </cell>
        </row>
        <row r="917">
          <cell r="A917">
            <v>36572</v>
          </cell>
          <cell r="B917">
            <v>-9.1013265999999992E-3</v>
          </cell>
          <cell r="C917">
            <v>-1.4115000000000001E-2</v>
          </cell>
          <cell r="D917">
            <v>2.6727310924868464E-2</v>
          </cell>
        </row>
        <row r="918">
          <cell r="A918">
            <v>36573</v>
          </cell>
          <cell r="B918">
            <v>-6.4762938000000004E-3</v>
          </cell>
          <cell r="C918">
            <v>-5.2249999999999996E-3</v>
          </cell>
          <cell r="D918">
            <v>-5.3830689677894505E-2</v>
          </cell>
        </row>
        <row r="919">
          <cell r="A919">
            <v>36574</v>
          </cell>
          <cell r="B919">
            <v>-2.3918411000000001E-2</v>
          </cell>
          <cell r="C919">
            <v>-1.9958E-2</v>
          </cell>
          <cell r="D919">
            <v>-4.6958808105935224E-2</v>
          </cell>
        </row>
        <row r="920">
          <cell r="A920">
            <v>36578</v>
          </cell>
          <cell r="B920">
            <v>4.6903728999999998E-3</v>
          </cell>
          <cell r="C920">
            <v>-2.358E-2</v>
          </cell>
          <cell r="D920">
            <v>-2.19915182531909E-2</v>
          </cell>
        </row>
        <row r="921">
          <cell r="A921">
            <v>36579</v>
          </cell>
          <cell r="B921">
            <v>-8.4024347999999999E-4</v>
          </cell>
          <cell r="C921">
            <v>-3.6223999999999999E-2</v>
          </cell>
          <cell r="D921">
            <v>-1.0674108699470719E-2</v>
          </cell>
        </row>
        <row r="922">
          <cell r="A922">
            <v>36580</v>
          </cell>
          <cell r="B922">
            <v>-8.6621231999999999E-3</v>
          </cell>
          <cell r="C922">
            <v>-1.139E-3</v>
          </cell>
          <cell r="D922">
            <v>8.2651964739755002E-3</v>
          </cell>
        </row>
        <row r="923">
          <cell r="A923">
            <v>36581</v>
          </cell>
          <cell r="B923">
            <v>-1.1548879999999999E-2</v>
          </cell>
          <cell r="C923">
            <v>-4.1049000000000002E-2</v>
          </cell>
          <cell r="D923">
            <v>2.1084958782815022E-2</v>
          </cell>
        </row>
        <row r="924">
          <cell r="A924">
            <v>36584</v>
          </cell>
          <cell r="B924">
            <v>1.3342969999999999E-2</v>
          </cell>
          <cell r="C924">
            <v>-4.0427999999999999E-2</v>
          </cell>
          <cell r="D924">
            <v>-4.6996579212215006E-2</v>
          </cell>
        </row>
        <row r="925">
          <cell r="A925">
            <v>36585</v>
          </cell>
          <cell r="B925">
            <v>1.524551E-2</v>
          </cell>
          <cell r="C925">
            <v>-2.4780000000000002E-3</v>
          </cell>
          <cell r="D925">
            <v>-2.6998083719447785E-2</v>
          </cell>
        </row>
        <row r="926">
          <cell r="A926">
            <v>36586</v>
          </cell>
          <cell r="B926">
            <v>1.204089E-2</v>
          </cell>
          <cell r="C926">
            <v>-1.2422000000000001E-2</v>
          </cell>
          <cell r="D926">
            <v>1.5405861166820634E-2</v>
          </cell>
        </row>
        <row r="927">
          <cell r="A927">
            <v>36587</v>
          </cell>
          <cell r="B927">
            <v>2.3295269E-3</v>
          </cell>
          <cell r="C927">
            <v>-7.5471999999999997E-2</v>
          </cell>
          <cell r="D927">
            <v>-3.3328093711770701E-2</v>
          </cell>
        </row>
        <row r="928">
          <cell r="A928">
            <v>36588</v>
          </cell>
          <cell r="B928">
            <v>1.622666E-2</v>
          </cell>
          <cell r="C928">
            <v>5.7142999999999999E-2</v>
          </cell>
          <cell r="D928">
            <v>1.3220742567397581E-2</v>
          </cell>
        </row>
        <row r="929">
          <cell r="A929">
            <v>36591</v>
          </cell>
          <cell r="B929">
            <v>-8.9437691000000003E-3</v>
          </cell>
          <cell r="C929">
            <v>-2.7026999999999999E-2</v>
          </cell>
          <cell r="D929">
            <v>3.1088292593068223E-2</v>
          </cell>
        </row>
        <row r="930">
          <cell r="A930">
            <v>36592</v>
          </cell>
          <cell r="B930">
            <v>-2.7513821000000001E-2</v>
          </cell>
          <cell r="C930">
            <v>-1.323E-3</v>
          </cell>
          <cell r="D930">
            <v>9.4322385223502003E-3</v>
          </cell>
        </row>
        <row r="931">
          <cell r="A931">
            <v>36593</v>
          </cell>
          <cell r="B931">
            <v>4.0432271000000004E-3</v>
          </cell>
          <cell r="C931">
            <v>3.9740000000000001E-3</v>
          </cell>
          <cell r="D931">
            <v>-2.6871166960303894E-2</v>
          </cell>
        </row>
        <row r="932">
          <cell r="A932">
            <v>36594</v>
          </cell>
          <cell r="B932">
            <v>1.9854531000000002E-2</v>
          </cell>
          <cell r="C932">
            <v>-1.0553999999999999E-2</v>
          </cell>
          <cell r="D932">
            <v>-5.6976178633382002E-2</v>
          </cell>
        </row>
        <row r="933">
          <cell r="A933">
            <v>36595</v>
          </cell>
          <cell r="B933">
            <v>-4.7037359000000004E-3</v>
          </cell>
          <cell r="C933">
            <v>1.6E-2</v>
          </cell>
          <cell r="D933">
            <v>-6.6352047339007236E-2</v>
          </cell>
        </row>
        <row r="934">
          <cell r="A934">
            <v>36598</v>
          </cell>
          <cell r="B934">
            <v>-6.7532397999999997E-3</v>
          </cell>
          <cell r="C934">
            <v>-3.8058000000000002E-2</v>
          </cell>
          <cell r="D934">
            <v>5.0718922336356886E-2</v>
          </cell>
        </row>
        <row r="935">
          <cell r="A935">
            <v>36599</v>
          </cell>
          <cell r="B935">
            <v>-1.122723E-2</v>
          </cell>
          <cell r="C935">
            <v>-8.1860000000000006E-3</v>
          </cell>
          <cell r="D935">
            <v>-2.1018078049274691E-2</v>
          </cell>
        </row>
        <row r="936">
          <cell r="A936">
            <v>36600</v>
          </cell>
          <cell r="B936">
            <v>2.5689030000000002E-2</v>
          </cell>
          <cell r="C936">
            <v>3.4388000000000002E-2</v>
          </cell>
          <cell r="D936">
            <v>-1.8199936103208469E-2</v>
          </cell>
        </row>
        <row r="937">
          <cell r="A937">
            <v>36601</v>
          </cell>
          <cell r="B937">
            <v>4.7484219000000001E-2</v>
          </cell>
          <cell r="C937">
            <v>9.5744999999999997E-2</v>
          </cell>
          <cell r="D937">
            <v>-2.7354276071632766E-2</v>
          </cell>
        </row>
        <row r="938">
          <cell r="A938">
            <v>36602</v>
          </cell>
          <cell r="B938">
            <v>8.2734512000000001E-4</v>
          </cell>
          <cell r="C938">
            <v>3.8835000000000001E-2</v>
          </cell>
          <cell r="D938">
            <v>3.4411671929315935E-2</v>
          </cell>
        </row>
        <row r="939">
          <cell r="A939">
            <v>36605</v>
          </cell>
          <cell r="B939">
            <v>-3.6067611E-3</v>
          </cell>
          <cell r="C939">
            <v>4.6730000000000001E-3</v>
          </cell>
          <cell r="D939">
            <v>-5.0439400333285089E-2</v>
          </cell>
        </row>
        <row r="940">
          <cell r="A940">
            <v>36606</v>
          </cell>
          <cell r="B940">
            <v>1.7320640000000002E-2</v>
          </cell>
          <cell r="C940">
            <v>-2.3259999999999999E-3</v>
          </cell>
          <cell r="D940">
            <v>-1.3851403954948771E-2</v>
          </cell>
        </row>
        <row r="941">
          <cell r="A941">
            <v>36607</v>
          </cell>
          <cell r="B941">
            <v>2.9140981E-3</v>
          </cell>
          <cell r="C941">
            <v>2.2145000000000001E-2</v>
          </cell>
          <cell r="D941">
            <v>4.1632949783225071E-2</v>
          </cell>
        </row>
        <row r="942">
          <cell r="A942">
            <v>36608</v>
          </cell>
          <cell r="B942">
            <v>1.3865789999999999E-2</v>
          </cell>
          <cell r="C942">
            <v>-2.8506E-2</v>
          </cell>
          <cell r="D942">
            <v>1.5401449826863978E-2</v>
          </cell>
        </row>
        <row r="943">
          <cell r="A943">
            <v>36609</v>
          </cell>
          <cell r="B943">
            <v>1.3690690000000001E-3</v>
          </cell>
          <cell r="C943">
            <v>-3.8732000000000003E-2</v>
          </cell>
          <cell r="D943">
            <v>-6.7768566767900662E-3</v>
          </cell>
        </row>
        <row r="944">
          <cell r="A944">
            <v>36612</v>
          </cell>
          <cell r="B944">
            <v>-4.6941730999999999E-3</v>
          </cell>
          <cell r="C944">
            <v>-2.5641000000000001E-2</v>
          </cell>
          <cell r="D944">
            <v>2.9058434696021651E-2</v>
          </cell>
        </row>
        <row r="945">
          <cell r="A945">
            <v>36613</v>
          </cell>
          <cell r="B945">
            <v>-6.4618508000000002E-3</v>
          </cell>
          <cell r="C945">
            <v>-3.1328000000000002E-2</v>
          </cell>
          <cell r="D945">
            <v>-6.4452670351589192E-2</v>
          </cell>
        </row>
        <row r="946">
          <cell r="A946">
            <v>36614</v>
          </cell>
          <cell r="B946">
            <v>4.8102479999999996E-3</v>
          </cell>
          <cell r="C946">
            <v>-5.1749999999999999E-3</v>
          </cell>
          <cell r="D946">
            <v>-1.9685807679172607E-2</v>
          </cell>
        </row>
        <row r="947">
          <cell r="A947">
            <v>36615</v>
          </cell>
          <cell r="B947">
            <v>-6.7823631999999997E-3</v>
          </cell>
          <cell r="C947">
            <v>5.202E-3</v>
          </cell>
          <cell r="D947">
            <v>9.9319016929191317E-3</v>
          </cell>
        </row>
        <row r="948">
          <cell r="A948">
            <v>36616</v>
          </cell>
          <cell r="B948">
            <v>5.4753679E-3</v>
          </cell>
          <cell r="C948">
            <v>3.4929000000000002E-2</v>
          </cell>
          <cell r="D948">
            <v>-3.3914703215548236E-2</v>
          </cell>
        </row>
        <row r="949">
          <cell r="A949">
            <v>36619</v>
          </cell>
          <cell r="B949">
            <v>1.4054779999999999E-2</v>
          </cell>
          <cell r="C949">
            <v>1.6250000000000001E-2</v>
          </cell>
          <cell r="D949">
            <v>-6.6371388008059196E-2</v>
          </cell>
        </row>
        <row r="950">
          <cell r="A950">
            <v>36620</v>
          </cell>
          <cell r="B950">
            <v>-1.057842E-2</v>
          </cell>
          <cell r="C950">
            <v>1.8450000000000001E-2</v>
          </cell>
          <cell r="D950">
            <v>-2.1143343124953362E-2</v>
          </cell>
        </row>
        <row r="951">
          <cell r="A951">
            <v>36621</v>
          </cell>
          <cell r="B951">
            <v>-1.0014259999999999E-3</v>
          </cell>
          <cell r="C951">
            <v>1.9324000000000001E-2</v>
          </cell>
          <cell r="D951">
            <v>9.6256923268694283E-2</v>
          </cell>
        </row>
        <row r="952">
          <cell r="A952">
            <v>36622</v>
          </cell>
          <cell r="B952">
            <v>1.268118E-2</v>
          </cell>
          <cell r="C952">
            <v>-3.555E-3</v>
          </cell>
          <cell r="D952">
            <v>-3.8198551686333237E-2</v>
          </cell>
        </row>
        <row r="953">
          <cell r="A953">
            <v>36623</v>
          </cell>
          <cell r="B953">
            <v>1.4835510000000001E-3</v>
          </cell>
          <cell r="C953">
            <v>-2.8537E-2</v>
          </cell>
          <cell r="D953">
            <v>1.5716506478404835E-2</v>
          </cell>
        </row>
        <row r="954">
          <cell r="A954">
            <v>36626</v>
          </cell>
          <cell r="B954">
            <v>1.03441E-4</v>
          </cell>
          <cell r="C954">
            <v>2.3255999999999999E-2</v>
          </cell>
          <cell r="D954">
            <v>6.5795051039198471E-2</v>
          </cell>
        </row>
        <row r="955">
          <cell r="A955">
            <v>36627</v>
          </cell>
          <cell r="B955">
            <v>-2.7351898999999999E-4</v>
          </cell>
          <cell r="C955">
            <v>1.7943000000000001E-2</v>
          </cell>
          <cell r="D955">
            <v>2.7847956838519483E-2</v>
          </cell>
        </row>
        <row r="956">
          <cell r="A956">
            <v>36628</v>
          </cell>
          <cell r="B956">
            <v>-1.122343E-2</v>
          </cell>
          <cell r="C956">
            <v>1.5276E-2</v>
          </cell>
          <cell r="D956">
            <v>3.566790095068928E-2</v>
          </cell>
        </row>
        <row r="957">
          <cell r="A957">
            <v>36629</v>
          </cell>
          <cell r="B957">
            <v>-1.395678E-2</v>
          </cell>
          <cell r="C957">
            <v>-4.6299999999999996E-3</v>
          </cell>
          <cell r="D957">
            <v>-2.814479541010606E-2</v>
          </cell>
        </row>
        <row r="958">
          <cell r="A958">
            <v>36630</v>
          </cell>
          <cell r="B958">
            <v>-5.2744689999999997E-2</v>
          </cell>
          <cell r="C958">
            <v>-5.3488000000000001E-2</v>
          </cell>
          <cell r="D958">
            <v>7.0820190765488178E-3</v>
          </cell>
        </row>
        <row r="959">
          <cell r="A959">
            <v>36633</v>
          </cell>
          <cell r="B959">
            <v>1.512177E-2</v>
          </cell>
          <cell r="C959">
            <v>2.5798999999999999E-2</v>
          </cell>
          <cell r="D959">
            <v>8.7291790845133166E-2</v>
          </cell>
        </row>
        <row r="960">
          <cell r="A960">
            <v>36634</v>
          </cell>
          <cell r="B960">
            <v>2.4108768999999999E-2</v>
          </cell>
          <cell r="C960">
            <v>6.1377000000000001E-2</v>
          </cell>
          <cell r="D960">
            <v>5.3194397681719741E-2</v>
          </cell>
        </row>
        <row r="961">
          <cell r="A961">
            <v>36635</v>
          </cell>
          <cell r="B961">
            <v>-1.0797269999999999E-3</v>
          </cell>
          <cell r="C961">
            <v>4.2595000000000001E-2</v>
          </cell>
          <cell r="D961">
            <v>-8.8036635481332226E-3</v>
          </cell>
        </row>
        <row r="962">
          <cell r="A962">
            <v>36636</v>
          </cell>
          <cell r="B962">
            <v>8.1496508999999995E-3</v>
          </cell>
          <cell r="C962">
            <v>-1.2987E-2</v>
          </cell>
          <cell r="D962">
            <v>-5.1367011980306687E-2</v>
          </cell>
        </row>
        <row r="963">
          <cell r="A963">
            <v>36640</v>
          </cell>
          <cell r="B963">
            <v>4.0586399999999996E-3</v>
          </cell>
          <cell r="C963">
            <v>2.5218999999999998E-2</v>
          </cell>
          <cell r="D963">
            <v>-2.2600602101543577E-2</v>
          </cell>
        </row>
        <row r="964">
          <cell r="A964">
            <v>36641</v>
          </cell>
          <cell r="B964">
            <v>2.7940650000000001E-2</v>
          </cell>
          <cell r="C964">
            <v>7.3797000000000001E-2</v>
          </cell>
          <cell r="D964">
            <v>2.2961166996927407E-2</v>
          </cell>
        </row>
        <row r="965">
          <cell r="A965">
            <v>36642</v>
          </cell>
          <cell r="B965">
            <v>-6.8177050000000003E-3</v>
          </cell>
          <cell r="C965">
            <v>-7.5697E-2</v>
          </cell>
          <cell r="D965">
            <v>-1.3216652837257148E-2</v>
          </cell>
        </row>
        <row r="966">
          <cell r="A966">
            <v>36643</v>
          </cell>
          <cell r="B966">
            <v>-6.2782908999999996E-3</v>
          </cell>
          <cell r="C966">
            <v>2.3706999999999999E-2</v>
          </cell>
          <cell r="D966">
            <v>2.0113334472176003E-2</v>
          </cell>
        </row>
        <row r="967">
          <cell r="A967">
            <v>36644</v>
          </cell>
          <cell r="B967">
            <v>-8.6854389000000001E-3</v>
          </cell>
          <cell r="C967">
            <v>-8.4209999999999997E-3</v>
          </cell>
          <cell r="D967">
            <v>2.1451978461405119E-2</v>
          </cell>
        </row>
        <row r="968">
          <cell r="A968">
            <v>36647</v>
          </cell>
          <cell r="B968">
            <v>1.053927E-2</v>
          </cell>
          <cell r="C968">
            <v>2.1229999999999999E-3</v>
          </cell>
          <cell r="D968">
            <v>2.6480772220416338E-2</v>
          </cell>
        </row>
        <row r="969">
          <cell r="A969">
            <v>36648</v>
          </cell>
          <cell r="B969">
            <v>-8.0024469999999993E-3</v>
          </cell>
          <cell r="C969">
            <v>-1.0593E-2</v>
          </cell>
          <cell r="D969">
            <v>2.6079880821746171E-2</v>
          </cell>
        </row>
        <row r="970">
          <cell r="A970">
            <v>36649</v>
          </cell>
          <cell r="B970">
            <v>-2.1491051000000001E-2</v>
          </cell>
          <cell r="C970">
            <v>-2.6766999999999999E-2</v>
          </cell>
          <cell r="D970">
            <v>-3.5860497632335009E-2</v>
          </cell>
        </row>
        <row r="971">
          <cell r="A971">
            <v>36650</v>
          </cell>
          <cell r="B971">
            <v>-1.9818968999999999E-4</v>
          </cell>
          <cell r="C971">
            <v>1.6501999999999999E-2</v>
          </cell>
          <cell r="D971">
            <v>2.2198284260511958E-2</v>
          </cell>
        </row>
        <row r="972">
          <cell r="A972">
            <v>36651</v>
          </cell>
          <cell r="B972">
            <v>1.0883200000000001E-2</v>
          </cell>
          <cell r="C972">
            <v>1.5152000000000001E-2</v>
          </cell>
          <cell r="D972">
            <v>-8.6374738928812755E-3</v>
          </cell>
        </row>
        <row r="973">
          <cell r="A973">
            <v>36654</v>
          </cell>
          <cell r="B973">
            <v>2.6670520000000001E-3</v>
          </cell>
          <cell r="C973">
            <v>1.5990999999999998E-2</v>
          </cell>
          <cell r="D973">
            <v>1.2343949569445067E-2</v>
          </cell>
        </row>
        <row r="974">
          <cell r="A974">
            <v>36655</v>
          </cell>
          <cell r="B974">
            <v>-6.9521512000000002E-3</v>
          </cell>
          <cell r="C974">
            <v>1.5740000000000001E-2</v>
          </cell>
          <cell r="D974">
            <v>-2.0607284044074414E-2</v>
          </cell>
        </row>
        <row r="975">
          <cell r="A975">
            <v>36656</v>
          </cell>
          <cell r="B975">
            <v>-1.404246E-2</v>
          </cell>
          <cell r="C975">
            <v>1.4463E-2</v>
          </cell>
          <cell r="D975">
            <v>-1.4156536385899976E-2</v>
          </cell>
        </row>
        <row r="976">
          <cell r="A976">
            <v>36657</v>
          </cell>
          <cell r="B976">
            <v>1.4935159999999999E-2</v>
          </cell>
          <cell r="C976">
            <v>-2.0367E-2</v>
          </cell>
          <cell r="D976">
            <v>-1.0768461222861014E-2</v>
          </cell>
        </row>
        <row r="977">
          <cell r="A977">
            <v>36658</v>
          </cell>
          <cell r="B977">
            <v>8.3537642000000006E-3</v>
          </cell>
          <cell r="C977">
            <v>-7.2769999999999996E-3</v>
          </cell>
          <cell r="D977">
            <v>-1.3713631534392645E-2</v>
          </cell>
        </row>
        <row r="978">
          <cell r="A978">
            <v>36661</v>
          </cell>
          <cell r="B978">
            <v>1.9796069999999999E-2</v>
          </cell>
          <cell r="C978">
            <v>1.0470999999999999E-2</v>
          </cell>
          <cell r="D978">
            <v>1.2096965821750683E-3</v>
          </cell>
        </row>
        <row r="979">
          <cell r="A979">
            <v>36662</v>
          </cell>
          <cell r="B979">
            <v>6.6122860000000002E-3</v>
          </cell>
          <cell r="C979">
            <v>1.1398999999999999E-2</v>
          </cell>
          <cell r="D979">
            <v>4.1226703719206004E-2</v>
          </cell>
        </row>
        <row r="980">
          <cell r="A980">
            <v>36663</v>
          </cell>
          <cell r="B980">
            <v>-1.083605E-2</v>
          </cell>
          <cell r="C980">
            <v>1.5369000000000001E-2</v>
          </cell>
          <cell r="D980">
            <v>1.3894357023364057E-2</v>
          </cell>
        </row>
        <row r="981">
          <cell r="A981">
            <v>36664</v>
          </cell>
          <cell r="B981">
            <v>-2.4401939000000001E-3</v>
          </cell>
          <cell r="C981">
            <v>-4.0359999999999997E-3</v>
          </cell>
          <cell r="D981">
            <v>2.8680466898927115E-3</v>
          </cell>
        </row>
        <row r="982">
          <cell r="A982">
            <v>36665</v>
          </cell>
          <cell r="B982">
            <v>-1.7031441000000001E-2</v>
          </cell>
          <cell r="C982">
            <v>1.5198E-2</v>
          </cell>
          <cell r="D982">
            <v>5.2032867153768647E-2</v>
          </cell>
        </row>
        <row r="983">
          <cell r="A983">
            <v>36668</v>
          </cell>
          <cell r="B983">
            <v>-7.7695869999999997E-3</v>
          </cell>
          <cell r="C983">
            <v>9.9799999999999997E-4</v>
          </cell>
          <cell r="D983">
            <v>3.457079652303241E-3</v>
          </cell>
        </row>
        <row r="984">
          <cell r="A984">
            <v>36669</v>
          </cell>
          <cell r="B984">
            <v>-8.4806914000000004E-3</v>
          </cell>
          <cell r="C984">
            <v>7.7767000000000003E-2</v>
          </cell>
          <cell r="D984">
            <v>-3.2852013435774596E-2</v>
          </cell>
        </row>
        <row r="985">
          <cell r="A985">
            <v>36670</v>
          </cell>
          <cell r="B985">
            <v>8.9094974000000007E-3</v>
          </cell>
          <cell r="C985">
            <v>1.7835E-2</v>
          </cell>
          <cell r="D985">
            <v>1.8557477481792928E-2</v>
          </cell>
        </row>
        <row r="986">
          <cell r="A986">
            <v>36671</v>
          </cell>
          <cell r="B986">
            <v>-8.2284127999999995E-3</v>
          </cell>
          <cell r="C986">
            <v>-1.3649E-2</v>
          </cell>
          <cell r="D986">
            <v>-1.4263523761870456E-2</v>
          </cell>
        </row>
        <row r="987">
          <cell r="A987">
            <v>36672</v>
          </cell>
          <cell r="B987">
            <v>-2.3040690000000002E-3</v>
          </cell>
          <cell r="C987">
            <v>-1.9373000000000001E-2</v>
          </cell>
          <cell r="D987">
            <v>-3.6527326246370118E-2</v>
          </cell>
        </row>
        <row r="988">
          <cell r="A988">
            <v>36676</v>
          </cell>
          <cell r="B988">
            <v>2.1675679999999999E-2</v>
          </cell>
          <cell r="C988">
            <v>6.5849999999999997E-3</v>
          </cell>
          <cell r="D988">
            <v>-4.5428284523432838E-2</v>
          </cell>
        </row>
        <row r="989">
          <cell r="A989">
            <v>36677</v>
          </cell>
          <cell r="B989">
            <v>4.1771237999999999E-3</v>
          </cell>
          <cell r="C989">
            <v>2.7102999999999999E-2</v>
          </cell>
          <cell r="D989">
            <v>1.3127841543637997E-2</v>
          </cell>
        </row>
        <row r="990">
          <cell r="A990">
            <v>36678</v>
          </cell>
          <cell r="B990">
            <v>1.368403E-2</v>
          </cell>
          <cell r="C990">
            <v>9.1E-4</v>
          </cell>
          <cell r="D990">
            <v>1.9698316632411395E-2</v>
          </cell>
        </row>
        <row r="991">
          <cell r="A991">
            <v>36679</v>
          </cell>
          <cell r="B991">
            <v>1.4008339999999999E-2</v>
          </cell>
          <cell r="C991">
            <v>-0.02</v>
          </cell>
          <cell r="D991">
            <v>2.6949214957652234E-3</v>
          </cell>
        </row>
        <row r="992">
          <cell r="A992">
            <v>36682</v>
          </cell>
          <cell r="B992">
            <v>-6.4842878000000003E-3</v>
          </cell>
          <cell r="C992">
            <v>2.7829999999999999E-3</v>
          </cell>
          <cell r="D992">
            <v>3.8737625828422662E-2</v>
          </cell>
        </row>
        <row r="993">
          <cell r="A993">
            <v>36683</v>
          </cell>
          <cell r="B993">
            <v>-3.8148208999999999E-3</v>
          </cell>
          <cell r="C993">
            <v>-8.3260000000000001E-3</v>
          </cell>
          <cell r="D993">
            <v>-7.1342284935219658E-3</v>
          </cell>
        </row>
        <row r="994">
          <cell r="A994">
            <v>36684</v>
          </cell>
          <cell r="B994">
            <v>5.8149988999999999E-3</v>
          </cell>
          <cell r="C994">
            <v>-7.463E-3</v>
          </cell>
          <cell r="D994">
            <v>2.2507435708938317E-2</v>
          </cell>
        </row>
        <row r="995">
          <cell r="A995">
            <v>36685</v>
          </cell>
          <cell r="B995">
            <v>-5.9944391000000003E-3</v>
          </cell>
          <cell r="C995">
            <v>1.0338E-2</v>
          </cell>
          <cell r="D995">
            <v>-2.2947307599457178E-2</v>
          </cell>
        </row>
        <row r="996">
          <cell r="A996">
            <v>36686</v>
          </cell>
          <cell r="B996">
            <v>-4.352496E-3</v>
          </cell>
          <cell r="C996">
            <v>9.3019999999999995E-3</v>
          </cell>
          <cell r="D996">
            <v>-2.16918743907345E-2</v>
          </cell>
        </row>
        <row r="997">
          <cell r="A997">
            <v>36689</v>
          </cell>
          <cell r="B997">
            <v>-3.2309719999999999E-3</v>
          </cell>
          <cell r="C997">
            <v>-7.3730000000000002E-3</v>
          </cell>
          <cell r="D997">
            <v>-6.8867481851553336E-4</v>
          </cell>
        </row>
        <row r="998">
          <cell r="A998">
            <v>36690</v>
          </cell>
          <cell r="B998">
            <v>1.120698E-2</v>
          </cell>
          <cell r="C998">
            <v>2.2284000000000002E-2</v>
          </cell>
          <cell r="D998">
            <v>-2.4151994044865233E-2</v>
          </cell>
        </row>
        <row r="999">
          <cell r="A999">
            <v>36691</v>
          </cell>
          <cell r="B999">
            <v>5.0389320000000003E-3</v>
          </cell>
          <cell r="C999">
            <v>-2.725E-3</v>
          </cell>
          <cell r="D999">
            <v>-3.9178140740143141E-2</v>
          </cell>
        </row>
        <row r="1000">
          <cell r="A1000">
            <v>36692</v>
          </cell>
          <cell r="B1000">
            <v>1.5389010000000001E-3</v>
          </cell>
          <cell r="C1000">
            <v>4.5539999999999999E-3</v>
          </cell>
          <cell r="D1000">
            <v>-8.6079156294648351E-3</v>
          </cell>
        </row>
        <row r="1001">
          <cell r="A1001">
            <v>36693</v>
          </cell>
          <cell r="B1001">
            <v>-1.158003E-2</v>
          </cell>
          <cell r="C1001">
            <v>1.8129999999999999E-3</v>
          </cell>
          <cell r="D1001">
            <v>-2.1234173171724713E-2</v>
          </cell>
        </row>
        <row r="1002">
          <cell r="A1002">
            <v>36696</v>
          </cell>
          <cell r="B1002">
            <v>8.2567036E-3</v>
          </cell>
          <cell r="C1002">
            <v>-1.2670000000000001E-2</v>
          </cell>
          <cell r="D1002">
            <v>1.5969057673801412E-3</v>
          </cell>
        </row>
        <row r="1003">
          <cell r="A1003">
            <v>36697</v>
          </cell>
          <cell r="B1003">
            <v>-6.684504E-3</v>
          </cell>
          <cell r="C1003">
            <v>5.4999999999999997E-3</v>
          </cell>
          <cell r="D1003">
            <v>1.9911309951411438E-2</v>
          </cell>
        </row>
        <row r="1004">
          <cell r="A1004">
            <v>36698</v>
          </cell>
          <cell r="B1004">
            <v>-9.1617798999999995E-4</v>
          </cell>
          <cell r="C1004">
            <v>-3.6459999999999999E-3</v>
          </cell>
          <cell r="D1004">
            <v>1.2913023579270044E-2</v>
          </cell>
        </row>
        <row r="1005">
          <cell r="A1005">
            <v>36699</v>
          </cell>
          <cell r="B1005">
            <v>-1.309071E-2</v>
          </cell>
          <cell r="C1005">
            <v>1.0064E-2</v>
          </cell>
          <cell r="D1005">
            <v>-1.1639336085462637E-2</v>
          </cell>
        </row>
        <row r="1006">
          <cell r="A1006">
            <v>36700</v>
          </cell>
          <cell r="B1006">
            <v>-2.5516140999999998E-3</v>
          </cell>
          <cell r="C1006">
            <v>-1.721E-2</v>
          </cell>
          <cell r="D1006">
            <v>9.0408478299590644E-3</v>
          </cell>
        </row>
        <row r="1007">
          <cell r="A1007">
            <v>36703</v>
          </cell>
          <cell r="B1007">
            <v>6.2867658999999996E-3</v>
          </cell>
          <cell r="C1007">
            <v>7.2811000000000001E-2</v>
          </cell>
          <cell r="D1007">
            <v>6.9607582107380495E-3</v>
          </cell>
        </row>
        <row r="1008">
          <cell r="A1008">
            <v>36704</v>
          </cell>
          <cell r="B1008">
            <v>-1.554092E-3</v>
          </cell>
          <cell r="C1008">
            <v>1.4605E-2</v>
          </cell>
          <cell r="D1008">
            <v>4.9156882767042998E-3</v>
          </cell>
        </row>
        <row r="1009">
          <cell r="A1009">
            <v>36705</v>
          </cell>
          <cell r="B1009">
            <v>1.191625E-3</v>
          </cell>
          <cell r="C1009">
            <v>5.3344999999999997E-2</v>
          </cell>
          <cell r="D1009">
            <v>2.5971496188443854E-2</v>
          </cell>
        </row>
        <row r="1010">
          <cell r="A1010">
            <v>36706</v>
          </cell>
          <cell r="B1010">
            <v>-3.0018130999999999E-3</v>
          </cell>
          <cell r="C1010">
            <v>-1.0449999999999999E-2</v>
          </cell>
          <cell r="D1010">
            <v>1.8488921382765477E-2</v>
          </cell>
        </row>
        <row r="1011">
          <cell r="A1011">
            <v>36707</v>
          </cell>
          <cell r="B1011">
            <v>-7.1438858999999999E-5</v>
          </cell>
          <cell r="C1011">
            <v>-3.1682000000000002E-2</v>
          </cell>
          <cell r="D1011">
            <v>-6.6205449742148259E-3</v>
          </cell>
        </row>
        <row r="1012">
          <cell r="A1012">
            <v>36710</v>
          </cell>
          <cell r="B1012">
            <v>1.201231E-2</v>
          </cell>
          <cell r="C1012">
            <v>8.3900000000000001E-4</v>
          </cell>
          <cell r="D1012">
            <v>-4.1480875663806316E-3</v>
          </cell>
        </row>
        <row r="1013">
          <cell r="A1013">
            <v>36712</v>
          </cell>
          <cell r="B1013">
            <v>-8.4913456999999998E-3</v>
          </cell>
          <cell r="C1013">
            <v>-4.1910000000000003E-3</v>
          </cell>
          <cell r="D1013">
            <v>-3.088164567108509E-2</v>
          </cell>
        </row>
        <row r="1014">
          <cell r="A1014">
            <v>36713</v>
          </cell>
          <cell r="B1014">
            <v>1.124075E-3</v>
          </cell>
          <cell r="C1014">
            <v>1.431E-2</v>
          </cell>
          <cell r="D1014">
            <v>-3.8868622141735698E-2</v>
          </cell>
        </row>
        <row r="1015">
          <cell r="A1015">
            <v>36714</v>
          </cell>
          <cell r="B1015">
            <v>1.4053609999999999E-2</v>
          </cell>
          <cell r="C1015">
            <v>-4.1489999999999999E-3</v>
          </cell>
          <cell r="D1015">
            <v>1.2017706490165425E-2</v>
          </cell>
        </row>
        <row r="1016">
          <cell r="A1016">
            <v>36717</v>
          </cell>
          <cell r="B1016">
            <v>2.8573941000000001E-3</v>
          </cell>
          <cell r="C1016">
            <v>3.333E-3</v>
          </cell>
          <cell r="D1016">
            <v>-3.3606537812017057E-2</v>
          </cell>
        </row>
        <row r="1017">
          <cell r="A1017">
            <v>36718</v>
          </cell>
          <cell r="B1017">
            <v>5.8102999000000004E-3</v>
          </cell>
          <cell r="C1017">
            <v>2.3255999999999999E-2</v>
          </cell>
          <cell r="D1017">
            <v>4.7376537730650092E-3</v>
          </cell>
        </row>
        <row r="1018">
          <cell r="A1018">
            <v>36719</v>
          </cell>
          <cell r="B1018">
            <v>3.054101E-3</v>
          </cell>
          <cell r="C1018">
            <v>-8.12E-4</v>
          </cell>
          <cell r="D1018">
            <v>5.5804799203512889E-2</v>
          </cell>
        </row>
        <row r="1019">
          <cell r="A1019">
            <v>36720</v>
          </cell>
          <cell r="B1019">
            <v>-2.1636031E-4</v>
          </cell>
          <cell r="C1019">
            <v>-5.5239999999999997E-2</v>
          </cell>
          <cell r="D1019">
            <v>3.8898161905414064E-3</v>
          </cell>
        </row>
        <row r="1020">
          <cell r="A1020">
            <v>36721</v>
          </cell>
          <cell r="B1020">
            <v>6.9855270000000001E-3</v>
          </cell>
          <cell r="C1020">
            <v>-6.019E-3</v>
          </cell>
          <cell r="D1020">
            <v>-2.8079935986269455E-2</v>
          </cell>
        </row>
        <row r="1021">
          <cell r="A1021">
            <v>36724</v>
          </cell>
          <cell r="B1021">
            <v>-1.021997E-3</v>
          </cell>
          <cell r="C1021">
            <v>3.5466999999999999E-2</v>
          </cell>
          <cell r="D1021">
            <v>1.8998301219572244E-2</v>
          </cell>
        </row>
        <row r="1022">
          <cell r="A1022">
            <v>36725</v>
          </cell>
          <cell r="B1022">
            <v>-7.7461982000000002E-3</v>
          </cell>
          <cell r="C1022">
            <v>-1.1696E-2</v>
          </cell>
          <cell r="D1022">
            <v>-2.7355796604017213E-2</v>
          </cell>
        </row>
        <row r="1023">
          <cell r="A1023">
            <v>36726</v>
          </cell>
          <cell r="B1023">
            <v>-2.530203E-3</v>
          </cell>
          <cell r="C1023">
            <v>0</v>
          </cell>
          <cell r="D1023">
            <v>1.6258131699293799E-2</v>
          </cell>
        </row>
        <row r="1024">
          <cell r="A1024">
            <v>36727</v>
          </cell>
          <cell r="B1024">
            <v>5.1851859E-3</v>
          </cell>
          <cell r="C1024">
            <v>-5.2408999999999997E-2</v>
          </cell>
          <cell r="D1024">
            <v>-9.0695997382032045E-3</v>
          </cell>
        </row>
        <row r="1025">
          <cell r="A1025">
            <v>36728</v>
          </cell>
          <cell r="B1025">
            <v>-7.5022871999999999E-3</v>
          </cell>
          <cell r="C1025">
            <v>2.5870000000000001E-2</v>
          </cell>
          <cell r="D1025">
            <v>-2.1630046263643066E-2</v>
          </cell>
        </row>
        <row r="1026">
          <cell r="A1026">
            <v>36731</v>
          </cell>
          <cell r="B1026">
            <v>-7.1790209000000002E-3</v>
          </cell>
          <cell r="C1026">
            <v>-6.9569999999999996E-3</v>
          </cell>
          <cell r="D1026">
            <v>-1.5452100321810547E-2</v>
          </cell>
        </row>
        <row r="1027">
          <cell r="A1027">
            <v>36732</v>
          </cell>
          <cell r="B1027">
            <v>3.1846410000000002E-3</v>
          </cell>
          <cell r="C1027">
            <v>-2.1891000000000001E-2</v>
          </cell>
          <cell r="D1027">
            <v>1.356931878823997E-2</v>
          </cell>
        </row>
        <row r="1028">
          <cell r="A1028">
            <v>36733</v>
          </cell>
          <cell r="B1028">
            <v>-1.1883899999999999E-2</v>
          </cell>
          <cell r="C1028">
            <v>9.8480000000000009E-3</v>
          </cell>
          <cell r="D1028">
            <v>2.0725079320377704E-2</v>
          </cell>
        </row>
        <row r="1029">
          <cell r="A1029">
            <v>36734</v>
          </cell>
          <cell r="B1029">
            <v>2.5900691E-3</v>
          </cell>
          <cell r="C1029">
            <v>-3.0141999999999999E-2</v>
          </cell>
          <cell r="D1029">
            <v>2.7935055120378305E-3</v>
          </cell>
        </row>
        <row r="1030">
          <cell r="A1030">
            <v>36735</v>
          </cell>
          <cell r="B1030">
            <v>-1.2713199999999999E-2</v>
          </cell>
          <cell r="C1030">
            <v>2.1937999999999999E-2</v>
          </cell>
          <cell r="D1030">
            <v>-5.9437741395732546E-3</v>
          </cell>
        </row>
        <row r="1031">
          <cell r="A1031">
            <v>36738</v>
          </cell>
          <cell r="B1031">
            <v>2.394509E-3</v>
          </cell>
          <cell r="C1031">
            <v>-4.2039E-2</v>
          </cell>
          <cell r="D1031">
            <v>4.5728588791682512E-3</v>
          </cell>
        </row>
        <row r="1032">
          <cell r="A1032">
            <v>36739</v>
          </cell>
          <cell r="B1032">
            <v>1.1643590000000001E-2</v>
          </cell>
          <cell r="C1032">
            <v>4.4817999999999997E-2</v>
          </cell>
          <cell r="D1032">
            <v>2.1631188682183611E-2</v>
          </cell>
        </row>
        <row r="1033">
          <cell r="A1033">
            <v>36740</v>
          </cell>
          <cell r="B1033">
            <v>3.9554307999999996E-3</v>
          </cell>
          <cell r="C1033">
            <v>1.5192000000000001E-2</v>
          </cell>
          <cell r="D1033">
            <v>9.8141813161205516E-3</v>
          </cell>
        </row>
        <row r="1034">
          <cell r="A1034">
            <v>36741</v>
          </cell>
          <cell r="B1034">
            <v>2.0910999999999998E-3</v>
          </cell>
          <cell r="C1034">
            <v>6.1619999999999999E-3</v>
          </cell>
          <cell r="D1034">
            <v>-1.089591189217598E-2</v>
          </cell>
        </row>
        <row r="1035">
          <cell r="A1035">
            <v>36742</v>
          </cell>
          <cell r="B1035">
            <v>9.8576610999999998E-3</v>
          </cell>
          <cell r="C1035">
            <v>4.3740000000000003E-3</v>
          </cell>
          <cell r="D1035">
            <v>-1.6724214085201417E-2</v>
          </cell>
        </row>
        <row r="1036">
          <cell r="A1036">
            <v>36745</v>
          </cell>
          <cell r="B1036">
            <v>9.3140574000000007E-3</v>
          </cell>
          <cell r="C1036">
            <v>1.5678999999999998E-2</v>
          </cell>
          <cell r="D1036">
            <v>-3.9413792588834928E-3</v>
          </cell>
        </row>
        <row r="1037">
          <cell r="A1037">
            <v>36746</v>
          </cell>
          <cell r="B1037">
            <v>3.9001079000000002E-3</v>
          </cell>
          <cell r="C1037">
            <v>-2.5730000000000002E-3</v>
          </cell>
          <cell r="D1037">
            <v>-3.2959311027839555E-2</v>
          </cell>
        </row>
        <row r="1038">
          <cell r="A1038">
            <v>36747</v>
          </cell>
          <cell r="B1038">
            <v>-7.5015667999999997E-3</v>
          </cell>
          <cell r="C1038">
            <v>-2.8375000000000001E-2</v>
          </cell>
          <cell r="D1038">
            <v>-1.9506345372317657E-3</v>
          </cell>
        </row>
        <row r="1039">
          <cell r="A1039">
            <v>36748</v>
          </cell>
          <cell r="B1039">
            <v>-2.652799E-3</v>
          </cell>
          <cell r="C1039">
            <v>1.6813999999999999E-2</v>
          </cell>
          <cell r="D1039">
            <v>-4.1091509721007391E-3</v>
          </cell>
        </row>
        <row r="1040">
          <cell r="A1040">
            <v>36749</v>
          </cell>
          <cell r="B1040">
            <v>8.5522038999999994E-3</v>
          </cell>
          <cell r="C1040">
            <v>4.2646000000000003E-2</v>
          </cell>
          <cell r="D1040">
            <v>1.4005689567826662E-2</v>
          </cell>
        </row>
        <row r="1041">
          <cell r="A1041">
            <v>36752</v>
          </cell>
          <cell r="B1041">
            <v>1.14419E-2</v>
          </cell>
          <cell r="C1041">
            <v>-2.5876E-2</v>
          </cell>
          <cell r="D1041">
            <v>-9.8445834806536459E-3</v>
          </cell>
        </row>
        <row r="1042">
          <cell r="A1042">
            <v>36753</v>
          </cell>
          <cell r="B1042">
            <v>-5.9645339E-3</v>
          </cell>
          <cell r="C1042">
            <v>-2.2279E-2</v>
          </cell>
          <cell r="D1042">
            <v>-2.5775260593753124E-2</v>
          </cell>
        </row>
        <row r="1043">
          <cell r="A1043">
            <v>36754</v>
          </cell>
          <cell r="B1043">
            <v>-2.7672420000000001E-3</v>
          </cell>
          <cell r="C1043">
            <v>-1.6652E-2</v>
          </cell>
          <cell r="D1043">
            <v>5.7911981437568372E-3</v>
          </cell>
        </row>
        <row r="1044">
          <cell r="A1044">
            <v>36755</v>
          </cell>
          <cell r="B1044">
            <v>7.5941328000000002E-3</v>
          </cell>
          <cell r="C1044">
            <v>1.2478E-2</v>
          </cell>
          <cell r="D1044">
            <v>-3.5551654313319747E-2</v>
          </cell>
        </row>
        <row r="1045">
          <cell r="A1045">
            <v>36756</v>
          </cell>
          <cell r="B1045">
            <v>-2.6369961E-3</v>
          </cell>
          <cell r="C1045">
            <v>-1.8485999999999999E-2</v>
          </cell>
          <cell r="D1045">
            <v>7.5209462789551651E-3</v>
          </cell>
        </row>
        <row r="1046">
          <cell r="A1046">
            <v>36759</v>
          </cell>
          <cell r="B1046">
            <v>2.5995860000000001E-3</v>
          </cell>
          <cell r="C1046">
            <v>4.4840000000000001E-3</v>
          </cell>
          <cell r="D1046">
            <v>-2.9174371166094448E-2</v>
          </cell>
        </row>
        <row r="1047">
          <cell r="A1047">
            <v>36760</v>
          </cell>
          <cell r="B1047">
            <v>1.0996789999999999E-4</v>
          </cell>
          <cell r="C1047">
            <v>1.786E-3</v>
          </cell>
          <cell r="D1047">
            <v>1.6787428659726711E-2</v>
          </cell>
        </row>
        <row r="1048">
          <cell r="A1048">
            <v>36761</v>
          </cell>
          <cell r="B1048">
            <v>9.9549827000000005E-4</v>
          </cell>
          <cell r="C1048">
            <v>3.8149999999999998E-3</v>
          </cell>
          <cell r="D1048">
            <v>-9.2322025303072097E-3</v>
          </cell>
        </row>
        <row r="1049">
          <cell r="A1049">
            <v>36762</v>
          </cell>
          <cell r="B1049">
            <v>1.2663170000000001E-4</v>
          </cell>
          <cell r="C1049">
            <v>-5.4221999999999999E-2</v>
          </cell>
          <cell r="D1049">
            <v>4.6005948728892632E-2</v>
          </cell>
        </row>
        <row r="1050">
          <cell r="A1050">
            <v>36763</v>
          </cell>
          <cell r="B1050">
            <v>1.1033919999999999E-3</v>
          </cell>
          <cell r="C1050">
            <v>3.7590000000000002E-3</v>
          </cell>
          <cell r="D1050">
            <v>-1.4823410149411576E-4</v>
          </cell>
        </row>
        <row r="1051">
          <cell r="A1051">
            <v>36766</v>
          </cell>
          <cell r="B1051">
            <v>3.8716180999999999E-3</v>
          </cell>
          <cell r="C1051">
            <v>2.3408000000000002E-2</v>
          </cell>
          <cell r="D1051">
            <v>-2.7086226053853579E-2</v>
          </cell>
        </row>
        <row r="1052">
          <cell r="A1052">
            <v>36767</v>
          </cell>
          <cell r="B1052">
            <v>-2.2591511000000001E-3</v>
          </cell>
          <cell r="C1052">
            <v>2.4702999999999999E-2</v>
          </cell>
          <cell r="D1052">
            <v>-1.219724005492373E-2</v>
          </cell>
        </row>
        <row r="1053">
          <cell r="A1053">
            <v>36768</v>
          </cell>
          <cell r="B1053">
            <v>-3.8836880000000002E-3</v>
          </cell>
          <cell r="C1053">
            <v>8.9300000000000002E-4</v>
          </cell>
          <cell r="D1053">
            <v>-3.0444980409980338E-2</v>
          </cell>
        </row>
        <row r="1054">
          <cell r="A1054">
            <v>36769</v>
          </cell>
          <cell r="B1054">
            <v>5.7199998000000002E-3</v>
          </cell>
          <cell r="C1054">
            <v>4.3711E-2</v>
          </cell>
          <cell r="D1054">
            <v>8.499514117952911E-3</v>
          </cell>
        </row>
        <row r="1055">
          <cell r="A1055">
            <v>36770</v>
          </cell>
          <cell r="B1055">
            <v>4.4631580999999997E-3</v>
          </cell>
          <cell r="C1055">
            <v>3.4190000000000002E-3</v>
          </cell>
          <cell r="D1055">
            <v>-2.112398892568268E-2</v>
          </cell>
        </row>
        <row r="1056">
          <cell r="A1056">
            <v>36774</v>
          </cell>
          <cell r="B1056">
            <v>-2.8117860000000001E-3</v>
          </cell>
          <cell r="C1056">
            <v>-3.1516000000000002E-2</v>
          </cell>
          <cell r="D1056">
            <v>-6.7709958060377939E-3</v>
          </cell>
        </row>
        <row r="1057">
          <cell r="A1057">
            <v>36775</v>
          </cell>
          <cell r="B1057">
            <v>-3.0347791000000001E-3</v>
          </cell>
          <cell r="C1057">
            <v>-1.4952E-2</v>
          </cell>
          <cell r="D1057">
            <v>-3.2122809986861345E-2</v>
          </cell>
        </row>
        <row r="1058">
          <cell r="A1058">
            <v>36776</v>
          </cell>
          <cell r="B1058">
            <v>1.1288610000000001E-3</v>
          </cell>
          <cell r="C1058">
            <v>5.1785999999999999E-2</v>
          </cell>
          <cell r="D1058">
            <v>-9.7890222335195176E-3</v>
          </cell>
        </row>
        <row r="1059">
          <cell r="A1059">
            <v>36777</v>
          </cell>
          <cell r="B1059">
            <v>9.3099177999999996E-4</v>
          </cell>
          <cell r="C1059">
            <v>7.6400000000000001E-3</v>
          </cell>
          <cell r="D1059">
            <v>4.7262472395330768E-3</v>
          </cell>
        </row>
        <row r="1060">
          <cell r="A1060">
            <v>36780</v>
          </cell>
          <cell r="B1060">
            <v>2.4231338999999999E-3</v>
          </cell>
          <cell r="C1060">
            <v>3.4541000000000002E-2</v>
          </cell>
          <cell r="D1060">
            <v>-7.3017328387715241E-2</v>
          </cell>
        </row>
        <row r="1061">
          <cell r="A1061">
            <v>36781</v>
          </cell>
          <cell r="B1061">
            <v>-2.0040638999999998E-3</v>
          </cell>
          <cell r="C1061">
            <v>3.5015999999999999E-2</v>
          </cell>
          <cell r="D1061">
            <v>-1.8949397251223132E-2</v>
          </cell>
        </row>
        <row r="1062">
          <cell r="A1062">
            <v>36782</v>
          </cell>
          <cell r="B1062">
            <v>-2.8226128999999999E-4</v>
          </cell>
          <cell r="C1062">
            <v>-7.868E-3</v>
          </cell>
          <cell r="D1062">
            <v>-1.914206412302577E-2</v>
          </cell>
        </row>
        <row r="1063">
          <cell r="A1063">
            <v>36783</v>
          </cell>
          <cell r="B1063">
            <v>-4.2161819999999997E-4</v>
          </cell>
          <cell r="C1063">
            <v>3.3307000000000003E-2</v>
          </cell>
          <cell r="D1063">
            <v>-3.8371063152078499E-2</v>
          </cell>
        </row>
        <row r="1064">
          <cell r="A1064">
            <v>36784</v>
          </cell>
          <cell r="B1064">
            <v>-7.2824567999999999E-3</v>
          </cell>
          <cell r="C1064">
            <v>1.9186000000000002E-2</v>
          </cell>
          <cell r="D1064">
            <v>-3.4086564156296184E-2</v>
          </cell>
        </row>
        <row r="1065">
          <cell r="A1065">
            <v>36787</v>
          </cell>
          <cell r="B1065">
            <v>-1.3834050000000001E-2</v>
          </cell>
          <cell r="C1065">
            <v>-2.2590000000000002E-3</v>
          </cell>
          <cell r="D1065">
            <v>5.6435580769256033E-2</v>
          </cell>
        </row>
        <row r="1066">
          <cell r="A1066">
            <v>36788</v>
          </cell>
          <cell r="B1066">
            <v>1.617772E-3</v>
          </cell>
          <cell r="C1066">
            <v>-2.7924999999999998E-2</v>
          </cell>
          <cell r="D1066">
            <v>6.2519149077111535E-4</v>
          </cell>
        </row>
        <row r="1067">
          <cell r="A1067">
            <v>36789</v>
          </cell>
          <cell r="B1067">
            <v>-1.089856E-2</v>
          </cell>
          <cell r="C1067">
            <v>1.5529999999999999E-3</v>
          </cell>
          <cell r="D1067">
            <v>-2.8602225284160232E-2</v>
          </cell>
        </row>
        <row r="1068">
          <cell r="A1068">
            <v>36790</v>
          </cell>
          <cell r="B1068">
            <v>-1.5029020000000001E-4</v>
          </cell>
          <cell r="C1068">
            <v>5.6589E-2</v>
          </cell>
          <cell r="D1068">
            <v>-5.23077381801762E-3</v>
          </cell>
        </row>
        <row r="1069">
          <cell r="A1069">
            <v>36791</v>
          </cell>
          <cell r="B1069">
            <v>8.8691338999999994E-3</v>
          </cell>
          <cell r="C1069">
            <v>1.5407000000000001E-2</v>
          </cell>
          <cell r="D1069">
            <v>2.6284970443592348E-2</v>
          </cell>
        </row>
        <row r="1070">
          <cell r="A1070">
            <v>36794</v>
          </cell>
          <cell r="B1070">
            <v>5.5040779999999999E-4</v>
          </cell>
          <cell r="C1070">
            <v>3.6129999999999999E-3</v>
          </cell>
          <cell r="D1070">
            <v>-1.2859080004172463E-2</v>
          </cell>
        </row>
        <row r="1071">
          <cell r="A1071">
            <v>36795</v>
          </cell>
          <cell r="B1071">
            <v>-7.0076790000000002E-3</v>
          </cell>
          <cell r="C1071">
            <v>-2.0157999999999999E-2</v>
          </cell>
          <cell r="D1071">
            <v>8.0496887059211542E-3</v>
          </cell>
        </row>
        <row r="1072">
          <cell r="A1072">
            <v>36796</v>
          </cell>
          <cell r="B1072">
            <v>6.6499842999999999E-4</v>
          </cell>
          <cell r="C1072">
            <v>-1.47E-3</v>
          </cell>
          <cell r="D1072">
            <v>6.6432562186186317E-2</v>
          </cell>
        </row>
        <row r="1073">
          <cell r="A1073">
            <v>36797</v>
          </cell>
          <cell r="B1073">
            <v>1.8139809E-2</v>
          </cell>
          <cell r="C1073">
            <v>-7.36E-4</v>
          </cell>
          <cell r="D1073">
            <v>1.3200755676914699E-2</v>
          </cell>
        </row>
        <row r="1074">
          <cell r="A1074">
            <v>36798</v>
          </cell>
          <cell r="B1074">
            <v>-5.5329599000000004E-3</v>
          </cell>
          <cell r="C1074">
            <v>-5.1549999999999999E-3</v>
          </cell>
          <cell r="D1074">
            <v>7.7571119794797028E-3</v>
          </cell>
        </row>
        <row r="1075">
          <cell r="A1075">
            <v>36801</v>
          </cell>
          <cell r="B1075">
            <v>4.1656150000000001E-3</v>
          </cell>
          <cell r="C1075">
            <v>-5.7735000000000002E-2</v>
          </cell>
          <cell r="D1075">
            <v>3.6580951720845967E-3</v>
          </cell>
        </row>
        <row r="1076">
          <cell r="A1076">
            <v>36802</v>
          </cell>
          <cell r="B1076">
            <v>-3.5744399999999999E-3</v>
          </cell>
          <cell r="C1076">
            <v>-9.1909000000000005E-2</v>
          </cell>
          <cell r="D1076">
            <v>-2.5325342991314059E-2</v>
          </cell>
        </row>
        <row r="1077">
          <cell r="A1077">
            <v>36803</v>
          </cell>
          <cell r="B1077">
            <v>8.8547921000000003E-4</v>
          </cell>
          <cell r="C1077">
            <v>-5.3633E-2</v>
          </cell>
          <cell r="D1077">
            <v>3.9022306895968084E-2</v>
          </cell>
        </row>
        <row r="1078">
          <cell r="A1078">
            <v>36804</v>
          </cell>
          <cell r="B1078">
            <v>4.8550232E-3</v>
          </cell>
          <cell r="C1078">
            <v>3.1078999999999999E-2</v>
          </cell>
          <cell r="D1078">
            <v>5.1502023977072264E-2</v>
          </cell>
        </row>
        <row r="1079">
          <cell r="A1079">
            <v>36805</v>
          </cell>
          <cell r="B1079">
            <v>-1.7414181000000001E-2</v>
          </cell>
          <cell r="C1079">
            <v>-6.2059999999999997E-3</v>
          </cell>
          <cell r="D1079">
            <v>2.385112860514127E-3</v>
          </cell>
        </row>
        <row r="1080">
          <cell r="A1080">
            <v>36808</v>
          </cell>
          <cell r="B1080">
            <v>-4.5233569E-3</v>
          </cell>
          <cell r="C1080">
            <v>1.6948999999999999E-2</v>
          </cell>
          <cell r="D1080">
            <v>-5.0931467164119226E-3</v>
          </cell>
        </row>
        <row r="1081">
          <cell r="A1081">
            <v>36809</v>
          </cell>
          <cell r="B1081">
            <v>-6.0370322000000004E-3</v>
          </cell>
          <cell r="C1081">
            <v>5.8771999999999998E-2</v>
          </cell>
          <cell r="D1081">
            <v>1.5686416184971019E-2</v>
          </cell>
        </row>
        <row r="1082">
          <cell r="A1082">
            <v>36810</v>
          </cell>
          <cell r="B1082">
            <v>-1.511644E-2</v>
          </cell>
          <cell r="C1082">
            <v>1.6570000000000001E-3</v>
          </cell>
          <cell r="D1082">
            <v>-4.7113202580902125E-2</v>
          </cell>
        </row>
        <row r="1083">
          <cell r="A1083">
            <v>36811</v>
          </cell>
          <cell r="B1083">
            <v>-2.6610809999999999E-2</v>
          </cell>
          <cell r="C1083">
            <v>-2.2332999999999999E-2</v>
          </cell>
          <cell r="D1083">
            <v>4.8488875367911355E-3</v>
          </cell>
        </row>
        <row r="1084">
          <cell r="A1084">
            <v>36812</v>
          </cell>
          <cell r="B1084">
            <v>2.2833078999999999E-2</v>
          </cell>
          <cell r="C1084">
            <v>6.7679999999999997E-3</v>
          </cell>
          <cell r="D1084">
            <v>1.1902130607680972E-2</v>
          </cell>
        </row>
        <row r="1085">
          <cell r="A1085">
            <v>36815</v>
          </cell>
          <cell r="B1085">
            <v>6.2061021999999999E-3</v>
          </cell>
          <cell r="C1085">
            <v>2.6891000000000002E-2</v>
          </cell>
          <cell r="D1085">
            <v>2.2764358965416731E-2</v>
          </cell>
        </row>
        <row r="1086">
          <cell r="A1086">
            <v>36816</v>
          </cell>
          <cell r="B1086">
            <v>-1.8472039999999999E-2</v>
          </cell>
          <cell r="C1086">
            <v>1.8003000000000002E-2</v>
          </cell>
          <cell r="D1086">
            <v>-1.7623801823757335E-3</v>
          </cell>
        </row>
        <row r="1087">
          <cell r="A1087">
            <v>36817</v>
          </cell>
          <cell r="B1087">
            <v>-6.4091640999999998E-3</v>
          </cell>
          <cell r="C1087">
            <v>8.0400000000000003E-4</v>
          </cell>
          <cell r="D1087">
            <v>1.7556034583500413E-2</v>
          </cell>
        </row>
        <row r="1088">
          <cell r="A1088">
            <v>36818</v>
          </cell>
          <cell r="B1088">
            <v>2.0646350000000001E-2</v>
          </cell>
          <cell r="C1088">
            <v>-4.8995999999999998E-2</v>
          </cell>
          <cell r="D1088">
            <v>2.7168612540283688E-2</v>
          </cell>
        </row>
        <row r="1089">
          <cell r="A1089">
            <v>36819</v>
          </cell>
          <cell r="B1089">
            <v>5.0695539E-3</v>
          </cell>
          <cell r="C1089">
            <v>2.9561E-2</v>
          </cell>
          <cell r="D1089">
            <v>-4.5015059489713627E-3</v>
          </cell>
        </row>
        <row r="1090">
          <cell r="A1090">
            <v>36822</v>
          </cell>
          <cell r="B1090">
            <v>1.7950430000000001E-3</v>
          </cell>
          <cell r="C1090">
            <v>5.2502E-2</v>
          </cell>
          <cell r="D1090">
            <v>-4.1650539789613417E-2</v>
          </cell>
        </row>
        <row r="1091">
          <cell r="A1091">
            <v>36823</v>
          </cell>
          <cell r="B1091">
            <v>5.0080428000000001E-3</v>
          </cell>
          <cell r="C1091">
            <v>1.4808999999999999E-2</v>
          </cell>
          <cell r="D1091">
            <v>-2.0912701775389175E-2</v>
          </cell>
        </row>
        <row r="1092">
          <cell r="A1092">
            <v>36824</v>
          </cell>
          <cell r="B1092">
            <v>-1.494563E-2</v>
          </cell>
          <cell r="C1092">
            <v>3.1489999999999997E-2</v>
          </cell>
          <cell r="D1092">
            <v>1.5194092516205293E-2</v>
          </cell>
        </row>
        <row r="1093">
          <cell r="A1093">
            <v>36825</v>
          </cell>
          <cell r="B1093">
            <v>-4.6239578999999996E-3</v>
          </cell>
          <cell r="C1093">
            <v>-4.691E-2</v>
          </cell>
          <cell r="D1093">
            <v>3.6013647964505013E-2</v>
          </cell>
        </row>
        <row r="1094">
          <cell r="A1094">
            <v>36826</v>
          </cell>
          <cell r="B1094">
            <v>1.1493410000000001E-2</v>
          </cell>
          <cell r="C1094">
            <v>1.2500000000000001E-2</v>
          </cell>
          <cell r="D1094">
            <v>-1.2781342741330359E-4</v>
          </cell>
        </row>
        <row r="1095">
          <cell r="A1095">
            <v>36829</v>
          </cell>
          <cell r="B1095">
            <v>2.0482831E-2</v>
          </cell>
          <cell r="C1095">
            <v>5.0925999999999999E-2</v>
          </cell>
          <cell r="D1095">
            <v>2.8961321864843681E-2</v>
          </cell>
        </row>
        <row r="1096">
          <cell r="A1096">
            <v>36830</v>
          </cell>
          <cell r="B1096">
            <v>1.755514E-2</v>
          </cell>
          <cell r="C1096">
            <v>-1.2482E-2</v>
          </cell>
          <cell r="D1096">
            <v>2.4471972103993878E-2</v>
          </cell>
        </row>
        <row r="1097">
          <cell r="A1097">
            <v>36831</v>
          </cell>
          <cell r="B1097">
            <v>-1.8822330000000001E-3</v>
          </cell>
          <cell r="C1097">
            <v>-4.4609999999999997E-3</v>
          </cell>
          <cell r="D1097">
            <v>2.0299306800266592E-3</v>
          </cell>
        </row>
        <row r="1098">
          <cell r="A1098">
            <v>36832</v>
          </cell>
          <cell r="B1098">
            <v>2.4818280000000002E-3</v>
          </cell>
          <cell r="C1098">
            <v>2.6138999999999999E-2</v>
          </cell>
          <cell r="D1098">
            <v>-6.0559039675869286E-3</v>
          </cell>
        </row>
        <row r="1099">
          <cell r="A1099">
            <v>36833</v>
          </cell>
          <cell r="B1099">
            <v>-2.2950659000000001E-3</v>
          </cell>
          <cell r="C1099">
            <v>-2.2561999999999999E-2</v>
          </cell>
          <cell r="D1099">
            <v>5.6875041697246331E-4</v>
          </cell>
        </row>
        <row r="1100">
          <cell r="A1100">
            <v>36836</v>
          </cell>
          <cell r="B1100">
            <v>5.9750821000000001E-3</v>
          </cell>
          <cell r="C1100">
            <v>2.9038999999999999E-2</v>
          </cell>
          <cell r="D1100">
            <v>7.1845187789318921E-3</v>
          </cell>
        </row>
        <row r="1101">
          <cell r="A1101">
            <v>36837</v>
          </cell>
          <cell r="B1101">
            <v>-1.0952819999999999E-3</v>
          </cell>
          <cell r="C1101">
            <v>2.3154999999999999E-2</v>
          </cell>
          <cell r="D1101">
            <v>3.0315568567934159E-2</v>
          </cell>
        </row>
        <row r="1102">
          <cell r="A1102">
            <v>36838</v>
          </cell>
          <cell r="B1102">
            <v>-4.4477782000000004E-3</v>
          </cell>
          <cell r="C1102">
            <v>2.6873999999999999E-2</v>
          </cell>
          <cell r="D1102">
            <v>5.784478770432866E-3</v>
          </cell>
        </row>
        <row r="1103">
          <cell r="A1103">
            <v>36839</v>
          </cell>
          <cell r="B1103">
            <v>-9.8512406E-3</v>
          </cell>
          <cell r="C1103">
            <v>-1.7905999999999998E-2</v>
          </cell>
          <cell r="D1103">
            <v>-1.3367852311584327E-3</v>
          </cell>
        </row>
        <row r="1104">
          <cell r="A1104">
            <v>36840</v>
          </cell>
          <cell r="B1104">
            <v>-1.5945310000000001E-2</v>
          </cell>
          <cell r="C1104">
            <v>4.2079999999999999E-3</v>
          </cell>
          <cell r="D1104">
            <v>-5.965213052462337E-4</v>
          </cell>
        </row>
        <row r="1105">
          <cell r="A1105">
            <v>36843</v>
          </cell>
          <cell r="B1105">
            <v>-1.052839E-2</v>
          </cell>
          <cell r="C1105">
            <v>-3.1425000000000002E-2</v>
          </cell>
          <cell r="D1105">
            <v>2.0016994202448624E-2</v>
          </cell>
        </row>
        <row r="1106">
          <cell r="A1106">
            <v>36844</v>
          </cell>
          <cell r="B1106">
            <v>1.4215500000000001E-2</v>
          </cell>
          <cell r="C1106">
            <v>1.8745000000000001E-2</v>
          </cell>
          <cell r="D1106">
            <v>-3.0420690650551863E-2</v>
          </cell>
        </row>
        <row r="1107">
          <cell r="A1107">
            <v>36845</v>
          </cell>
          <cell r="B1107">
            <v>4.3436419000000004E-3</v>
          </cell>
          <cell r="C1107">
            <v>2.9922000000000001E-2</v>
          </cell>
          <cell r="D1107">
            <v>-2.9059748849988853E-3</v>
          </cell>
        </row>
        <row r="1108">
          <cell r="A1108">
            <v>36846</v>
          </cell>
          <cell r="B1108">
            <v>-6.2792548E-3</v>
          </cell>
          <cell r="C1108">
            <v>-1.9257E-2</v>
          </cell>
          <cell r="D1108">
            <v>1.5758445153762901E-2</v>
          </cell>
        </row>
        <row r="1109">
          <cell r="A1109">
            <v>36847</v>
          </cell>
          <cell r="B1109">
            <v>-5.6557617999999999E-3</v>
          </cell>
          <cell r="C1109">
            <v>-4.9090000000000002E-3</v>
          </cell>
          <cell r="D1109">
            <v>2.1544782986554933E-2</v>
          </cell>
        </row>
        <row r="1110">
          <cell r="A1110">
            <v>36850</v>
          </cell>
          <cell r="B1110">
            <v>-1.3913480000000001E-2</v>
          </cell>
          <cell r="C1110">
            <v>1.1276E-2</v>
          </cell>
          <cell r="D1110">
            <v>-2.5756992859353733E-3</v>
          </cell>
        </row>
        <row r="1111">
          <cell r="A1111">
            <v>36851</v>
          </cell>
          <cell r="B1111">
            <v>9.6970162000000002E-4</v>
          </cell>
          <cell r="C1111">
            <v>-1.324E-2</v>
          </cell>
          <cell r="D1111">
            <v>-2.6739166905773382E-2</v>
          </cell>
        </row>
        <row r="1112">
          <cell r="A1112">
            <v>36852</v>
          </cell>
          <cell r="B1112">
            <v>-1.3834229999999999E-2</v>
          </cell>
          <cell r="C1112">
            <v>-5.6499999999999996E-3</v>
          </cell>
          <cell r="D1112">
            <v>2.5445559069299906E-2</v>
          </cell>
        </row>
        <row r="1113">
          <cell r="A1113">
            <v>36854</v>
          </cell>
          <cell r="B1113">
            <v>9.4113107999999994E-3</v>
          </cell>
          <cell r="C1113">
            <v>-1.42E-3</v>
          </cell>
          <cell r="D1113">
            <v>-7.0695581683255515E-4</v>
          </cell>
        </row>
        <row r="1114">
          <cell r="A1114">
            <v>36857</v>
          </cell>
          <cell r="B1114">
            <v>8.1716672999999993E-3</v>
          </cell>
          <cell r="C1114">
            <v>1.7069999999999998E-2</v>
          </cell>
          <cell r="D1114">
            <v>-1.3872425253347753E-2</v>
          </cell>
        </row>
        <row r="1115">
          <cell r="A1115">
            <v>36858</v>
          </cell>
          <cell r="B1115">
            <v>-4.6543241000000001E-3</v>
          </cell>
          <cell r="C1115">
            <v>2.3775999999999999E-2</v>
          </cell>
          <cell r="D1115">
            <v>3.2251481846385488E-2</v>
          </cell>
        </row>
        <row r="1116">
          <cell r="A1116">
            <v>36859</v>
          </cell>
          <cell r="B1116">
            <v>4.4434959999999999E-3</v>
          </cell>
          <cell r="C1116">
            <v>8.8800000000000007E-3</v>
          </cell>
          <cell r="D1116">
            <v>4.6407037659385031E-2</v>
          </cell>
        </row>
        <row r="1117">
          <cell r="A1117">
            <v>36860</v>
          </cell>
          <cell r="B1117">
            <v>-1.189495E-2</v>
          </cell>
          <cell r="C1117">
            <v>5.4159999999999998E-3</v>
          </cell>
          <cell r="D1117">
            <v>3.4108888678978655E-3</v>
          </cell>
        </row>
        <row r="1118">
          <cell r="A1118">
            <v>36861</v>
          </cell>
          <cell r="B1118">
            <v>2.2951779000000001E-3</v>
          </cell>
          <cell r="C1118">
            <v>-4.3770999999999997E-2</v>
          </cell>
          <cell r="D1118">
            <v>-1.778488395183031E-2</v>
          </cell>
        </row>
        <row r="1119">
          <cell r="A1119">
            <v>36864</v>
          </cell>
          <cell r="B1119">
            <v>8.6080021999999992E-3</v>
          </cell>
          <cell r="C1119">
            <v>-3.2393999999999999E-2</v>
          </cell>
          <cell r="D1119">
            <v>-1.4770365223225168E-2</v>
          </cell>
        </row>
        <row r="1120">
          <cell r="A1120">
            <v>36865</v>
          </cell>
          <cell r="B1120">
            <v>2.5734859999999998E-2</v>
          </cell>
          <cell r="C1120">
            <v>3.6389999999999999E-3</v>
          </cell>
          <cell r="D1120">
            <v>5.3412941010164694E-3</v>
          </cell>
        </row>
        <row r="1121">
          <cell r="A1121">
            <v>36866</v>
          </cell>
          <cell r="B1121">
            <v>-1.075018E-2</v>
          </cell>
          <cell r="C1121">
            <v>-4.641E-2</v>
          </cell>
          <cell r="D1121">
            <v>5.2947731124708408E-3</v>
          </cell>
        </row>
        <row r="1122">
          <cell r="A1122">
            <v>36867</v>
          </cell>
          <cell r="B1122">
            <v>-2.5754150000000002E-3</v>
          </cell>
          <cell r="C1122">
            <v>-2.281E-3</v>
          </cell>
          <cell r="D1122">
            <v>-3.4713020879548973E-2</v>
          </cell>
        </row>
        <row r="1123">
          <cell r="A1123">
            <v>36868</v>
          </cell>
          <cell r="B1123">
            <v>1.7667849999999999E-2</v>
          </cell>
          <cell r="C1123">
            <v>2.8962999999999999E-2</v>
          </cell>
          <cell r="D1123">
            <v>3.4479642521050291E-3</v>
          </cell>
        </row>
        <row r="1124">
          <cell r="A1124">
            <v>36871</v>
          </cell>
          <cell r="B1124">
            <v>4.2619551999999996E-3</v>
          </cell>
          <cell r="C1124">
            <v>2.1481E-2</v>
          </cell>
          <cell r="D1124">
            <v>1.8359079623812669E-2</v>
          </cell>
        </row>
        <row r="1125">
          <cell r="A1125">
            <v>36872</v>
          </cell>
          <cell r="B1125">
            <v>-4.6877357999999996E-3</v>
          </cell>
          <cell r="C1125">
            <v>1.8853999999999999E-2</v>
          </cell>
          <cell r="D1125">
            <v>8.5352930862294674E-3</v>
          </cell>
        </row>
        <row r="1126">
          <cell r="A1126">
            <v>36873</v>
          </cell>
          <cell r="B1126">
            <v>-2.2399160000000002E-3</v>
          </cell>
          <cell r="C1126">
            <v>1.7794000000000001E-2</v>
          </cell>
          <cell r="D1126">
            <v>-1.2434557942016311E-2</v>
          </cell>
        </row>
        <row r="1127">
          <cell r="A1127">
            <v>36874</v>
          </cell>
          <cell r="B1127">
            <v>-1.1116330000000001E-2</v>
          </cell>
          <cell r="C1127">
            <v>4.1960000000000001E-3</v>
          </cell>
          <cell r="D1127">
            <v>-3.5702148374711862E-2</v>
          </cell>
        </row>
        <row r="1128">
          <cell r="A1128">
            <v>36875</v>
          </cell>
          <cell r="B1128">
            <v>-1.4362979999999999E-2</v>
          </cell>
          <cell r="C1128">
            <v>2.2981000000000001E-2</v>
          </cell>
          <cell r="D1128">
            <v>1.4628934651604197E-2</v>
          </cell>
        </row>
        <row r="1129">
          <cell r="A1129">
            <v>36878</v>
          </cell>
          <cell r="B1129">
            <v>1.080447E-2</v>
          </cell>
          <cell r="C1129">
            <v>-1.6337999999999998E-2</v>
          </cell>
          <cell r="D1129">
            <v>-9.481624267950739E-4</v>
          </cell>
        </row>
        <row r="1130">
          <cell r="A1130">
            <v>36879</v>
          </cell>
          <cell r="B1130">
            <v>-6.9024287999999998E-3</v>
          </cell>
          <cell r="C1130">
            <v>1.3148999999999999E-2</v>
          </cell>
          <cell r="D1130">
            <v>9.0975294624329184E-3</v>
          </cell>
        </row>
        <row r="1131">
          <cell r="A1131">
            <v>36880</v>
          </cell>
          <cell r="B1131">
            <v>-2.38114E-2</v>
          </cell>
          <cell r="C1131">
            <v>1.7076999999999998E-2</v>
          </cell>
          <cell r="D1131">
            <v>8.7594322199355812E-3</v>
          </cell>
        </row>
        <row r="1132">
          <cell r="A1132">
            <v>36881</v>
          </cell>
          <cell r="B1132">
            <v>6.1138342000000004E-3</v>
          </cell>
          <cell r="C1132">
            <v>6.7199999999999996E-4</v>
          </cell>
          <cell r="D1132">
            <v>5.8171199640604243E-3</v>
          </cell>
        </row>
        <row r="1133">
          <cell r="A1133">
            <v>36882</v>
          </cell>
          <cell r="B1133">
            <v>1.6675269E-2</v>
          </cell>
          <cell r="C1133">
            <v>-1.0737999999999999E-2</v>
          </cell>
          <cell r="D1133">
            <v>-1.9940069658696991E-2</v>
          </cell>
        </row>
        <row r="1134">
          <cell r="A1134">
            <v>36886</v>
          </cell>
          <cell r="B1134">
            <v>1.003658E-2</v>
          </cell>
          <cell r="C1134">
            <v>4.1383999999999997E-2</v>
          </cell>
          <cell r="D1134">
            <v>1.6870004666603267E-2</v>
          </cell>
        </row>
        <row r="1135">
          <cell r="A1135">
            <v>36887</v>
          </cell>
          <cell r="B1135">
            <v>1.2312099999999999E-2</v>
          </cell>
          <cell r="C1135">
            <v>1.1726E-2</v>
          </cell>
          <cell r="D1135">
            <v>3.5651357109090398E-2</v>
          </cell>
        </row>
        <row r="1136">
          <cell r="A1136">
            <v>36888</v>
          </cell>
          <cell r="B1136">
            <v>1.000028E-2</v>
          </cell>
          <cell r="C1136">
            <v>1.0303E-2</v>
          </cell>
          <cell r="D1136">
            <v>7.1669927085185048E-3</v>
          </cell>
        </row>
        <row r="1137">
          <cell r="A1137">
            <v>36889</v>
          </cell>
          <cell r="B1137">
            <v>-4.0698237999999996E-3</v>
          </cell>
          <cell r="C1137">
            <v>-1.2747E-2</v>
          </cell>
          <cell r="D1137">
            <v>-1.1417077204692205E-2</v>
          </cell>
        </row>
        <row r="1138">
          <cell r="A1138">
            <v>36893</v>
          </cell>
          <cell r="B1138">
            <v>-2.2618218999999998E-2</v>
          </cell>
          <cell r="C1138">
            <v>-3.6797999999999997E-2</v>
          </cell>
          <cell r="D1138">
            <v>1.0053033697161595E-2</v>
          </cell>
        </row>
        <row r="1139">
          <cell r="A1139">
            <v>36894</v>
          </cell>
          <cell r="B1139">
            <v>2.7196759000000001E-2</v>
          </cell>
          <cell r="C1139">
            <v>-5.0268E-2</v>
          </cell>
          <cell r="D1139">
            <v>-5.1901660941569006E-3</v>
          </cell>
        </row>
        <row r="1140">
          <cell r="A1140">
            <v>36895</v>
          </cell>
          <cell r="B1140">
            <v>-9.3401465999999999E-3</v>
          </cell>
          <cell r="C1140">
            <v>-5.2222999999999999E-2</v>
          </cell>
          <cell r="D1140">
            <v>8.7102207329925463E-4</v>
          </cell>
        </row>
        <row r="1141">
          <cell r="A1141">
            <v>36896</v>
          </cell>
          <cell r="B1141">
            <v>-1.8141978999999999E-2</v>
          </cell>
          <cell r="C1141">
            <v>-8.9350000000000002E-3</v>
          </cell>
          <cell r="D1141">
            <v>-1.2863035534302236E-2</v>
          </cell>
        </row>
        <row r="1142">
          <cell r="A1142">
            <v>36899</v>
          </cell>
          <cell r="B1142">
            <v>-2.8705380000000002E-3</v>
          </cell>
          <cell r="C1142">
            <v>1.1270000000000001E-2</v>
          </cell>
          <cell r="D1142">
            <v>-1.6231711961329442E-2</v>
          </cell>
        </row>
        <row r="1143">
          <cell r="A1143">
            <v>36900</v>
          </cell>
          <cell r="B1143">
            <v>5.7258329000000002E-4</v>
          </cell>
          <cell r="C1143">
            <v>2.7489E-2</v>
          </cell>
          <cell r="D1143">
            <v>4.3466333404456048E-3</v>
          </cell>
        </row>
        <row r="1144">
          <cell r="A1144">
            <v>36901</v>
          </cell>
          <cell r="B1144">
            <v>7.4220859E-3</v>
          </cell>
          <cell r="C1144">
            <v>-8.6770000000000007E-3</v>
          </cell>
          <cell r="D1144">
            <v>-3.0771238497584008E-2</v>
          </cell>
        </row>
        <row r="1145">
          <cell r="A1145">
            <v>36902</v>
          </cell>
          <cell r="B1145">
            <v>5.0948798000000003E-3</v>
          </cell>
          <cell r="C1145">
            <v>-7.2940000000000001E-3</v>
          </cell>
          <cell r="D1145">
            <v>2.2642372016270285E-2</v>
          </cell>
        </row>
        <row r="1146">
          <cell r="A1146">
            <v>36903</v>
          </cell>
          <cell r="B1146">
            <v>-2.9758429000000001E-3</v>
          </cell>
          <cell r="C1146">
            <v>-5.8780000000000004E-3</v>
          </cell>
          <cell r="D1146">
            <v>-3.0057748600683443E-2</v>
          </cell>
        </row>
        <row r="1147">
          <cell r="A1147">
            <v>36907</v>
          </cell>
          <cell r="B1147">
            <v>9.2796692999999996E-3</v>
          </cell>
          <cell r="C1147">
            <v>-1.1826E-2</v>
          </cell>
          <cell r="D1147">
            <v>-2.7311484776881723E-2</v>
          </cell>
        </row>
        <row r="1148">
          <cell r="A1148">
            <v>36908</v>
          </cell>
          <cell r="B1148">
            <v>-2.0719990000000001E-3</v>
          </cell>
          <cell r="C1148">
            <v>-1.2715000000000001E-2</v>
          </cell>
          <cell r="D1148">
            <v>2.2354926651953599E-2</v>
          </cell>
        </row>
        <row r="1149">
          <cell r="A1149">
            <v>36909</v>
          </cell>
          <cell r="B1149">
            <v>5.8824517999999998E-3</v>
          </cell>
          <cell r="C1149">
            <v>-3.7880000000000001E-3</v>
          </cell>
          <cell r="D1149">
            <v>1.1258444229987896E-2</v>
          </cell>
        </row>
        <row r="1150">
          <cell r="A1150">
            <v>36910</v>
          </cell>
          <cell r="B1150">
            <v>-5.6968052000000002E-3</v>
          </cell>
          <cell r="C1150">
            <v>-3.1178999999999998E-2</v>
          </cell>
          <cell r="D1150">
            <v>-3.110927643464545E-3</v>
          </cell>
        </row>
        <row r="1151">
          <cell r="A1151">
            <v>36913</v>
          </cell>
          <cell r="B1151">
            <v>1.9504539999999999E-3</v>
          </cell>
          <cell r="C1151">
            <v>1.8838000000000001E-2</v>
          </cell>
          <cell r="D1151">
            <v>3.6622596740494284E-3</v>
          </cell>
        </row>
        <row r="1152">
          <cell r="A1152">
            <v>36914</v>
          </cell>
          <cell r="B1152">
            <v>1.0816640000000001E-2</v>
          </cell>
          <cell r="C1152">
            <v>4.5455000000000002E-2</v>
          </cell>
          <cell r="D1152">
            <v>-2.699179390480555E-2</v>
          </cell>
        </row>
        <row r="1153">
          <cell r="A1153">
            <v>36915</v>
          </cell>
          <cell r="B1153">
            <v>2.1326359999999998E-3</v>
          </cell>
          <cell r="C1153">
            <v>-6.2637999999999999E-2</v>
          </cell>
          <cell r="D1153">
            <v>1.0650595649797534E-2</v>
          </cell>
        </row>
        <row r="1154">
          <cell r="A1154">
            <v>36916</v>
          </cell>
          <cell r="B1154">
            <v>2.8735709000000001E-3</v>
          </cell>
          <cell r="C1154">
            <v>5.2672999999999998E-2</v>
          </cell>
          <cell r="D1154">
            <v>1.0957911982554247E-2</v>
          </cell>
        </row>
        <row r="1155">
          <cell r="A1155">
            <v>36917</v>
          </cell>
          <cell r="B1155">
            <v>-4.5051151000000001E-3</v>
          </cell>
          <cell r="C1155">
            <v>2.2399999999999998E-3</v>
          </cell>
          <cell r="D1155">
            <v>-1.2745336283102038E-2</v>
          </cell>
        </row>
        <row r="1156">
          <cell r="A1156">
            <v>36920</v>
          </cell>
          <cell r="B1156">
            <v>5.2226549000000001E-3</v>
          </cell>
          <cell r="C1156">
            <v>2.7480999999999998E-2</v>
          </cell>
          <cell r="D1156">
            <v>-3.0763452117414714E-2</v>
          </cell>
        </row>
        <row r="1157">
          <cell r="A1157">
            <v>36921</v>
          </cell>
          <cell r="B1157">
            <v>8.8863986999999992E-3</v>
          </cell>
          <cell r="C1157">
            <v>-2.2395000000000002E-2</v>
          </cell>
          <cell r="D1157">
            <v>-1.01121705546523E-2</v>
          </cell>
        </row>
        <row r="1158">
          <cell r="A1158">
            <v>36922</v>
          </cell>
          <cell r="B1158">
            <v>-1.021412E-3</v>
          </cell>
          <cell r="C1158">
            <v>-2.9673999999999999E-2</v>
          </cell>
          <cell r="D1158">
            <v>-1.4701815528448958E-2</v>
          </cell>
        </row>
        <row r="1159">
          <cell r="A1159">
            <v>36923</v>
          </cell>
          <cell r="B1159">
            <v>4.0060529000000003E-3</v>
          </cell>
          <cell r="C1159">
            <v>2.4098000000000001E-2</v>
          </cell>
          <cell r="D1159">
            <v>-1.8897912048708165E-2</v>
          </cell>
        </row>
        <row r="1160">
          <cell r="A1160">
            <v>36924</v>
          </cell>
          <cell r="B1160">
            <v>-1.0107120000000001E-2</v>
          </cell>
          <cell r="C1160">
            <v>-1.4572E-2</v>
          </cell>
          <cell r="D1160">
            <v>2.1292032592061583E-2</v>
          </cell>
        </row>
        <row r="1161">
          <cell r="A1161">
            <v>36927</v>
          </cell>
          <cell r="B1161">
            <v>4.7880149999999996E-3</v>
          </cell>
          <cell r="C1161">
            <v>-3.6359999999999999E-3</v>
          </cell>
          <cell r="D1161">
            <v>1.6880997740538195E-2</v>
          </cell>
        </row>
        <row r="1162">
          <cell r="A1162">
            <v>36928</v>
          </cell>
          <cell r="B1162">
            <v>-1.918115E-3</v>
          </cell>
          <cell r="C1162">
            <v>1.3382E-2</v>
          </cell>
          <cell r="D1162">
            <v>-7.5951299568718378E-3</v>
          </cell>
        </row>
        <row r="1163">
          <cell r="A1163">
            <v>36929</v>
          </cell>
          <cell r="B1163">
            <v>-4.7280849000000003E-3</v>
          </cell>
          <cell r="C1163">
            <v>4.8019999999999998E-3</v>
          </cell>
          <cell r="D1163">
            <v>1.398387415014879E-2</v>
          </cell>
        </row>
        <row r="1164">
          <cell r="A1164">
            <v>36930</v>
          </cell>
          <cell r="B1164">
            <v>-2.945076E-3</v>
          </cell>
          <cell r="C1164">
            <v>3.2855000000000002E-2</v>
          </cell>
          <cell r="D1164">
            <v>-9.3171440397487038E-3</v>
          </cell>
        </row>
        <row r="1165">
          <cell r="A1165">
            <v>36931</v>
          </cell>
          <cell r="B1165">
            <v>-7.2742980000000002E-3</v>
          </cell>
          <cell r="C1165">
            <v>2.7993000000000001E-2</v>
          </cell>
          <cell r="D1165">
            <v>-2.2564788875406028E-2</v>
          </cell>
        </row>
        <row r="1166">
          <cell r="A1166">
            <v>36934</v>
          </cell>
          <cell r="B1166">
            <v>1.1449320000000001E-2</v>
          </cell>
          <cell r="C1166">
            <v>-4.163E-3</v>
          </cell>
          <cell r="D1166">
            <v>-3.2138800380788202E-2</v>
          </cell>
        </row>
        <row r="1167">
          <cell r="A1167">
            <v>36935</v>
          </cell>
          <cell r="B1167">
            <v>-3.762353E-3</v>
          </cell>
          <cell r="C1167">
            <v>-2.712E-3</v>
          </cell>
          <cell r="D1167">
            <v>1.4644634904659393E-2</v>
          </cell>
        </row>
        <row r="1168">
          <cell r="A1168">
            <v>36936</v>
          </cell>
          <cell r="B1168">
            <v>-7.9966867000000001E-3</v>
          </cell>
          <cell r="C1168">
            <v>7.7039999999999999E-3</v>
          </cell>
          <cell r="D1168">
            <v>-3.6279987652908074E-2</v>
          </cell>
        </row>
        <row r="1169">
          <cell r="A1169">
            <v>36937</v>
          </cell>
          <cell r="B1169">
            <v>4.0444438000000003E-3</v>
          </cell>
          <cell r="C1169">
            <v>9.2289999999999994E-3</v>
          </cell>
          <cell r="D1169">
            <v>4.4085918957486037E-3</v>
          </cell>
        </row>
        <row r="1170">
          <cell r="A1170">
            <v>36938</v>
          </cell>
          <cell r="B1170">
            <v>-1.1317300000000001E-2</v>
          </cell>
          <cell r="C1170">
            <v>-1.4274999999999999E-2</v>
          </cell>
          <cell r="D1170">
            <v>2.8553359740443485E-2</v>
          </cell>
        </row>
        <row r="1171">
          <cell r="A1171">
            <v>36942</v>
          </cell>
          <cell r="B1171">
            <v>-1.1009680000000001E-2</v>
          </cell>
          <cell r="C1171">
            <v>-1.516E-2</v>
          </cell>
          <cell r="D1171">
            <v>-2.2538802795926127E-3</v>
          </cell>
        </row>
        <row r="1172">
          <cell r="A1172">
            <v>36943</v>
          </cell>
          <cell r="B1172">
            <v>-1.7536979000000001E-2</v>
          </cell>
          <cell r="C1172">
            <v>-6.3179999999999998E-3</v>
          </cell>
          <cell r="D1172">
            <v>-1.0140932602688002E-2</v>
          </cell>
        </row>
        <row r="1173">
          <cell r="A1173">
            <v>36944</v>
          </cell>
          <cell r="B1173">
            <v>-2.7089178999999998E-3</v>
          </cell>
          <cell r="C1173">
            <v>-9.3640000000000008E-3</v>
          </cell>
          <cell r="D1173">
            <v>-1.3230620544674165E-2</v>
          </cell>
        </row>
        <row r="1174">
          <cell r="A1174">
            <v>36945</v>
          </cell>
          <cell r="B1174">
            <v>-7.2436970999999999E-3</v>
          </cell>
          <cell r="C1174">
            <v>-2.0889000000000001E-2</v>
          </cell>
          <cell r="D1174">
            <v>4.5235524989455378E-2</v>
          </cell>
        </row>
        <row r="1175">
          <cell r="A1175">
            <v>36948</v>
          </cell>
          <cell r="B1175">
            <v>1.8857908999999999E-2</v>
          </cell>
          <cell r="C1175">
            <v>1.7878000000000002E-2</v>
          </cell>
          <cell r="D1175">
            <v>3.3912650942331535E-2</v>
          </cell>
        </row>
        <row r="1176">
          <cell r="A1176">
            <v>36949</v>
          </cell>
          <cell r="B1176">
            <v>-1.9318979E-3</v>
          </cell>
          <cell r="C1176">
            <v>-4.6839999999999998E-3</v>
          </cell>
          <cell r="D1176">
            <v>3.8137197990935068E-3</v>
          </cell>
        </row>
        <row r="1177">
          <cell r="A1177">
            <v>36950</v>
          </cell>
          <cell r="B1177">
            <v>-1.04901E-2</v>
          </cell>
          <cell r="C1177">
            <v>2.2941E-2</v>
          </cell>
          <cell r="D1177">
            <v>1.3300602176402165E-2</v>
          </cell>
        </row>
        <row r="1178">
          <cell r="A1178">
            <v>36951</v>
          </cell>
          <cell r="B1178">
            <v>-3.6287829E-3</v>
          </cell>
          <cell r="C1178">
            <v>-3.1281999999999997E-2</v>
          </cell>
          <cell r="D1178">
            <v>-4.4875275999206599E-3</v>
          </cell>
        </row>
        <row r="1179">
          <cell r="A1179">
            <v>36952</v>
          </cell>
          <cell r="B1179">
            <v>2.0332709000000001E-3</v>
          </cell>
          <cell r="C1179">
            <v>-2.6713000000000001E-2</v>
          </cell>
          <cell r="D1179">
            <v>2.8086914767474935E-2</v>
          </cell>
        </row>
        <row r="1180">
          <cell r="A1180">
            <v>36955</v>
          </cell>
          <cell r="B1180">
            <v>3.8305739999999998E-3</v>
          </cell>
          <cell r="C1180">
            <v>-1.2198000000000001E-2</v>
          </cell>
          <cell r="D1180">
            <v>-7.1964732515183982E-4</v>
          </cell>
        </row>
        <row r="1181">
          <cell r="A1181">
            <v>36956</v>
          </cell>
          <cell r="B1181">
            <v>6.6743712000000002E-3</v>
          </cell>
          <cell r="C1181">
            <v>-1.9140999999999998E-2</v>
          </cell>
          <cell r="D1181">
            <v>-1.8690920190390869E-2</v>
          </cell>
        </row>
        <row r="1182">
          <cell r="A1182">
            <v>36957</v>
          </cell>
          <cell r="B1182">
            <v>5.1878649000000002E-3</v>
          </cell>
          <cell r="C1182">
            <v>-4.0412999999999998E-2</v>
          </cell>
          <cell r="D1182">
            <v>-2.0080516471855603E-2</v>
          </cell>
        </row>
        <row r="1183">
          <cell r="A1183">
            <v>36958</v>
          </cell>
          <cell r="B1183">
            <v>5.3863017999999999E-3</v>
          </cell>
          <cell r="C1183">
            <v>-2.8860000000000001E-3</v>
          </cell>
          <cell r="D1183">
            <v>-5.113495461834705E-3</v>
          </cell>
        </row>
        <row r="1184">
          <cell r="A1184">
            <v>36959</v>
          </cell>
          <cell r="B1184">
            <v>-1.6411450000000001E-2</v>
          </cell>
          <cell r="C1184">
            <v>-2.895E-3</v>
          </cell>
          <cell r="D1184">
            <v>7.3349430104507896E-3</v>
          </cell>
        </row>
        <row r="1185">
          <cell r="A1185">
            <v>36962</v>
          </cell>
          <cell r="B1185">
            <v>-3.6965909999999998E-2</v>
          </cell>
          <cell r="C1185">
            <v>-6.3076999999999994E-2</v>
          </cell>
          <cell r="D1185">
            <v>5.2739153171195152E-3</v>
          </cell>
        </row>
        <row r="1186">
          <cell r="A1186">
            <v>36963</v>
          </cell>
          <cell r="B1186">
            <v>6.5270577999999996E-3</v>
          </cell>
          <cell r="C1186">
            <v>1.9154999999999998E-2</v>
          </cell>
          <cell r="D1186">
            <v>1.8477554530118567E-3</v>
          </cell>
        </row>
        <row r="1187">
          <cell r="A1187">
            <v>36964</v>
          </cell>
          <cell r="B1187">
            <v>-2.6150719999999999E-2</v>
          </cell>
          <cell r="C1187">
            <v>-6.0254000000000002E-2</v>
          </cell>
          <cell r="D1187">
            <v>-2.7560383545668143E-2</v>
          </cell>
        </row>
        <row r="1188">
          <cell r="A1188">
            <v>36965</v>
          </cell>
          <cell r="B1188">
            <v>8.4935128999999998E-3</v>
          </cell>
          <cell r="C1188">
            <v>3.2647000000000002E-2</v>
          </cell>
          <cell r="D1188">
            <v>2.1819541577394297E-2</v>
          </cell>
        </row>
        <row r="1189">
          <cell r="A1189">
            <v>36966</v>
          </cell>
          <cell r="B1189">
            <v>-1.952593E-2</v>
          </cell>
          <cell r="C1189">
            <v>-3.1614999999999997E-2</v>
          </cell>
          <cell r="D1189">
            <v>-1.0157555856666778E-2</v>
          </cell>
        </row>
        <row r="1190">
          <cell r="A1190">
            <v>36969</v>
          </cell>
          <cell r="B1190">
            <v>1.5119519999999999E-2</v>
          </cell>
          <cell r="C1190">
            <v>-7.3530000000000002E-3</v>
          </cell>
          <cell r="D1190">
            <v>-2.2541966426858573E-2</v>
          </cell>
        </row>
        <row r="1191">
          <cell r="A1191">
            <v>36970</v>
          </cell>
          <cell r="B1191">
            <v>-1.6557161000000001E-2</v>
          </cell>
          <cell r="C1191">
            <v>3.1111E-2</v>
          </cell>
          <cell r="D1191">
            <v>6.4060625885944411E-3</v>
          </cell>
        </row>
        <row r="1192">
          <cell r="A1192">
            <v>36971</v>
          </cell>
          <cell r="B1192">
            <v>-1.9735010000000001E-2</v>
          </cell>
          <cell r="C1192">
            <v>-5.8046E-2</v>
          </cell>
          <cell r="D1192">
            <v>3.3350036566548447E-4</v>
          </cell>
        </row>
        <row r="1193">
          <cell r="A1193">
            <v>36972</v>
          </cell>
          <cell r="B1193">
            <v>-1.5113410000000001E-2</v>
          </cell>
          <cell r="C1193">
            <v>-8.6940000000000003E-3</v>
          </cell>
          <cell r="D1193">
            <v>1.2073088385364139E-2</v>
          </cell>
        </row>
        <row r="1194">
          <cell r="A1194">
            <v>36973</v>
          </cell>
          <cell r="B1194">
            <v>2.1650391000000001E-2</v>
          </cell>
          <cell r="C1194">
            <v>5.0930999999999997E-2</v>
          </cell>
          <cell r="D1194">
            <v>1.0930798364644279E-2</v>
          </cell>
        </row>
        <row r="1195">
          <cell r="A1195">
            <v>36976</v>
          </cell>
          <cell r="B1195">
            <v>1.5616639999999999E-2</v>
          </cell>
          <cell r="C1195">
            <v>1.9765999999999999E-2</v>
          </cell>
          <cell r="D1195">
            <v>-3.4990042542492827E-2</v>
          </cell>
        </row>
        <row r="1196">
          <cell r="A1196">
            <v>36977</v>
          </cell>
          <cell r="B1196">
            <v>2.1759049999999999E-2</v>
          </cell>
          <cell r="C1196">
            <v>2.0244000000000002E-2</v>
          </cell>
          <cell r="D1196">
            <v>-1.1458336904243693E-2</v>
          </cell>
        </row>
        <row r="1197">
          <cell r="A1197">
            <v>36978</v>
          </cell>
          <cell r="B1197">
            <v>-1.7168431000000001E-2</v>
          </cell>
          <cell r="C1197">
            <v>0</v>
          </cell>
          <cell r="D1197">
            <v>2.8765477265910722E-3</v>
          </cell>
        </row>
        <row r="1198">
          <cell r="A1198">
            <v>36979</v>
          </cell>
          <cell r="B1198">
            <v>-2.229502E-3</v>
          </cell>
          <cell r="C1198">
            <v>1.745E-2</v>
          </cell>
          <cell r="D1198">
            <v>-1.3120859209671099E-2</v>
          </cell>
        </row>
        <row r="1199">
          <cell r="A1199">
            <v>36980</v>
          </cell>
          <cell r="B1199">
            <v>1.239256E-2</v>
          </cell>
          <cell r="C1199">
            <v>2.5588E-2</v>
          </cell>
          <cell r="D1199">
            <v>9.0749347848555484E-3</v>
          </cell>
        </row>
        <row r="1200">
          <cell r="A1200">
            <v>36983</v>
          </cell>
          <cell r="B1200">
            <v>-1.155689E-2</v>
          </cell>
          <cell r="C1200">
            <v>-3.4929000000000002E-2</v>
          </cell>
          <cell r="D1200">
            <v>-2.8047702796783924E-2</v>
          </cell>
        </row>
        <row r="1201">
          <cell r="A1201">
            <v>36984</v>
          </cell>
          <cell r="B1201">
            <v>-2.959444E-2</v>
          </cell>
          <cell r="C1201">
            <v>-4.4720000000000003E-3</v>
          </cell>
          <cell r="D1201">
            <v>1.4148988617932678E-2</v>
          </cell>
        </row>
        <row r="1202">
          <cell r="A1202">
            <v>36985</v>
          </cell>
          <cell r="B1202">
            <v>8.1883691000000003E-4</v>
          </cell>
          <cell r="C1202">
            <v>6.4570000000000001E-3</v>
          </cell>
          <cell r="D1202">
            <v>-2.5697975689961683E-2</v>
          </cell>
        </row>
        <row r="1203">
          <cell r="A1203">
            <v>36986</v>
          </cell>
          <cell r="B1203">
            <v>3.5914451E-2</v>
          </cell>
          <cell r="C1203">
            <v>5.0208999999999997E-2</v>
          </cell>
          <cell r="D1203">
            <v>1.8340115590634865E-2</v>
          </cell>
        </row>
        <row r="1204">
          <cell r="A1204">
            <v>36987</v>
          </cell>
          <cell r="B1204">
            <v>-1.6083241000000002E-2</v>
          </cell>
          <cell r="C1204">
            <v>-1.992E-2</v>
          </cell>
          <cell r="D1204">
            <v>-7.2074758922346938E-4</v>
          </cell>
        </row>
        <row r="1205">
          <cell r="A1205">
            <v>36990</v>
          </cell>
          <cell r="B1205">
            <v>7.9072685999999996E-3</v>
          </cell>
          <cell r="C1205">
            <v>1.3008E-2</v>
          </cell>
          <cell r="D1205">
            <v>3.9436985031035654E-2</v>
          </cell>
        </row>
        <row r="1206">
          <cell r="A1206">
            <v>36991</v>
          </cell>
          <cell r="B1206">
            <v>2.1301280999999998E-2</v>
          </cell>
          <cell r="C1206">
            <v>2.8490999999999999E-2</v>
          </cell>
          <cell r="D1206">
            <v>-3.7327144046200855E-3</v>
          </cell>
        </row>
        <row r="1207">
          <cell r="A1207">
            <v>36992</v>
          </cell>
          <cell r="B1207">
            <v>-7.4047478999999996E-3</v>
          </cell>
          <cell r="C1207">
            <v>-5.7095E-2</v>
          </cell>
          <cell r="D1207">
            <v>-4.9664358146069842E-3</v>
          </cell>
        </row>
        <row r="1208">
          <cell r="A1208">
            <v>36993</v>
          </cell>
          <cell r="B1208">
            <v>1.147074E-2</v>
          </cell>
          <cell r="C1208">
            <v>5.3793000000000001E-2</v>
          </cell>
          <cell r="D1208">
            <v>-3.3464478688592925E-3</v>
          </cell>
        </row>
        <row r="1209">
          <cell r="A1209">
            <v>36997</v>
          </cell>
          <cell r="B1209">
            <v>6.9883377999999997E-4</v>
          </cell>
          <cell r="C1209">
            <v>9.2929999999999992E-3</v>
          </cell>
          <cell r="D1209">
            <v>-2.2960609053811254E-2</v>
          </cell>
        </row>
        <row r="1210">
          <cell r="A1210">
            <v>36998</v>
          </cell>
          <cell r="B1210">
            <v>1.1311999999999999E-2</v>
          </cell>
          <cell r="C1210">
            <v>3.0995000000000002E-2</v>
          </cell>
          <cell r="D1210">
            <v>-1.8031033774548288E-2</v>
          </cell>
        </row>
        <row r="1211">
          <cell r="A1211">
            <v>36999</v>
          </cell>
          <cell r="B1211">
            <v>2.9097021000000001E-2</v>
          </cell>
          <cell r="C1211">
            <v>-1.8867999999999999E-2</v>
          </cell>
          <cell r="D1211">
            <v>-1.1707114781291827E-2</v>
          </cell>
        </row>
        <row r="1212">
          <cell r="A1212">
            <v>37000</v>
          </cell>
          <cell r="B1212">
            <v>5.3890700999999997E-3</v>
          </cell>
          <cell r="C1212">
            <v>-1.923E-3</v>
          </cell>
          <cell r="D1212">
            <v>-8.027336730354051E-5</v>
          </cell>
        </row>
        <row r="1213">
          <cell r="A1213">
            <v>37001</v>
          </cell>
          <cell r="B1213">
            <v>-8.4816449999999995E-3</v>
          </cell>
          <cell r="C1213">
            <v>-6.4199999999999999E-4</v>
          </cell>
          <cell r="D1213">
            <v>-3.2128345524309099E-2</v>
          </cell>
        </row>
        <row r="1214">
          <cell r="A1214">
            <v>37004</v>
          </cell>
          <cell r="B1214">
            <v>-7.9539306000000008E-3</v>
          </cell>
          <cell r="C1214">
            <v>-3.8560000000000001E-3</v>
          </cell>
          <cell r="D1214">
            <v>-4.7655493011909966E-3</v>
          </cell>
        </row>
        <row r="1215">
          <cell r="A1215">
            <v>37005</v>
          </cell>
          <cell r="B1215">
            <v>-8.2651832999999994E-3</v>
          </cell>
          <cell r="C1215">
            <v>-3.9355000000000001E-2</v>
          </cell>
          <cell r="D1215">
            <v>1.9589124645323475E-2</v>
          </cell>
        </row>
        <row r="1216">
          <cell r="A1216">
            <v>37006</v>
          </cell>
          <cell r="B1216">
            <v>1.4955110000000001E-2</v>
          </cell>
          <cell r="C1216">
            <v>-1.343E-3</v>
          </cell>
          <cell r="D1216">
            <v>-7.4569747049906265E-3</v>
          </cell>
        </row>
        <row r="1217">
          <cell r="A1217">
            <v>37007</v>
          </cell>
          <cell r="B1217">
            <v>9.5493457999999993E-3</v>
          </cell>
          <cell r="C1217">
            <v>-4.0350000000000004E-3</v>
          </cell>
          <cell r="D1217">
            <v>-2.3633940637201034E-2</v>
          </cell>
        </row>
        <row r="1218">
          <cell r="A1218">
            <v>37008</v>
          </cell>
          <cell r="B1218">
            <v>1.3071370000000001E-2</v>
          </cell>
          <cell r="C1218">
            <v>2.5658E-2</v>
          </cell>
          <cell r="D1218">
            <v>-2.2195085948927162E-2</v>
          </cell>
        </row>
        <row r="1219">
          <cell r="A1219">
            <v>37011</v>
          </cell>
          <cell r="B1219">
            <v>-4.1730092000000002E-3</v>
          </cell>
          <cell r="C1219">
            <v>6.5799999999999995E-4</v>
          </cell>
          <cell r="D1219">
            <v>-2.3016493846910957E-2</v>
          </cell>
        </row>
        <row r="1220">
          <cell r="A1220">
            <v>37012</v>
          </cell>
          <cell r="B1220">
            <v>1.018877E-2</v>
          </cell>
          <cell r="C1220">
            <v>9.868E-3</v>
          </cell>
          <cell r="D1220">
            <v>-3.0823010501094261E-3</v>
          </cell>
        </row>
        <row r="1221">
          <cell r="A1221">
            <v>37013</v>
          </cell>
          <cell r="B1221">
            <v>-2.3362109999999999E-3</v>
          </cell>
          <cell r="C1221">
            <v>-5.6030000000000003E-3</v>
          </cell>
          <cell r="D1221">
            <v>8.8072899577892549E-2</v>
          </cell>
        </row>
        <row r="1222">
          <cell r="A1222">
            <v>37014</v>
          </cell>
          <cell r="B1222">
            <v>-1.015834E-2</v>
          </cell>
          <cell r="C1222">
            <v>6.1580000000000003E-3</v>
          </cell>
          <cell r="D1222">
            <v>-2.9483097676982761E-2</v>
          </cell>
        </row>
        <row r="1223">
          <cell r="A1223">
            <v>37015</v>
          </cell>
          <cell r="B1223">
            <v>1.198254E-2</v>
          </cell>
          <cell r="C1223">
            <v>-2.735E-3</v>
          </cell>
          <cell r="D1223">
            <v>-3.2723356398086212E-2</v>
          </cell>
        </row>
        <row r="1224">
          <cell r="A1224">
            <v>37018</v>
          </cell>
          <cell r="B1224">
            <v>-1.7298700000000001E-3</v>
          </cell>
          <cell r="C1224">
            <v>-2.61E-4</v>
          </cell>
          <cell r="D1224">
            <v>3.5393137751432269E-2</v>
          </cell>
        </row>
        <row r="1225">
          <cell r="A1225">
            <v>37019</v>
          </cell>
          <cell r="B1225">
            <v>-3.9924727999999998E-3</v>
          </cell>
          <cell r="C1225">
            <v>8.4899999999999993E-3</v>
          </cell>
          <cell r="D1225">
            <v>4.401002658911346E-2</v>
          </cell>
        </row>
        <row r="1226">
          <cell r="A1226">
            <v>37020</v>
          </cell>
          <cell r="B1226">
            <v>-3.2007428999999998E-4</v>
          </cell>
          <cell r="C1226">
            <v>2.7068999999999999E-2</v>
          </cell>
          <cell r="D1226">
            <v>3.8977186131561314E-3</v>
          </cell>
        </row>
        <row r="1227">
          <cell r="A1227">
            <v>37021</v>
          </cell>
          <cell r="B1227">
            <v>2.9317150000000001E-3</v>
          </cell>
          <cell r="C1227">
            <v>-1.6393000000000001E-2</v>
          </cell>
          <cell r="D1227">
            <v>3.5902110906105289E-3</v>
          </cell>
        </row>
        <row r="1228">
          <cell r="A1228">
            <v>37022</v>
          </cell>
          <cell r="B1228">
            <v>-6.7606298E-3</v>
          </cell>
          <cell r="C1228">
            <v>3.846E-3</v>
          </cell>
          <cell r="D1228">
            <v>6.8923586921709745E-3</v>
          </cell>
        </row>
        <row r="1229">
          <cell r="A1229">
            <v>37025</v>
          </cell>
          <cell r="B1229">
            <v>4.4257649999999999E-3</v>
          </cell>
          <cell r="C1229">
            <v>-6.3860000000000002E-3</v>
          </cell>
          <cell r="D1229">
            <v>-2.3984185461407126E-2</v>
          </cell>
        </row>
        <row r="1230">
          <cell r="A1230">
            <v>37026</v>
          </cell>
          <cell r="B1230">
            <v>1.313449E-3</v>
          </cell>
          <cell r="C1230">
            <v>-5.1409999999999997E-3</v>
          </cell>
          <cell r="D1230">
            <v>-2.4406006952627846E-2</v>
          </cell>
        </row>
        <row r="1231">
          <cell r="A1231">
            <v>37027</v>
          </cell>
          <cell r="B1231">
            <v>2.413336E-2</v>
          </cell>
          <cell r="C1231">
            <v>4.9096000000000001E-2</v>
          </cell>
          <cell r="D1231">
            <v>6.4376831889838559E-3</v>
          </cell>
        </row>
        <row r="1232">
          <cell r="A1232">
            <v>37028</v>
          </cell>
          <cell r="B1232">
            <v>3.9725428999999998E-3</v>
          </cell>
          <cell r="C1232">
            <v>3.0206E-2</v>
          </cell>
          <cell r="D1232">
            <v>1.5673405093200365E-2</v>
          </cell>
        </row>
        <row r="1233">
          <cell r="A1233">
            <v>37029</v>
          </cell>
          <cell r="B1233">
            <v>2.8147909E-3</v>
          </cell>
          <cell r="C1233">
            <v>-5.6249999999999998E-3</v>
          </cell>
          <cell r="D1233">
            <v>-2.3763981256162303E-2</v>
          </cell>
        </row>
        <row r="1234">
          <cell r="A1234">
            <v>37032</v>
          </cell>
          <cell r="B1234">
            <v>1.052234E-2</v>
          </cell>
          <cell r="C1234">
            <v>2.0098999999999999E-2</v>
          </cell>
          <cell r="D1234">
            <v>-5.7664629775676657E-3</v>
          </cell>
        </row>
        <row r="1235">
          <cell r="A1235">
            <v>37033</v>
          </cell>
          <cell r="B1235">
            <v>-3.1760718999999998E-3</v>
          </cell>
          <cell r="C1235">
            <v>5.3090000000000004E-3</v>
          </cell>
          <cell r="D1235">
            <v>-1.8906292205791098E-2</v>
          </cell>
        </row>
        <row r="1236">
          <cell r="A1236">
            <v>37034</v>
          </cell>
          <cell r="B1236">
            <v>-1.280354E-2</v>
          </cell>
          <cell r="C1236">
            <v>-1.7252E-2</v>
          </cell>
          <cell r="D1236">
            <v>4.6533361511869042E-3</v>
          </cell>
        </row>
        <row r="1237">
          <cell r="A1237">
            <v>37035</v>
          </cell>
          <cell r="B1237">
            <v>5.0126166999999995E-4</v>
          </cell>
          <cell r="C1237">
            <v>9.0760000000000007E-3</v>
          </cell>
          <cell r="D1237">
            <v>-1.1369097130417449E-2</v>
          </cell>
        </row>
        <row r="1238">
          <cell r="A1238">
            <v>37036</v>
          </cell>
          <cell r="B1238">
            <v>-8.9054918E-3</v>
          </cell>
          <cell r="C1238">
            <v>2.7337E-2</v>
          </cell>
          <cell r="D1238">
            <v>-3.5426768800705943E-2</v>
          </cell>
        </row>
        <row r="1239">
          <cell r="A1239">
            <v>37040</v>
          </cell>
          <cell r="B1239">
            <v>-3.7944540000000001E-3</v>
          </cell>
          <cell r="C1239">
            <v>2.9374999999999998E-2</v>
          </cell>
          <cell r="D1239">
            <v>1.2132680320569911E-2</v>
          </cell>
        </row>
        <row r="1240">
          <cell r="A1240">
            <v>37041</v>
          </cell>
          <cell r="B1240">
            <v>-1.1018150000000001E-2</v>
          </cell>
          <cell r="C1240">
            <v>-8.3929999999999994E-3</v>
          </cell>
          <cell r="D1240">
            <v>1.1847275126720902E-2</v>
          </cell>
        </row>
        <row r="1241">
          <cell r="A1241">
            <v>37042</v>
          </cell>
          <cell r="B1241">
            <v>6.3610752E-3</v>
          </cell>
          <cell r="C1241">
            <v>1.2300999999999999E-2</v>
          </cell>
          <cell r="D1241">
            <v>-2.6766658762153228E-2</v>
          </cell>
        </row>
        <row r="1242">
          <cell r="A1242">
            <v>37043</v>
          </cell>
          <cell r="B1242">
            <v>1.914411E-3</v>
          </cell>
          <cell r="C1242">
            <v>1.3488999999999999E-2</v>
          </cell>
          <cell r="D1242">
            <v>-1.5086447578148032E-2</v>
          </cell>
        </row>
        <row r="1243">
          <cell r="A1243">
            <v>37046</v>
          </cell>
          <cell r="B1243">
            <v>5.6358259000000004E-3</v>
          </cell>
          <cell r="C1243">
            <v>1.3089999999999999E-2</v>
          </cell>
          <cell r="D1243">
            <v>-3.290280684032032E-3</v>
          </cell>
        </row>
        <row r="1244">
          <cell r="A1244">
            <v>37047</v>
          </cell>
          <cell r="B1244">
            <v>8.4078051000000004E-3</v>
          </cell>
          <cell r="C1244">
            <v>8.6859999999999993E-3</v>
          </cell>
          <cell r="D1244">
            <v>-2.4231129607068858E-2</v>
          </cell>
        </row>
        <row r="1245">
          <cell r="A1245">
            <v>37048</v>
          </cell>
          <cell r="B1245">
            <v>-1.0171080000000001E-2</v>
          </cell>
          <cell r="C1245">
            <v>-1.6684999999999998E-2</v>
          </cell>
          <cell r="D1245">
            <v>1.6801129402188364E-2</v>
          </cell>
        </row>
        <row r="1246">
          <cell r="A1246">
            <v>37049</v>
          </cell>
          <cell r="B1246">
            <v>1.0642430000000001E-3</v>
          </cell>
          <cell r="C1246">
            <v>0</v>
          </cell>
          <cell r="D1246">
            <v>-1.4839059372915298E-2</v>
          </cell>
        </row>
        <row r="1247">
          <cell r="A1247">
            <v>37050</v>
          </cell>
          <cell r="B1247">
            <v>-6.2092552000000004E-3</v>
          </cell>
          <cell r="C1247">
            <v>-9.9620000000000004E-3</v>
          </cell>
          <cell r="D1247">
            <v>4.5031128190586855E-3</v>
          </cell>
        </row>
        <row r="1248">
          <cell r="A1248">
            <v>37053</v>
          </cell>
          <cell r="B1248">
            <v>-6.7434749E-3</v>
          </cell>
          <cell r="C1248">
            <v>-3.8256999999999999E-2</v>
          </cell>
          <cell r="D1248">
            <v>3.3312266953169356E-2</v>
          </cell>
        </row>
        <row r="1249">
          <cell r="A1249">
            <v>37054</v>
          </cell>
          <cell r="B1249">
            <v>3.1349709E-4</v>
          </cell>
          <cell r="C1249">
            <v>-2.7590000000000002E-3</v>
          </cell>
          <cell r="D1249">
            <v>-7.586090197205686E-3</v>
          </cell>
        </row>
        <row r="1250">
          <cell r="A1250">
            <v>37055</v>
          </cell>
          <cell r="B1250">
            <v>-6.6341259999999997E-3</v>
          </cell>
          <cell r="C1250">
            <v>-2.5824E-2</v>
          </cell>
          <cell r="D1250">
            <v>-3.2714849768479382E-2</v>
          </cell>
        </row>
        <row r="1251">
          <cell r="A1251">
            <v>37056</v>
          </cell>
          <cell r="B1251">
            <v>-1.44837E-2</v>
          </cell>
          <cell r="C1251">
            <v>-1.302E-3</v>
          </cell>
          <cell r="D1251">
            <v>-2.429400008919913E-2</v>
          </cell>
        </row>
        <row r="1252">
          <cell r="A1252">
            <v>37057</v>
          </cell>
          <cell r="B1252">
            <v>-4.0945158999999998E-3</v>
          </cell>
          <cell r="C1252">
            <v>-1.1850000000000001E-3</v>
          </cell>
          <cell r="D1252">
            <v>-1.8788989547645074E-2</v>
          </cell>
        </row>
        <row r="1253">
          <cell r="A1253">
            <v>37060</v>
          </cell>
          <cell r="B1253">
            <v>-3.3126309999999999E-3</v>
          </cell>
          <cell r="C1253">
            <v>1.7799999999999999E-3</v>
          </cell>
          <cell r="D1253">
            <v>1.6069709352109385E-2</v>
          </cell>
        </row>
        <row r="1254">
          <cell r="A1254">
            <v>37061</v>
          </cell>
          <cell r="B1254">
            <v>1.7255479000000001E-3</v>
          </cell>
          <cell r="C1254">
            <v>6.5129999999999997E-3</v>
          </cell>
          <cell r="D1254">
            <v>-2.8249241316070872E-2</v>
          </cell>
        </row>
        <row r="1255">
          <cell r="A1255">
            <v>37062</v>
          </cell>
          <cell r="B1255">
            <v>7.3580141E-3</v>
          </cell>
          <cell r="C1255">
            <v>9.5309999999999995E-3</v>
          </cell>
          <cell r="D1255">
            <v>4.9383159848210845E-3</v>
          </cell>
        </row>
        <row r="1256">
          <cell r="A1256">
            <v>37063</v>
          </cell>
          <cell r="B1256">
            <v>8.9528383999999996E-3</v>
          </cell>
          <cell r="C1256">
            <v>-3.6129999999999999E-3</v>
          </cell>
          <cell r="D1256">
            <v>2.2164640757988741E-2</v>
          </cell>
        </row>
        <row r="1257">
          <cell r="A1257">
            <v>37064</v>
          </cell>
          <cell r="B1257">
            <v>-8.3310156999999996E-3</v>
          </cell>
          <cell r="C1257">
            <v>-2.1523E-2</v>
          </cell>
          <cell r="D1257">
            <v>3.6635805101892238E-3</v>
          </cell>
        </row>
        <row r="1258">
          <cell r="A1258">
            <v>37067</v>
          </cell>
          <cell r="B1258">
            <v>-8.2148098999999999E-3</v>
          </cell>
          <cell r="C1258">
            <v>-1.7094999999999999E-2</v>
          </cell>
          <cell r="D1258">
            <v>-4.568098710332591E-2</v>
          </cell>
        </row>
        <row r="1259">
          <cell r="A1259">
            <v>37068</v>
          </cell>
          <cell r="B1259">
            <v>-1.9537528999999999E-3</v>
          </cell>
          <cell r="C1259">
            <v>-8.7569999999999992E-3</v>
          </cell>
          <cell r="D1259">
            <v>-3.5573032271029037E-2</v>
          </cell>
        </row>
        <row r="1260">
          <cell r="A1260">
            <v>37069</v>
          </cell>
          <cell r="B1260">
            <v>-3.9479611000000003E-3</v>
          </cell>
          <cell r="C1260">
            <v>8.5889999999999994E-3</v>
          </cell>
          <cell r="D1260">
            <v>2.0900321543408262E-2</v>
          </cell>
        </row>
        <row r="1261">
          <cell r="A1261">
            <v>37070</v>
          </cell>
          <cell r="B1261">
            <v>9.4685181999999996E-3</v>
          </cell>
          <cell r="C1261">
            <v>3.1629999999999998E-2</v>
          </cell>
          <cell r="D1261">
            <v>5.4053552584277353E-2</v>
          </cell>
        </row>
        <row r="1262">
          <cell r="A1262">
            <v>37071</v>
          </cell>
          <cell r="B1262">
            <v>8.6063722999999998E-4</v>
          </cell>
          <cell r="C1262">
            <v>-9.0799999999999995E-3</v>
          </cell>
          <cell r="D1262">
            <v>-3.3617106482041748E-2</v>
          </cell>
        </row>
        <row r="1263">
          <cell r="A1263">
            <v>37074</v>
          </cell>
          <cell r="B1263">
            <v>8.5150552999999993E-3</v>
          </cell>
          <cell r="C1263">
            <v>2.6419000000000002E-2</v>
          </cell>
          <cell r="D1263">
            <v>-1.8454301411907625E-2</v>
          </cell>
        </row>
        <row r="1264">
          <cell r="A1264">
            <v>37075</v>
          </cell>
          <cell r="B1264">
            <v>-1.1740940000000001E-3</v>
          </cell>
          <cell r="C1264">
            <v>-1.7042999999999999E-2</v>
          </cell>
          <cell r="D1264">
            <v>-2.7449151913298553E-2</v>
          </cell>
        </row>
        <row r="1265">
          <cell r="A1265">
            <v>37077</v>
          </cell>
          <cell r="B1265">
            <v>-7.7984509999999996E-3</v>
          </cell>
          <cell r="C1265">
            <v>-9.7900000000000001E-3</v>
          </cell>
          <cell r="D1265">
            <v>2.5595401366709902E-2</v>
          </cell>
        </row>
        <row r="1266">
          <cell r="A1266">
            <v>37078</v>
          </cell>
          <cell r="B1266">
            <v>-1.8365821000000001E-2</v>
          </cell>
          <cell r="C1266">
            <v>-2.0250000000000001E-2</v>
          </cell>
          <cell r="D1266">
            <v>8.7909838924993267E-4</v>
          </cell>
        </row>
        <row r="1267">
          <cell r="A1267">
            <v>37081</v>
          </cell>
          <cell r="B1267">
            <v>4.2655920000000003E-3</v>
          </cell>
          <cell r="C1267">
            <v>1.9449999999999999E-3</v>
          </cell>
          <cell r="D1267">
            <v>9.3734606054411973E-3</v>
          </cell>
        </row>
        <row r="1268">
          <cell r="A1268">
            <v>37082</v>
          </cell>
          <cell r="B1268">
            <v>-9.7502367999999992E-3</v>
          </cell>
          <cell r="C1268">
            <v>-3.6525000000000002E-2</v>
          </cell>
          <cell r="D1268">
            <v>-6.222404338878218E-3</v>
          </cell>
        </row>
        <row r="1269">
          <cell r="A1269">
            <v>37083</v>
          </cell>
          <cell r="B1269">
            <v>-4.0379930000000001E-3</v>
          </cell>
          <cell r="C1269">
            <v>-6.2969999999999996E-3</v>
          </cell>
          <cell r="D1269">
            <v>1.844357706250932E-2</v>
          </cell>
        </row>
        <row r="1270">
          <cell r="A1270">
            <v>37084</v>
          </cell>
          <cell r="B1270">
            <v>1.608542E-2</v>
          </cell>
          <cell r="C1270">
            <v>-2.8896999999999999E-2</v>
          </cell>
          <cell r="D1270">
            <v>-2.8585920387938724E-2</v>
          </cell>
        </row>
        <row r="1271">
          <cell r="A1271">
            <v>37085</v>
          </cell>
          <cell r="B1271">
            <v>5.6365848999999999E-3</v>
          </cell>
          <cell r="C1271">
            <v>1.6705999999999999E-2</v>
          </cell>
          <cell r="D1271">
            <v>-2.932175729180575E-2</v>
          </cell>
        </row>
        <row r="1272">
          <cell r="A1272">
            <v>37088</v>
          </cell>
          <cell r="B1272">
            <v>-7.5607918999999997E-3</v>
          </cell>
          <cell r="C1272">
            <v>-1.3991999999999999E-2</v>
          </cell>
          <cell r="D1272">
            <v>-3.0217142746872594E-2</v>
          </cell>
        </row>
        <row r="1273">
          <cell r="A1273">
            <v>37089</v>
          </cell>
          <cell r="B1273">
            <v>8.4531186000000001E-3</v>
          </cell>
          <cell r="C1273">
            <v>-3.9968999999999998E-2</v>
          </cell>
          <cell r="D1273">
            <v>-4.2841614868209255E-2</v>
          </cell>
        </row>
        <row r="1274">
          <cell r="A1274">
            <v>37090</v>
          </cell>
          <cell r="B1274">
            <v>-2.087265E-3</v>
          </cell>
          <cell r="C1274">
            <v>7.5940000000000001E-3</v>
          </cell>
          <cell r="D1274">
            <v>5.1617010771409566E-2</v>
          </cell>
        </row>
        <row r="1275">
          <cell r="A1275">
            <v>37091</v>
          </cell>
          <cell r="B1275">
            <v>2.7147599000000001E-3</v>
          </cell>
          <cell r="C1275">
            <v>-4.0379999999999999E-3</v>
          </cell>
          <cell r="D1275">
            <v>-4.6558004141564413E-2</v>
          </cell>
        </row>
        <row r="1276">
          <cell r="A1276">
            <v>37092</v>
          </cell>
          <cell r="B1276">
            <v>-1.481011E-3</v>
          </cell>
          <cell r="C1276">
            <v>0</v>
          </cell>
          <cell r="D1276">
            <v>1.8144967952788527E-2</v>
          </cell>
        </row>
        <row r="1277">
          <cell r="A1277">
            <v>37095</v>
          </cell>
          <cell r="B1277">
            <v>-1.3230830000000001E-2</v>
          </cell>
          <cell r="C1277">
            <v>-8.1080000000000006E-3</v>
          </cell>
          <cell r="D1277">
            <v>6.0477856011892817E-2</v>
          </cell>
        </row>
        <row r="1278">
          <cell r="A1278">
            <v>37096</v>
          </cell>
          <cell r="B1278">
            <v>-1.6627409999999999E-2</v>
          </cell>
          <cell r="C1278">
            <v>-2.0164000000000001E-2</v>
          </cell>
          <cell r="D1278">
            <v>8.6006586717106703E-3</v>
          </cell>
        </row>
        <row r="1279">
          <cell r="A1279">
            <v>37097</v>
          </cell>
          <cell r="B1279">
            <v>1.39928E-2</v>
          </cell>
          <cell r="C1279">
            <v>-4.0600999999999998E-2</v>
          </cell>
          <cell r="D1279">
            <v>-1.4455743861544579E-2</v>
          </cell>
        </row>
        <row r="1280">
          <cell r="A1280">
            <v>37098</v>
          </cell>
          <cell r="B1280">
            <v>9.3738808999999992E-3</v>
          </cell>
          <cell r="C1280">
            <v>8.0435000000000006E-2</v>
          </cell>
          <cell r="D1280">
            <v>-4.0620132575071577E-2</v>
          </cell>
        </row>
        <row r="1281">
          <cell r="A1281">
            <v>37099</v>
          </cell>
          <cell r="B1281">
            <v>3.4692899999999999E-3</v>
          </cell>
          <cell r="C1281">
            <v>3.2863999999999997E-2</v>
          </cell>
          <cell r="D1281">
            <v>-2.638918254951117E-2</v>
          </cell>
        </row>
        <row r="1282">
          <cell r="A1282">
            <v>37102</v>
          </cell>
          <cell r="B1282">
            <v>-6.4681823000000004E-5</v>
          </cell>
          <cell r="C1282">
            <v>-2.5969999999999999E-3</v>
          </cell>
          <cell r="D1282">
            <v>-3.5884177869700107E-2</v>
          </cell>
        </row>
        <row r="1283">
          <cell r="A1283">
            <v>37103</v>
          </cell>
          <cell r="B1283">
            <v>4.9639651999999999E-3</v>
          </cell>
          <cell r="C1283">
            <v>-1.9661000000000001E-2</v>
          </cell>
          <cell r="D1283">
            <v>4.7868175479995667E-2</v>
          </cell>
        </row>
        <row r="1284">
          <cell r="A1284">
            <v>37104</v>
          </cell>
          <cell r="B1284">
            <v>1.0702369999999999E-3</v>
          </cell>
          <cell r="C1284">
            <v>-3.852E-3</v>
          </cell>
          <cell r="D1284">
            <v>1.8082201596331338E-2</v>
          </cell>
        </row>
        <row r="1285">
          <cell r="A1285">
            <v>37105</v>
          </cell>
          <cell r="B1285">
            <v>1.7195470000000001E-3</v>
          </cell>
          <cell r="C1285">
            <v>-2E-3</v>
          </cell>
          <cell r="D1285">
            <v>2.8878661361311453E-2</v>
          </cell>
        </row>
        <row r="1286">
          <cell r="A1286">
            <v>37106</v>
          </cell>
          <cell r="B1286">
            <v>-3.2202139999999999E-3</v>
          </cell>
          <cell r="C1286">
            <v>-1.2692E-2</v>
          </cell>
          <cell r="D1286">
            <v>-9.5840479226826369E-3</v>
          </cell>
        </row>
        <row r="1287">
          <cell r="A1287">
            <v>37109</v>
          </cell>
          <cell r="B1287">
            <v>-9.8304488000000006E-3</v>
          </cell>
          <cell r="C1287">
            <v>-1.0149E-2</v>
          </cell>
          <cell r="D1287">
            <v>8.7073849971508466E-4</v>
          </cell>
        </row>
        <row r="1288">
          <cell r="A1288">
            <v>37110</v>
          </cell>
          <cell r="B1288">
            <v>3.6776479999999999E-3</v>
          </cell>
          <cell r="C1288">
            <v>1.64E-3</v>
          </cell>
          <cell r="D1288">
            <v>-3.0220132296256752E-2</v>
          </cell>
        </row>
        <row r="1289">
          <cell r="A1289">
            <v>37111</v>
          </cell>
          <cell r="B1289">
            <v>-1.3184080000000001E-2</v>
          </cell>
          <cell r="C1289">
            <v>-2.4840000000000001E-2</v>
          </cell>
          <cell r="D1289">
            <v>5.4432850310296876E-2</v>
          </cell>
        </row>
        <row r="1290">
          <cell r="A1290">
            <v>37112</v>
          </cell>
          <cell r="B1290">
            <v>1.7585111E-4</v>
          </cell>
          <cell r="C1290">
            <v>3.2190000000000001E-3</v>
          </cell>
          <cell r="D1290">
            <v>8.8018452061033869E-3</v>
          </cell>
        </row>
        <row r="1291">
          <cell r="A1291">
            <v>37113</v>
          </cell>
          <cell r="B1291">
            <v>6.2821880000000002E-3</v>
          </cell>
          <cell r="C1291">
            <v>1.1440000000000001E-2</v>
          </cell>
          <cell r="D1291">
            <v>1.3546283134041381E-2</v>
          </cell>
        </row>
        <row r="1292">
          <cell r="A1292">
            <v>37116</v>
          </cell>
          <cell r="B1292">
            <v>-4.069772E-4</v>
          </cell>
          <cell r="C1292">
            <v>4.1654999999999998E-2</v>
          </cell>
          <cell r="D1292">
            <v>2.680354049053002E-2</v>
          </cell>
        </row>
        <row r="1293">
          <cell r="A1293">
            <v>37117</v>
          </cell>
          <cell r="B1293">
            <v>-7.5488113000000002E-4</v>
          </cell>
          <cell r="C1293">
            <v>-2.2245999999999998E-2</v>
          </cell>
          <cell r="D1293">
            <v>-1.3310193156200745E-2</v>
          </cell>
        </row>
        <row r="1294">
          <cell r="A1294">
            <v>37118</v>
          </cell>
          <cell r="B1294">
            <v>-2.5813518999999998E-3</v>
          </cell>
          <cell r="C1294">
            <v>-2.2346000000000001E-2</v>
          </cell>
          <cell r="D1294">
            <v>2.5986021665487913E-2</v>
          </cell>
        </row>
        <row r="1295">
          <cell r="A1295">
            <v>37119</v>
          </cell>
          <cell r="B1295">
            <v>8.6255516999999996E-4</v>
          </cell>
          <cell r="C1295">
            <v>-1.0389000000000001E-2</v>
          </cell>
          <cell r="D1295">
            <v>1.0463130730174131E-2</v>
          </cell>
        </row>
        <row r="1296">
          <cell r="A1296">
            <v>37120</v>
          </cell>
          <cell r="B1296">
            <v>-1.1732319999999999E-2</v>
          </cell>
          <cell r="C1296">
            <v>3.5040000000000002E-3</v>
          </cell>
          <cell r="D1296">
            <v>-3.1737624862261615E-2</v>
          </cell>
        </row>
        <row r="1297">
          <cell r="A1297">
            <v>37123</v>
          </cell>
          <cell r="B1297">
            <v>6.6313878999999997E-3</v>
          </cell>
          <cell r="C1297">
            <v>1.3827000000000001E-2</v>
          </cell>
          <cell r="D1297">
            <v>6.9533131378216595E-3</v>
          </cell>
        </row>
        <row r="1298">
          <cell r="A1298">
            <v>37124</v>
          </cell>
          <cell r="B1298">
            <v>-7.6552601999999997E-3</v>
          </cell>
          <cell r="C1298">
            <v>1.1572000000000001E-2</v>
          </cell>
          <cell r="D1298">
            <v>-3.5180193762674117E-2</v>
          </cell>
        </row>
        <row r="1299">
          <cell r="A1299">
            <v>37125</v>
          </cell>
          <cell r="B1299">
            <v>5.4283962000000003E-3</v>
          </cell>
          <cell r="C1299">
            <v>4.317E-2</v>
          </cell>
          <cell r="D1299">
            <v>-2.6512232653012502E-2</v>
          </cell>
        </row>
        <row r="1300">
          <cell r="A1300">
            <v>37126</v>
          </cell>
          <cell r="B1300">
            <v>-1.2993480000000001E-3</v>
          </cell>
          <cell r="C1300">
            <v>9.7909999999999994E-3</v>
          </cell>
          <cell r="D1300">
            <v>1.7311519120112084E-2</v>
          </cell>
        </row>
        <row r="1301">
          <cell r="A1301">
            <v>37127</v>
          </cell>
          <cell r="B1301">
            <v>1.297503E-2</v>
          </cell>
          <cell r="C1301">
            <v>1.2930000000000001E-3</v>
          </cell>
          <cell r="D1301">
            <v>-1.8011832837086406E-2</v>
          </cell>
        </row>
        <row r="1302">
          <cell r="A1302">
            <v>37130</v>
          </cell>
          <cell r="B1302">
            <v>-4.0899878000000001E-3</v>
          </cell>
          <cell r="C1302">
            <v>6.4599999999999998E-4</v>
          </cell>
          <cell r="D1302">
            <v>-4.1237467465085498E-2</v>
          </cell>
        </row>
        <row r="1303">
          <cell r="A1303">
            <v>37131</v>
          </cell>
          <cell r="B1303">
            <v>-1.178411E-2</v>
          </cell>
          <cell r="C1303">
            <v>-1.7031999999999999E-2</v>
          </cell>
          <cell r="D1303">
            <v>2.3286398911032791E-2</v>
          </cell>
        </row>
        <row r="1304">
          <cell r="A1304">
            <v>37132</v>
          </cell>
          <cell r="B1304">
            <v>-9.0778227999999996E-3</v>
          </cell>
          <cell r="C1304">
            <v>-1.6802000000000001E-2</v>
          </cell>
          <cell r="D1304">
            <v>-3.592878753781914E-2</v>
          </cell>
        </row>
        <row r="1305">
          <cell r="A1305">
            <v>37133</v>
          </cell>
          <cell r="B1305">
            <v>-1.257579E-2</v>
          </cell>
          <cell r="C1305">
            <v>-1.8825000000000001E-2</v>
          </cell>
          <cell r="D1305">
            <v>3.9257082536874988E-2</v>
          </cell>
        </row>
        <row r="1306">
          <cell r="A1306">
            <v>37134</v>
          </cell>
          <cell r="B1306">
            <v>3.2215689E-3</v>
          </cell>
          <cell r="C1306">
            <v>-1.6872999999999999E-2</v>
          </cell>
          <cell r="D1306">
            <v>7.5318757065812036E-3</v>
          </cell>
        </row>
        <row r="1307">
          <cell r="A1307">
            <v>37138</v>
          </cell>
          <cell r="B1307">
            <v>2.5446240000000001E-3</v>
          </cell>
          <cell r="C1307">
            <v>6.9200000000000002E-4</v>
          </cell>
          <cell r="D1307">
            <v>1.5716532702525265E-2</v>
          </cell>
        </row>
        <row r="1308">
          <cell r="A1308">
            <v>37139</v>
          </cell>
          <cell r="B1308">
            <v>-2.4501760000000001E-3</v>
          </cell>
          <cell r="C1308">
            <v>-8.9899999999999997E-3</v>
          </cell>
          <cell r="D1308">
            <v>-2.4703701897282881E-3</v>
          </cell>
        </row>
        <row r="1309">
          <cell r="A1309">
            <v>37140</v>
          </cell>
          <cell r="B1309">
            <v>-1.8481999999999998E-2</v>
          </cell>
          <cell r="C1309">
            <v>-1.1165E-2</v>
          </cell>
          <cell r="D1309">
            <v>-2.8446608824902797E-2</v>
          </cell>
        </row>
        <row r="1310">
          <cell r="A1310">
            <v>37141</v>
          </cell>
          <cell r="B1310">
            <v>-1.944048E-2</v>
          </cell>
          <cell r="C1310">
            <v>8.0450000000000001E-3</v>
          </cell>
          <cell r="D1310">
            <v>9.0435342755987858E-3</v>
          </cell>
        </row>
        <row r="1311">
          <cell r="A1311">
            <v>37144</v>
          </cell>
          <cell r="B1311">
            <v>3.3174480999999998E-3</v>
          </cell>
          <cell r="C1311">
            <v>-3.3600000000000001E-3</v>
          </cell>
          <cell r="D1311">
            <v>-1.3326517125721637E-2</v>
          </cell>
        </row>
        <row r="1312">
          <cell r="A1312">
            <v>37151</v>
          </cell>
          <cell r="B1312">
            <v>-4.6576927999999997E-2</v>
          </cell>
          <cell r="C1312">
            <v>-4.5940000000000002E-2</v>
          </cell>
          <cell r="D1312">
            <v>-1.3615190782007791E-2</v>
          </cell>
        </row>
        <row r="1313">
          <cell r="A1313">
            <v>37152</v>
          </cell>
          <cell r="B1313">
            <v>-6.5731508999999997E-3</v>
          </cell>
          <cell r="C1313">
            <v>-4.4617999999999998E-2</v>
          </cell>
          <cell r="D1313">
            <v>-5.5448223555757403E-3</v>
          </cell>
        </row>
        <row r="1314">
          <cell r="A1314">
            <v>37153</v>
          </cell>
          <cell r="B1314">
            <v>-1.6830479999999998E-2</v>
          </cell>
          <cell r="C1314">
            <v>-1.6646000000000001E-2</v>
          </cell>
          <cell r="D1314">
            <v>-2.9419494473216345E-2</v>
          </cell>
        </row>
        <row r="1315">
          <cell r="A1315">
            <v>37154</v>
          </cell>
          <cell r="B1315">
            <v>-2.909492E-2</v>
          </cell>
          <cell r="C1315">
            <v>1.0972000000000001E-2</v>
          </cell>
          <cell r="D1315">
            <v>3.4192390600278344E-3</v>
          </cell>
        </row>
        <row r="1316">
          <cell r="A1316">
            <v>37155</v>
          </cell>
          <cell r="B1316">
            <v>-1.5470869999999999E-2</v>
          </cell>
          <cell r="C1316">
            <v>-3.1008000000000001E-2</v>
          </cell>
          <cell r="D1316">
            <v>-3.2422350388909504E-2</v>
          </cell>
        </row>
        <row r="1317">
          <cell r="A1317">
            <v>37158</v>
          </cell>
          <cell r="B1317">
            <v>3.4247830999999999E-2</v>
          </cell>
          <cell r="C1317">
            <v>-1.6E-2</v>
          </cell>
          <cell r="D1317">
            <v>-8.7224007109176771E-4</v>
          </cell>
        </row>
        <row r="1318">
          <cell r="A1318">
            <v>37159</v>
          </cell>
          <cell r="B1318">
            <v>8.9818387999999992E-3</v>
          </cell>
          <cell r="C1318">
            <v>2.0650000000000002E-2</v>
          </cell>
          <cell r="D1318">
            <v>3.6463550133276401E-2</v>
          </cell>
        </row>
        <row r="1319">
          <cell r="A1319">
            <v>37160</v>
          </cell>
          <cell r="B1319">
            <v>-1.751919E-3</v>
          </cell>
          <cell r="C1319">
            <v>1.4815999999999999E-2</v>
          </cell>
          <cell r="D1319">
            <v>-3.3163467377815836E-3</v>
          </cell>
        </row>
        <row r="1320">
          <cell r="A1320">
            <v>37161</v>
          </cell>
          <cell r="B1320">
            <v>1.360922E-2</v>
          </cell>
          <cell r="C1320">
            <v>3.8619000000000001E-2</v>
          </cell>
          <cell r="D1320">
            <v>-1.8512533313552737E-2</v>
          </cell>
        </row>
        <row r="1321">
          <cell r="A1321">
            <v>37162</v>
          </cell>
          <cell r="B1321">
            <v>2.1968549E-2</v>
          </cell>
          <cell r="C1321">
            <v>2.1159999999999998E-3</v>
          </cell>
          <cell r="D1321">
            <v>-2.6270898225573935E-2</v>
          </cell>
        </row>
        <row r="1322">
          <cell r="A1322">
            <v>37165</v>
          </cell>
          <cell r="B1322">
            <v>-2.6421399999999999E-3</v>
          </cell>
          <cell r="C1322">
            <v>1.8099000000000001E-2</v>
          </cell>
          <cell r="D1322">
            <v>3.7194423885594796E-2</v>
          </cell>
        </row>
        <row r="1323">
          <cell r="A1323">
            <v>37166</v>
          </cell>
          <cell r="B1323">
            <v>1.226783E-2</v>
          </cell>
          <cell r="C1323">
            <v>-1.1110999999999999E-2</v>
          </cell>
          <cell r="D1323">
            <v>-2.0797977395361933E-2</v>
          </cell>
        </row>
        <row r="1324">
          <cell r="A1324">
            <v>37167</v>
          </cell>
          <cell r="B1324">
            <v>1.416479E-2</v>
          </cell>
          <cell r="C1324">
            <v>-2.2471999999999999E-2</v>
          </cell>
          <cell r="D1324">
            <v>-1.6605302015071377E-2</v>
          </cell>
        </row>
        <row r="1325">
          <cell r="A1325">
            <v>37168</v>
          </cell>
          <cell r="B1325">
            <v>-2.6212949E-3</v>
          </cell>
          <cell r="C1325">
            <v>3.295E-2</v>
          </cell>
          <cell r="D1325">
            <v>-2.2372712007882156E-2</v>
          </cell>
        </row>
        <row r="1326">
          <cell r="A1326">
            <v>37169</v>
          </cell>
          <cell r="B1326">
            <v>-5.6500622000000005E-4</v>
          </cell>
          <cell r="C1326">
            <v>7.4180000000000001E-3</v>
          </cell>
          <cell r="D1326">
            <v>-1.6619161717445929E-2</v>
          </cell>
        </row>
        <row r="1327">
          <cell r="A1327">
            <v>37172</v>
          </cell>
          <cell r="B1327">
            <v>-9.5718269999999998E-3</v>
          </cell>
          <cell r="C1327">
            <v>-5.8910000000000004E-3</v>
          </cell>
          <cell r="D1327">
            <v>6.0221138023615062E-3</v>
          </cell>
        </row>
        <row r="1328">
          <cell r="A1328">
            <v>37173</v>
          </cell>
          <cell r="B1328">
            <v>-8.0222462000000005E-4</v>
          </cell>
          <cell r="C1328">
            <v>0</v>
          </cell>
          <cell r="D1328">
            <v>-1.0235999035801635E-2</v>
          </cell>
        </row>
        <row r="1329">
          <cell r="A1329">
            <v>37174</v>
          </cell>
          <cell r="B1329">
            <v>2.0263771E-2</v>
          </cell>
          <cell r="C1329">
            <v>4.444E-3</v>
          </cell>
          <cell r="D1329">
            <v>4.5858472814568563E-2</v>
          </cell>
        </row>
        <row r="1330">
          <cell r="A1330">
            <v>37175</v>
          </cell>
          <cell r="B1330">
            <v>1.066581E-2</v>
          </cell>
          <cell r="C1330">
            <v>3.8349999999999999E-3</v>
          </cell>
          <cell r="D1330">
            <v>4.2877419426379015E-2</v>
          </cell>
        </row>
        <row r="1331">
          <cell r="A1331">
            <v>37176</v>
          </cell>
          <cell r="B1331">
            <v>-6.9362060000000003E-3</v>
          </cell>
          <cell r="C1331">
            <v>-1.3224E-2</v>
          </cell>
          <cell r="D1331">
            <v>8.0809584442029792E-3</v>
          </cell>
        </row>
        <row r="1332">
          <cell r="A1332">
            <v>37179</v>
          </cell>
          <cell r="B1332">
            <v>1.3594E-4</v>
          </cell>
          <cell r="C1332">
            <v>2.5610000000000001E-2</v>
          </cell>
          <cell r="D1332">
            <v>5.42199650346884E-2</v>
          </cell>
        </row>
        <row r="1333">
          <cell r="A1333">
            <v>37180</v>
          </cell>
          <cell r="B1333">
            <v>6.0340840999999999E-3</v>
          </cell>
          <cell r="C1333">
            <v>-2.1779999999999998E-3</v>
          </cell>
          <cell r="D1333">
            <v>-4.3244662889731056E-2</v>
          </cell>
        </row>
        <row r="1334">
          <cell r="A1334">
            <v>37181</v>
          </cell>
          <cell r="B1334">
            <v>-1.3323420000000001E-2</v>
          </cell>
          <cell r="C1334">
            <v>-1.2076E-2</v>
          </cell>
          <cell r="D1334">
            <v>3.4216456735319145E-2</v>
          </cell>
        </row>
        <row r="1335">
          <cell r="A1335">
            <v>37182</v>
          </cell>
          <cell r="B1335">
            <v>-9.6026779999999999E-3</v>
          </cell>
          <cell r="C1335">
            <v>-5.3608000000000003E-2</v>
          </cell>
          <cell r="D1335">
            <v>1.3887976056259799E-2</v>
          </cell>
        </row>
        <row r="1336">
          <cell r="A1336">
            <v>37183</v>
          </cell>
          <cell r="B1336">
            <v>3.3122080000000001E-3</v>
          </cell>
          <cell r="C1336">
            <v>3.6726000000000002E-2</v>
          </cell>
          <cell r="D1336">
            <v>1.9010790649433451E-2</v>
          </cell>
        </row>
        <row r="1337">
          <cell r="A1337">
            <v>37186</v>
          </cell>
          <cell r="B1337">
            <v>1.27244E-2</v>
          </cell>
          <cell r="C1337">
            <v>3.5575000000000002E-2</v>
          </cell>
          <cell r="D1337">
            <v>-1.3221991960128521E-2</v>
          </cell>
        </row>
        <row r="1338">
          <cell r="A1338">
            <v>37187</v>
          </cell>
          <cell r="B1338">
            <v>-4.7918689000000002E-3</v>
          </cell>
          <cell r="C1338">
            <v>1.1016E-2</v>
          </cell>
          <cell r="D1338">
            <v>2.3758458154913509E-2</v>
          </cell>
        </row>
        <row r="1339">
          <cell r="A1339">
            <v>37188</v>
          </cell>
          <cell r="B1339">
            <v>-2.6338249000000002E-3</v>
          </cell>
          <cell r="C1339">
            <v>3.0107999999999999E-2</v>
          </cell>
          <cell r="D1339">
            <v>-1.6755027355888186E-2</v>
          </cell>
        </row>
        <row r="1340">
          <cell r="A1340">
            <v>37189</v>
          </cell>
          <cell r="B1340">
            <v>1.088625E-2</v>
          </cell>
          <cell r="C1340">
            <v>9.1859999999999997E-3</v>
          </cell>
          <cell r="D1340">
            <v>2.5528791323560895E-2</v>
          </cell>
        </row>
        <row r="1341">
          <cell r="A1341">
            <v>37190</v>
          </cell>
          <cell r="B1341">
            <v>6.2264948999999998E-3</v>
          </cell>
          <cell r="C1341">
            <v>3.0065000000000001E-2</v>
          </cell>
          <cell r="D1341">
            <v>-1.1642011159229138E-2</v>
          </cell>
        </row>
        <row r="1342">
          <cell r="A1342">
            <v>37193</v>
          </cell>
          <cell r="B1342">
            <v>-1.8622910999999999E-2</v>
          </cell>
          <cell r="C1342">
            <v>-8.9700000000000005E-3</v>
          </cell>
          <cell r="D1342">
            <v>-1.2367250722982281E-2</v>
          </cell>
        </row>
        <row r="1343">
          <cell r="A1343">
            <v>37194</v>
          </cell>
          <cell r="B1343">
            <v>-1.6732088999999999E-2</v>
          </cell>
          <cell r="C1343">
            <v>-3.7421999999999997E-2</v>
          </cell>
          <cell r="D1343">
            <v>2.2189906028774464E-2</v>
          </cell>
        </row>
        <row r="1344">
          <cell r="A1344">
            <v>37195</v>
          </cell>
          <cell r="B1344">
            <v>-5.6314579000000002E-4</v>
          </cell>
          <cell r="C1344">
            <v>7.5789999999999998E-3</v>
          </cell>
          <cell r="D1344">
            <v>2.9680876416340318E-3</v>
          </cell>
        </row>
        <row r="1345">
          <cell r="A1345">
            <v>37196</v>
          </cell>
          <cell r="B1345">
            <v>1.7645210000000001E-2</v>
          </cell>
          <cell r="C1345">
            <v>-8.2179999999999996E-3</v>
          </cell>
          <cell r="D1345">
            <v>2.3746435874542726E-2</v>
          </cell>
        </row>
        <row r="1346">
          <cell r="A1346">
            <v>37197</v>
          </cell>
          <cell r="B1346">
            <v>2.7562620000000002E-3</v>
          </cell>
          <cell r="C1346">
            <v>3.6519999999999999E-3</v>
          </cell>
          <cell r="D1346">
            <v>3.077042100969174E-2</v>
          </cell>
        </row>
        <row r="1347">
          <cell r="A1347">
            <v>37200</v>
          </cell>
          <cell r="B1347">
            <v>1.067738E-2</v>
          </cell>
          <cell r="C1347">
            <v>2.6589999999999999E-3</v>
          </cell>
          <cell r="D1347">
            <v>3.7755503546970104E-3</v>
          </cell>
        </row>
        <row r="1348">
          <cell r="A1348">
            <v>37201</v>
          </cell>
          <cell r="B1348">
            <v>1.192878E-2</v>
          </cell>
          <cell r="C1348">
            <v>-2.0939999999999999E-3</v>
          </cell>
          <cell r="D1348">
            <v>1.4698718195639948E-2</v>
          </cell>
        </row>
        <row r="1349">
          <cell r="A1349">
            <v>37202</v>
          </cell>
          <cell r="B1349">
            <v>-2.784075E-3</v>
          </cell>
          <cell r="C1349">
            <v>-5.0350000000000004E-3</v>
          </cell>
          <cell r="D1349">
            <v>-3.0952306517379791E-2</v>
          </cell>
        </row>
        <row r="1350">
          <cell r="A1350">
            <v>37203</v>
          </cell>
          <cell r="B1350">
            <v>2.7531680999999999E-3</v>
          </cell>
          <cell r="C1350">
            <v>-1.3213000000000001E-2</v>
          </cell>
          <cell r="D1350">
            <v>-1.3720253389160719E-2</v>
          </cell>
        </row>
        <row r="1351">
          <cell r="A1351">
            <v>37204</v>
          </cell>
          <cell r="B1351">
            <v>1.081147E-3</v>
          </cell>
          <cell r="C1351">
            <v>-1.6524E-2</v>
          </cell>
          <cell r="D1351">
            <v>-3.2153980229110535E-2</v>
          </cell>
        </row>
        <row r="1352">
          <cell r="A1352">
            <v>37207</v>
          </cell>
          <cell r="B1352">
            <v>-2.390526E-3</v>
          </cell>
          <cell r="C1352">
            <v>1.1731999999999999E-2</v>
          </cell>
          <cell r="D1352">
            <v>2.490096344881354E-2</v>
          </cell>
        </row>
        <row r="1353">
          <cell r="A1353">
            <v>37208</v>
          </cell>
          <cell r="B1353">
            <v>1.6070208999999998E-2</v>
          </cell>
          <cell r="C1353">
            <v>-1.4316000000000001E-2</v>
          </cell>
          <cell r="D1353">
            <v>9.5040465804276941E-3</v>
          </cell>
        </row>
        <row r="1354">
          <cell r="A1354">
            <v>37209</v>
          </cell>
          <cell r="B1354">
            <v>2.8987790000000002E-3</v>
          </cell>
          <cell r="C1354">
            <v>5.8100000000000003E-4</v>
          </cell>
          <cell r="D1354">
            <v>3.9655522397810561E-2</v>
          </cell>
        </row>
        <row r="1355">
          <cell r="A1355">
            <v>37210</v>
          </cell>
          <cell r="B1355">
            <v>4.8436079000000002E-4</v>
          </cell>
          <cell r="C1355">
            <v>1.7441999999999999E-2</v>
          </cell>
          <cell r="D1355">
            <v>1.3353172332226659E-3</v>
          </cell>
        </row>
        <row r="1356">
          <cell r="A1356">
            <v>37211</v>
          </cell>
          <cell r="B1356">
            <v>-1.9609311E-3</v>
          </cell>
          <cell r="C1356">
            <v>4.2000000000000003E-2</v>
          </cell>
          <cell r="D1356">
            <v>-1.2290948536695878E-2</v>
          </cell>
        </row>
        <row r="1357">
          <cell r="A1357">
            <v>37214</v>
          </cell>
          <cell r="B1357">
            <v>9.8151248E-3</v>
          </cell>
          <cell r="C1357">
            <v>1.4121E-2</v>
          </cell>
          <cell r="D1357">
            <v>-1.5545793264321595E-2</v>
          </cell>
        </row>
        <row r="1358">
          <cell r="A1358">
            <v>37215</v>
          </cell>
          <cell r="B1358">
            <v>-3.1654839000000001E-3</v>
          </cell>
          <cell r="C1358">
            <v>4.0559999999999997E-3</v>
          </cell>
          <cell r="D1358">
            <v>3.5111456342904246E-2</v>
          </cell>
        </row>
        <row r="1359">
          <cell r="A1359">
            <v>37216</v>
          </cell>
          <cell r="B1359">
            <v>-4.8733559000000001E-3</v>
          </cell>
          <cell r="C1359">
            <v>2.4371E-2</v>
          </cell>
          <cell r="D1359">
            <v>3.6826400641311041E-2</v>
          </cell>
        </row>
        <row r="1360">
          <cell r="A1360">
            <v>37218</v>
          </cell>
          <cell r="B1360">
            <v>1.087814E-2</v>
          </cell>
          <cell r="C1360">
            <v>1.3275E-2</v>
          </cell>
          <cell r="D1360">
            <v>1.0437740808988405E-3</v>
          </cell>
        </row>
        <row r="1361">
          <cell r="A1361">
            <v>37221</v>
          </cell>
          <cell r="B1361">
            <v>4.3077050000000002E-3</v>
          </cell>
          <cell r="C1361">
            <v>1.3102000000000001E-2</v>
          </cell>
          <cell r="D1361">
            <v>9.8862056536739296E-3</v>
          </cell>
        </row>
        <row r="1362">
          <cell r="A1362">
            <v>37222</v>
          </cell>
          <cell r="B1362">
            <v>-5.6942607999999999E-3</v>
          </cell>
          <cell r="C1362">
            <v>-3.8400000000000001E-4</v>
          </cell>
          <cell r="D1362">
            <v>-2.7063257363313387E-2</v>
          </cell>
        </row>
        <row r="1363">
          <cell r="A1363">
            <v>37223</v>
          </cell>
          <cell r="B1363">
            <v>-1.54784E-2</v>
          </cell>
          <cell r="C1363">
            <v>-1.2425E-2</v>
          </cell>
          <cell r="D1363">
            <v>3.2006253643773741E-2</v>
          </cell>
        </row>
        <row r="1364">
          <cell r="A1364">
            <v>37224</v>
          </cell>
          <cell r="B1364">
            <v>7.8497836000000001E-3</v>
          </cell>
          <cell r="C1364">
            <v>-9.0790000000000003E-3</v>
          </cell>
          <cell r="D1364">
            <v>-6.0893170359117565E-3</v>
          </cell>
        </row>
        <row r="1365">
          <cell r="A1365">
            <v>37225</v>
          </cell>
          <cell r="B1365">
            <v>-8.1558909999999995E-4</v>
          </cell>
          <cell r="C1365">
            <v>-1.1911E-2</v>
          </cell>
          <cell r="D1365">
            <v>4.1915645030472515E-3</v>
          </cell>
        </row>
        <row r="1366">
          <cell r="A1366">
            <v>37228</v>
          </cell>
          <cell r="B1366">
            <v>-7.1453508000000002E-3</v>
          </cell>
          <cell r="C1366">
            <v>-3.179E-3</v>
          </cell>
          <cell r="D1366">
            <v>-2.6045001081145269E-2</v>
          </cell>
        </row>
        <row r="1367">
          <cell r="A1367">
            <v>37229</v>
          </cell>
          <cell r="B1367">
            <v>1.06216E-2</v>
          </cell>
          <cell r="C1367">
            <v>-6.777E-3</v>
          </cell>
          <cell r="D1367">
            <v>-1.4892172141495186E-2</v>
          </cell>
        </row>
        <row r="1368">
          <cell r="A1368">
            <v>37230</v>
          </cell>
          <cell r="B1368">
            <v>1.7949359000000002E-2</v>
          </cell>
          <cell r="C1368">
            <v>5.4860000000000004E-3</v>
          </cell>
          <cell r="D1368">
            <v>-1.4533997357454975E-2</v>
          </cell>
        </row>
        <row r="1369">
          <cell r="A1369">
            <v>37231</v>
          </cell>
          <cell r="B1369">
            <v>-2.3882729000000002E-3</v>
          </cell>
          <cell r="C1369">
            <v>1.2907999999999999E-2</v>
          </cell>
          <cell r="D1369">
            <v>8.3427500358732587E-3</v>
          </cell>
        </row>
        <row r="1370">
          <cell r="A1370">
            <v>37232</v>
          </cell>
          <cell r="B1370">
            <v>-4.9682338999999997E-3</v>
          </cell>
          <cell r="C1370">
            <v>-8.8020000000000008E-3</v>
          </cell>
          <cell r="D1370">
            <v>-4.2371430413775224E-2</v>
          </cell>
        </row>
        <row r="1371">
          <cell r="A1371">
            <v>37235</v>
          </cell>
          <cell r="B1371">
            <v>-1.5213559999999999E-2</v>
          </cell>
          <cell r="C1371">
            <v>-3.9800000000000002E-4</v>
          </cell>
          <cell r="D1371">
            <v>1.7530376311005069E-2</v>
          </cell>
        </row>
        <row r="1372">
          <cell r="A1372">
            <v>37236</v>
          </cell>
          <cell r="B1372">
            <v>-3.5894989999999999E-3</v>
          </cell>
          <cell r="C1372">
            <v>4.7730000000000003E-3</v>
          </cell>
          <cell r="D1372">
            <v>4.0823218804693084E-3</v>
          </cell>
        </row>
        <row r="1373">
          <cell r="A1373">
            <v>37237</v>
          </cell>
          <cell r="B1373">
            <v>-6.7055597999999997E-4</v>
          </cell>
          <cell r="C1373">
            <v>-2.3092999999999999E-2</v>
          </cell>
          <cell r="D1373">
            <v>2.8089632289440836E-3</v>
          </cell>
        </row>
        <row r="1374">
          <cell r="A1374">
            <v>37238</v>
          </cell>
          <cell r="B1374">
            <v>-1.076095E-2</v>
          </cell>
          <cell r="C1374">
            <v>-4.9979999999999998E-3</v>
          </cell>
          <cell r="D1374">
            <v>-2.9243794985224003E-2</v>
          </cell>
        </row>
        <row r="1375">
          <cell r="A1375">
            <v>37239</v>
          </cell>
          <cell r="B1375">
            <v>3.550302E-3</v>
          </cell>
          <cell r="C1375">
            <v>-7.4669999999999997E-3</v>
          </cell>
          <cell r="D1375">
            <v>3.0057055879276762E-2</v>
          </cell>
        </row>
        <row r="1376">
          <cell r="A1376">
            <v>37242</v>
          </cell>
          <cell r="B1376">
            <v>8.4832190000000002E-3</v>
          </cell>
          <cell r="C1376">
            <v>-5.8820000000000001E-3</v>
          </cell>
          <cell r="D1376">
            <v>-5.9334537550965738E-3</v>
          </cell>
        </row>
        <row r="1377">
          <cell r="A1377">
            <v>37243</v>
          </cell>
          <cell r="B1377">
            <v>7.8871697000000001E-3</v>
          </cell>
          <cell r="C1377">
            <v>6.8800000000000003E-4</v>
          </cell>
          <cell r="D1377">
            <v>-2.3572247719495065E-2</v>
          </cell>
        </row>
        <row r="1378">
          <cell r="A1378">
            <v>37244</v>
          </cell>
          <cell r="B1378">
            <v>7.5928940999999998E-3</v>
          </cell>
          <cell r="C1378">
            <v>3.712E-3</v>
          </cell>
          <cell r="D1378">
            <v>-6.2810843626683877E-3</v>
          </cell>
        </row>
        <row r="1379">
          <cell r="A1379">
            <v>37245</v>
          </cell>
          <cell r="B1379">
            <v>-3.1813599999999998E-3</v>
          </cell>
          <cell r="C1379">
            <v>1.3014E-2</v>
          </cell>
          <cell r="D1379">
            <v>6.2173974340899996E-3</v>
          </cell>
        </row>
        <row r="1380">
          <cell r="A1380">
            <v>37246</v>
          </cell>
          <cell r="B1380">
            <v>3.9946469E-3</v>
          </cell>
          <cell r="C1380">
            <v>1.4199E-2</v>
          </cell>
          <cell r="D1380">
            <v>1.4821612886653179E-2</v>
          </cell>
        </row>
        <row r="1381">
          <cell r="A1381">
            <v>37249</v>
          </cell>
          <cell r="B1381">
            <v>4.4072110999999998E-4</v>
          </cell>
          <cell r="C1381">
            <v>7.6E-3</v>
          </cell>
          <cell r="D1381">
            <v>-7.0943201717547089E-3</v>
          </cell>
        </row>
        <row r="1382">
          <cell r="A1382">
            <v>37251</v>
          </cell>
          <cell r="B1382">
            <v>4.435278E-3</v>
          </cell>
          <cell r="C1382">
            <v>5.9550000000000002E-3</v>
          </cell>
          <cell r="D1382">
            <v>-4.4520151104312511E-3</v>
          </cell>
        </row>
        <row r="1383">
          <cell r="A1383">
            <v>37252</v>
          </cell>
          <cell r="B1383">
            <v>6.6230539000000001E-3</v>
          </cell>
          <cell r="C1383">
            <v>-5.7879999999999997E-3</v>
          </cell>
          <cell r="D1383">
            <v>-1.4582057830057615E-2</v>
          </cell>
        </row>
        <row r="1384">
          <cell r="A1384">
            <v>37253</v>
          </cell>
          <cell r="B1384">
            <v>4.0744379999999997E-3</v>
          </cell>
          <cell r="C1384">
            <v>3.97E-4</v>
          </cell>
          <cell r="D1384">
            <v>-7.8643058787399855E-3</v>
          </cell>
        </row>
        <row r="1385">
          <cell r="A1385">
            <v>37256</v>
          </cell>
          <cell r="B1385">
            <v>-7.3557142000000002E-3</v>
          </cell>
          <cell r="C1385">
            <v>-7.4060000000000003E-3</v>
          </cell>
          <cell r="D1385">
            <v>-3.2716155208869502E-3</v>
          </cell>
        </row>
        <row r="1386">
          <cell r="A1386">
            <v>37258</v>
          </cell>
          <cell r="B1386">
            <v>1.0083220000000001E-3</v>
          </cell>
          <cell r="C1386">
            <v>-2.3983999999999998E-2</v>
          </cell>
          <cell r="D1386">
            <v>3.9307026722280369E-2</v>
          </cell>
        </row>
        <row r="1387">
          <cell r="A1387">
            <v>37259</v>
          </cell>
          <cell r="B1387">
            <v>3.7226569999999999E-3</v>
          </cell>
          <cell r="C1387">
            <v>-3.4403000000000003E-2</v>
          </cell>
          <cell r="D1387">
            <v>2.5605899010703315E-3</v>
          </cell>
        </row>
        <row r="1388">
          <cell r="A1388">
            <v>37260</v>
          </cell>
          <cell r="B1388">
            <v>6.7896368000000002E-3</v>
          </cell>
          <cell r="C1388">
            <v>-2.545E-3</v>
          </cell>
          <cell r="D1388">
            <v>2.5636792993557478E-2</v>
          </cell>
        </row>
        <row r="1389">
          <cell r="A1389">
            <v>37263</v>
          </cell>
          <cell r="B1389">
            <v>-5.3953728999999997E-3</v>
          </cell>
          <cell r="C1389">
            <v>-1.1764999999999999E-2</v>
          </cell>
          <cell r="D1389">
            <v>9.2253974498828217E-3</v>
          </cell>
        </row>
        <row r="1390">
          <cell r="A1390">
            <v>37264</v>
          </cell>
          <cell r="B1390">
            <v>-5.6634010000000002E-3</v>
          </cell>
          <cell r="C1390">
            <v>5.594E-3</v>
          </cell>
          <cell r="D1390">
            <v>-2.3365427849357245E-2</v>
          </cell>
        </row>
        <row r="1391">
          <cell r="A1391">
            <v>37265</v>
          </cell>
          <cell r="B1391">
            <v>-4.1088237999999996E-3</v>
          </cell>
          <cell r="C1391">
            <v>2.8530000000000001E-3</v>
          </cell>
          <cell r="D1391">
            <v>2.8478443290318234E-2</v>
          </cell>
        </row>
        <row r="1392">
          <cell r="A1392">
            <v>37266</v>
          </cell>
          <cell r="B1392">
            <v>4.0708650999999999E-4</v>
          </cell>
          <cell r="C1392">
            <v>1.2943E-2</v>
          </cell>
          <cell r="D1392">
            <v>8.0906398639872812E-3</v>
          </cell>
        </row>
        <row r="1393">
          <cell r="A1393">
            <v>37267</v>
          </cell>
          <cell r="B1393">
            <v>-7.8826881999999997E-3</v>
          </cell>
          <cell r="C1393">
            <v>2.2606000000000001E-2</v>
          </cell>
          <cell r="D1393">
            <v>-1.5246436664946295E-3</v>
          </cell>
        </row>
        <row r="1394">
          <cell r="A1394">
            <v>37270</v>
          </cell>
          <cell r="B1394">
            <v>-6.0647399999999999E-3</v>
          </cell>
          <cell r="C1394">
            <v>-1.1396E-2</v>
          </cell>
          <cell r="D1394">
            <v>1.0800531920720058E-2</v>
          </cell>
        </row>
        <row r="1395">
          <cell r="A1395">
            <v>37271</v>
          </cell>
          <cell r="B1395">
            <v>5.8712907999999998E-3</v>
          </cell>
          <cell r="C1395">
            <v>2.3609999999999998E-3</v>
          </cell>
          <cell r="D1395">
            <v>-1.5540032380485957E-2</v>
          </cell>
        </row>
        <row r="1396">
          <cell r="A1396">
            <v>37272</v>
          </cell>
          <cell r="B1396">
            <v>-1.298698E-2</v>
          </cell>
          <cell r="C1396">
            <v>-3.741E-3</v>
          </cell>
          <cell r="D1396">
            <v>-1.0959471092138351E-2</v>
          </cell>
        </row>
        <row r="1397">
          <cell r="A1397">
            <v>37273</v>
          </cell>
          <cell r="B1397">
            <v>7.1566440000000002E-3</v>
          </cell>
          <cell r="C1397">
            <v>-1.975E-2</v>
          </cell>
          <cell r="D1397">
            <v>-3.7676881673756379E-2</v>
          </cell>
        </row>
        <row r="1398">
          <cell r="A1398">
            <v>37274</v>
          </cell>
          <cell r="B1398">
            <v>-5.2945209000000003E-3</v>
          </cell>
          <cell r="C1398">
            <v>1.1918E-2</v>
          </cell>
          <cell r="D1398">
            <v>-8.8500283358200482E-3</v>
          </cell>
        </row>
        <row r="1399">
          <cell r="A1399">
            <v>37278</v>
          </cell>
          <cell r="B1399">
            <v>-3.3756541000000001E-3</v>
          </cell>
          <cell r="C1399">
            <v>4.1223000000000003E-2</v>
          </cell>
          <cell r="D1399">
            <v>-2.858883191867112E-3</v>
          </cell>
        </row>
        <row r="1400">
          <cell r="A1400">
            <v>37279</v>
          </cell>
          <cell r="B1400">
            <v>5.6161917999999998E-3</v>
          </cell>
          <cell r="C1400">
            <v>-5.5209999999999999E-3</v>
          </cell>
          <cell r="D1400">
            <v>2.2943660125823939E-2</v>
          </cell>
        </row>
        <row r="1401">
          <cell r="A1401">
            <v>37280</v>
          </cell>
          <cell r="B1401">
            <v>2.342209E-3</v>
          </cell>
          <cell r="C1401">
            <v>-1.4624E-2</v>
          </cell>
          <cell r="D1401">
            <v>-3.5340119478249443E-2</v>
          </cell>
        </row>
        <row r="1402">
          <cell r="A1402">
            <v>37281</v>
          </cell>
          <cell r="B1402">
            <v>1.8381669999999999E-3</v>
          </cell>
          <cell r="C1402">
            <v>-2.4461E-2</v>
          </cell>
          <cell r="D1402">
            <v>-1.3312904243384494E-2</v>
          </cell>
        </row>
        <row r="1403">
          <cell r="A1403">
            <v>37284</v>
          </cell>
          <cell r="B1403">
            <v>-7.1917108000000001E-4</v>
          </cell>
          <cell r="C1403">
            <v>-2.0143999999999999E-2</v>
          </cell>
          <cell r="D1403">
            <v>1.3194457798888504E-2</v>
          </cell>
        </row>
        <row r="1404">
          <cell r="A1404">
            <v>37285</v>
          </cell>
          <cell r="B1404">
            <v>-2.514247E-2</v>
          </cell>
          <cell r="C1404">
            <v>-2.5158E-2</v>
          </cell>
          <cell r="D1404">
            <v>1.3580167830375967E-2</v>
          </cell>
        </row>
        <row r="1405">
          <cell r="A1405">
            <v>37286</v>
          </cell>
          <cell r="B1405">
            <v>1.006817E-2</v>
          </cell>
          <cell r="C1405">
            <v>5.0140000000000002E-3</v>
          </cell>
          <cell r="D1405">
            <v>-2.808148475847394E-2</v>
          </cell>
        </row>
        <row r="1406">
          <cell r="A1406">
            <v>37287</v>
          </cell>
          <cell r="B1406">
            <v>1.384141E-2</v>
          </cell>
          <cell r="C1406">
            <v>-2.0542999999999999E-2</v>
          </cell>
          <cell r="D1406">
            <v>-2.6178640926343144E-3</v>
          </cell>
        </row>
        <row r="1407">
          <cell r="A1407">
            <v>37288</v>
          </cell>
          <cell r="B1407">
            <v>-5.0603239999999997E-3</v>
          </cell>
          <cell r="C1407">
            <v>3.236E-2</v>
          </cell>
          <cell r="D1407">
            <v>2.7792735254275058E-3</v>
          </cell>
        </row>
        <row r="1408">
          <cell r="A1408">
            <v>37291</v>
          </cell>
          <cell r="B1408">
            <v>-2.2465519999999999E-2</v>
          </cell>
          <cell r="C1408">
            <v>-7.8507999999999994E-2</v>
          </cell>
          <cell r="D1408">
            <v>-1.4014370749937388E-2</v>
          </cell>
        </row>
        <row r="1409">
          <cell r="A1409">
            <v>37292</v>
          </cell>
          <cell r="B1409">
            <v>-3.8262579999999999E-3</v>
          </cell>
          <cell r="C1409">
            <v>5.2441000000000002E-2</v>
          </cell>
          <cell r="D1409">
            <v>-3.3848798929343449E-3</v>
          </cell>
        </row>
        <row r="1410">
          <cell r="A1410">
            <v>37293</v>
          </cell>
          <cell r="B1410">
            <v>-5.438427E-3</v>
          </cell>
          <cell r="C1410">
            <v>-1.5712E-2</v>
          </cell>
          <cell r="D1410">
            <v>3.675731838210794E-4</v>
          </cell>
        </row>
        <row r="1411">
          <cell r="A1411">
            <v>37294</v>
          </cell>
          <cell r="B1411">
            <v>-5.2795269000000001E-5</v>
          </cell>
          <cell r="C1411">
            <v>1.3682E-2</v>
          </cell>
          <cell r="D1411">
            <v>-1.5696956632503145E-2</v>
          </cell>
        </row>
        <row r="1412">
          <cell r="A1412">
            <v>37295</v>
          </cell>
          <cell r="B1412">
            <v>1.462318E-2</v>
          </cell>
          <cell r="C1412">
            <v>2.6544999999999999E-2</v>
          </cell>
          <cell r="D1412">
            <v>1.1462729951421613E-2</v>
          </cell>
        </row>
        <row r="1413">
          <cell r="A1413">
            <v>37298</v>
          </cell>
          <cell r="B1413">
            <v>1.290812E-2</v>
          </cell>
          <cell r="C1413">
            <v>1.0519000000000001E-2</v>
          </cell>
          <cell r="D1413">
            <v>-3.1985827817937462E-5</v>
          </cell>
        </row>
        <row r="1414">
          <cell r="A1414">
            <v>37299</v>
          </cell>
          <cell r="B1414">
            <v>-2.5835330999999999E-3</v>
          </cell>
          <cell r="C1414">
            <v>1.1421000000000001E-2</v>
          </cell>
          <cell r="D1414">
            <v>-1.3675609041944536E-2</v>
          </cell>
        </row>
        <row r="1415">
          <cell r="A1415">
            <v>37300</v>
          </cell>
          <cell r="B1415">
            <v>8.4472288999999992E-3</v>
          </cell>
          <cell r="C1415">
            <v>-1.7149999999999999E-3</v>
          </cell>
          <cell r="D1415">
            <v>-1.6763999311477651E-3</v>
          </cell>
        </row>
        <row r="1416">
          <cell r="A1416">
            <v>37301</v>
          </cell>
          <cell r="B1416">
            <v>-9.8154822000000004E-4</v>
          </cell>
          <cell r="C1416">
            <v>-2.1218999999999998E-2</v>
          </cell>
          <cell r="D1416">
            <v>2.7462161439526955E-2</v>
          </cell>
        </row>
        <row r="1417">
          <cell r="A1417">
            <v>37302</v>
          </cell>
          <cell r="B1417">
            <v>-7.674892E-3</v>
          </cell>
          <cell r="C1417">
            <v>7.7629999999999999E-3</v>
          </cell>
          <cell r="D1417">
            <v>3.0570776089129392E-2</v>
          </cell>
        </row>
        <row r="1418">
          <cell r="A1418">
            <v>37306</v>
          </cell>
          <cell r="B1418">
            <v>-1.6072138999999999E-2</v>
          </cell>
          <cell r="C1418">
            <v>-2.0348999999999999E-2</v>
          </cell>
          <cell r="D1418">
            <v>-9.043131868780141E-3</v>
          </cell>
        </row>
        <row r="1419">
          <cell r="A1419">
            <v>37307</v>
          </cell>
          <cell r="B1419">
            <v>1.2528579999999999E-2</v>
          </cell>
          <cell r="C1419">
            <v>1.5579000000000001E-2</v>
          </cell>
          <cell r="D1419">
            <v>-2.2171153685865974E-3</v>
          </cell>
        </row>
        <row r="1420">
          <cell r="A1420">
            <v>37308</v>
          </cell>
          <cell r="B1420">
            <v>-9.796964E-3</v>
          </cell>
          <cell r="C1420">
            <v>-6.2820000000000001E-2</v>
          </cell>
          <cell r="D1420">
            <v>1.2668741527122718E-2</v>
          </cell>
        </row>
        <row r="1421">
          <cell r="A1421">
            <v>37309</v>
          </cell>
          <cell r="B1421">
            <v>7.8507409999999996E-3</v>
          </cell>
          <cell r="C1421">
            <v>-1.0133E-2</v>
          </cell>
          <cell r="D1421">
            <v>-2.0134718542890173E-2</v>
          </cell>
        </row>
        <row r="1422">
          <cell r="A1422">
            <v>37312</v>
          </cell>
          <cell r="B1422">
            <v>1.413128E-2</v>
          </cell>
          <cell r="C1422">
            <v>-2.0472000000000001E-2</v>
          </cell>
          <cell r="D1422">
            <v>4.6205763573694547E-3</v>
          </cell>
        </row>
        <row r="1423">
          <cell r="A1423">
            <v>37313</v>
          </cell>
          <cell r="B1423">
            <v>1.723359E-3</v>
          </cell>
          <cell r="C1423">
            <v>1.8488999999999998E-2</v>
          </cell>
          <cell r="D1423">
            <v>-2.0382119855388292E-2</v>
          </cell>
        </row>
        <row r="1424">
          <cell r="A1424">
            <v>37314</v>
          </cell>
          <cell r="B1424">
            <v>3.4003940000000002E-3</v>
          </cell>
          <cell r="C1424">
            <v>2.6046E-2</v>
          </cell>
          <cell r="D1424">
            <v>1.6106286828772465E-2</v>
          </cell>
        </row>
        <row r="1425">
          <cell r="A1425">
            <v>37315</v>
          </cell>
          <cell r="B1425">
            <v>-8.2459736999999998E-4</v>
          </cell>
          <cell r="C1425">
            <v>-2.4620000000000002E-3</v>
          </cell>
          <cell r="D1425">
            <v>1.1721070747353624E-2</v>
          </cell>
        </row>
        <row r="1426">
          <cell r="A1426">
            <v>37316</v>
          </cell>
          <cell r="B1426">
            <v>1.7200719999999999E-2</v>
          </cell>
          <cell r="C1426">
            <v>-2.0666E-2</v>
          </cell>
          <cell r="D1426">
            <v>-1.423612762113069E-2</v>
          </cell>
        </row>
        <row r="1427">
          <cell r="A1427">
            <v>37319</v>
          </cell>
          <cell r="B1427">
            <v>1.7741409999999999E-2</v>
          </cell>
          <cell r="C1427">
            <v>-2.8349999999999998E-3</v>
          </cell>
          <cell r="D1427">
            <v>-1.0235582395956011E-2</v>
          </cell>
        </row>
        <row r="1428">
          <cell r="A1428">
            <v>37320</v>
          </cell>
          <cell r="B1428">
            <v>-6.9356961000000003E-3</v>
          </cell>
          <cell r="C1428">
            <v>5.2119999999999996E-3</v>
          </cell>
          <cell r="D1428">
            <v>5.4826164507735253E-3</v>
          </cell>
        </row>
        <row r="1429">
          <cell r="A1429">
            <v>37321</v>
          </cell>
          <cell r="B1429">
            <v>1.422794E-2</v>
          </cell>
          <cell r="C1429">
            <v>2.828E-2</v>
          </cell>
          <cell r="D1429">
            <v>-8.4529296865533121E-3</v>
          </cell>
        </row>
        <row r="1430">
          <cell r="A1430">
            <v>37322</v>
          </cell>
          <cell r="B1430">
            <v>-3.5982729999999999E-3</v>
          </cell>
          <cell r="C1430">
            <v>-1.0695E-2</v>
          </cell>
          <cell r="D1430">
            <v>1.0656238543322871E-3</v>
          </cell>
        </row>
        <row r="1431">
          <cell r="A1431">
            <v>37323</v>
          </cell>
          <cell r="B1431">
            <v>2.3347680000000001E-3</v>
          </cell>
          <cell r="C1431">
            <v>-1.2355E-2</v>
          </cell>
          <cell r="D1431">
            <v>-2.0842997563393362E-2</v>
          </cell>
        </row>
        <row r="1432">
          <cell r="A1432">
            <v>37326</v>
          </cell>
          <cell r="B1432">
            <v>3.5284819999999999E-3</v>
          </cell>
          <cell r="C1432">
            <v>8.6E-3</v>
          </cell>
          <cell r="D1432">
            <v>-5.4756401337491267E-3</v>
          </cell>
        </row>
        <row r="1433">
          <cell r="A1433">
            <v>37327</v>
          </cell>
          <cell r="B1433">
            <v>6.2132679000000005E-4</v>
          </cell>
          <cell r="C1433">
            <v>4.0309999999999999E-3</v>
          </cell>
          <cell r="D1433">
            <v>8.6974399089387866E-3</v>
          </cell>
        </row>
        <row r="1434">
          <cell r="A1434">
            <v>37328</v>
          </cell>
          <cell r="B1434">
            <v>-6.8303212000000004E-3</v>
          </cell>
          <cell r="C1434">
            <v>6.0219999999999996E-3</v>
          </cell>
          <cell r="D1434">
            <v>5.1903699027147532E-2</v>
          </cell>
        </row>
        <row r="1435">
          <cell r="A1435">
            <v>37329</v>
          </cell>
          <cell r="B1435">
            <v>9.8111772000000004E-4</v>
          </cell>
          <cell r="C1435">
            <v>-1.2279999999999999E-3</v>
          </cell>
          <cell r="D1435">
            <v>-2.2684095613467736E-4</v>
          </cell>
        </row>
        <row r="1436">
          <cell r="A1436">
            <v>37330</v>
          </cell>
          <cell r="B1436">
            <v>1.080766E-2</v>
          </cell>
          <cell r="C1436">
            <v>1.0759999999999999E-3</v>
          </cell>
          <cell r="D1436">
            <v>4.1145523128846451E-2</v>
          </cell>
        </row>
        <row r="1437">
          <cell r="A1437">
            <v>37333</v>
          </cell>
          <cell r="B1437">
            <v>4.4220631000000001E-4</v>
          </cell>
          <cell r="C1437">
            <v>5.0660000000000002E-3</v>
          </cell>
          <cell r="D1437">
            <v>6.8101798568500627E-3</v>
          </cell>
        </row>
        <row r="1438">
          <cell r="A1438">
            <v>37334</v>
          </cell>
          <cell r="B1438">
            <v>3.6664129999999999E-3</v>
          </cell>
          <cell r="C1438">
            <v>1.6496E-2</v>
          </cell>
          <cell r="D1438">
            <v>-3.6255656491183119E-3</v>
          </cell>
        </row>
        <row r="1439">
          <cell r="A1439">
            <v>37335</v>
          </cell>
          <cell r="B1439">
            <v>-1.170538E-2</v>
          </cell>
          <cell r="C1439">
            <v>-7.9640000000000006E-3</v>
          </cell>
          <cell r="D1439">
            <v>3.9510396936925929E-3</v>
          </cell>
        </row>
        <row r="1440">
          <cell r="A1440">
            <v>37336</v>
          </cell>
          <cell r="B1440">
            <v>-7.7716698000000002E-4</v>
          </cell>
          <cell r="C1440">
            <v>-1.1815000000000001E-2</v>
          </cell>
          <cell r="D1440">
            <v>1.3968060767939106E-2</v>
          </cell>
        </row>
        <row r="1441">
          <cell r="A1441">
            <v>37337</v>
          </cell>
          <cell r="B1441">
            <v>-3.0011999999999999E-3</v>
          </cell>
          <cell r="C1441">
            <v>2.7590000000000002E-3</v>
          </cell>
          <cell r="D1441">
            <v>-3.8768306020646737E-2</v>
          </cell>
        </row>
        <row r="1442">
          <cell r="A1442">
            <v>37340</v>
          </cell>
          <cell r="B1442">
            <v>-1.273532E-2</v>
          </cell>
          <cell r="C1442">
            <v>-9.1710000000000003E-3</v>
          </cell>
          <cell r="D1442">
            <v>1.6343209716659146E-2</v>
          </cell>
        </row>
        <row r="1443">
          <cell r="A1443">
            <v>37341</v>
          </cell>
          <cell r="B1443">
            <v>5.5697587999999996E-3</v>
          </cell>
          <cell r="C1443">
            <v>-1.5890000000000001E-2</v>
          </cell>
          <cell r="D1443">
            <v>-1.9955447245488811E-3</v>
          </cell>
        </row>
        <row r="1444">
          <cell r="A1444">
            <v>37342</v>
          </cell>
          <cell r="B1444">
            <v>6.4874948000000002E-3</v>
          </cell>
          <cell r="C1444">
            <v>-1.3795E-2</v>
          </cell>
          <cell r="D1444">
            <v>-3.2603590498901935E-3</v>
          </cell>
        </row>
        <row r="1445">
          <cell r="A1445">
            <v>37343</v>
          </cell>
          <cell r="B1445">
            <v>1.224892E-3</v>
          </cell>
          <cell r="C1445">
            <v>2.7659E-2</v>
          </cell>
          <cell r="D1445">
            <v>-1.1704775237206477E-2</v>
          </cell>
        </row>
        <row r="1446">
          <cell r="A1446">
            <v>37347</v>
          </cell>
          <cell r="B1446">
            <v>-3.5661820000000002E-3</v>
          </cell>
          <cell r="C1446">
            <v>-1.0982E-2</v>
          </cell>
          <cell r="D1446">
            <v>-2.2071264075175567E-2</v>
          </cell>
        </row>
        <row r="1447">
          <cell r="A1447">
            <v>37348</v>
          </cell>
          <cell r="B1447">
            <v>-3.0985391E-3</v>
          </cell>
          <cell r="C1447">
            <v>-8.4449999999999994E-3</v>
          </cell>
          <cell r="D1447">
            <v>5.0317263839021464E-3</v>
          </cell>
        </row>
        <row r="1448">
          <cell r="A1448">
            <v>37349</v>
          </cell>
          <cell r="B1448">
            <v>-9.1437017999999991E-3</v>
          </cell>
          <cell r="C1448">
            <v>-1.5772999999999999E-2</v>
          </cell>
          <cell r="D1448">
            <v>3.8827726689352193E-2</v>
          </cell>
        </row>
        <row r="1449">
          <cell r="A1449">
            <v>37350</v>
          </cell>
          <cell r="B1449">
            <v>4.6251678999999999E-4</v>
          </cell>
          <cell r="C1449">
            <v>-4.0384999999999997E-2</v>
          </cell>
          <cell r="D1449">
            <v>9.0902290239003314E-4</v>
          </cell>
        </row>
        <row r="1450">
          <cell r="A1450">
            <v>37351</v>
          </cell>
          <cell r="B1450">
            <v>-4.7366801000000002E-4</v>
          </cell>
          <cell r="C1450">
            <v>-2.4715999999999998E-2</v>
          </cell>
          <cell r="D1450">
            <v>-1.1145234568572304E-2</v>
          </cell>
        </row>
        <row r="1451">
          <cell r="A1451">
            <v>37354</v>
          </cell>
          <cell r="B1451">
            <v>1.541859E-3</v>
          </cell>
          <cell r="C1451">
            <v>-1.1473000000000001E-2</v>
          </cell>
          <cell r="D1451">
            <v>4.8051707118204057E-3</v>
          </cell>
        </row>
        <row r="1452">
          <cell r="A1452">
            <v>37355</v>
          </cell>
          <cell r="B1452">
            <v>-1.109903E-3</v>
          </cell>
          <cell r="C1452">
            <v>1.6802000000000001E-2</v>
          </cell>
          <cell r="D1452">
            <v>-5.3201310201932417E-3</v>
          </cell>
        </row>
        <row r="1453">
          <cell r="A1453">
            <v>37356</v>
          </cell>
          <cell r="B1453">
            <v>1.083859E-2</v>
          </cell>
          <cell r="C1453">
            <v>6.6610000000000003E-2</v>
          </cell>
          <cell r="D1453">
            <v>-2.0216464204117046E-2</v>
          </cell>
        </row>
        <row r="1454">
          <cell r="A1454">
            <v>37357</v>
          </cell>
          <cell r="B1454">
            <v>-2.0800269999999999E-2</v>
          </cell>
          <cell r="C1454">
            <v>-1.7570000000000001E-3</v>
          </cell>
          <cell r="D1454">
            <v>6.7804142157148473E-3</v>
          </cell>
        </row>
        <row r="1455">
          <cell r="A1455">
            <v>37358</v>
          </cell>
          <cell r="B1455">
            <v>5.9848897999999996E-3</v>
          </cell>
          <cell r="C1455">
            <v>-9.4400000000000005E-3</v>
          </cell>
          <cell r="D1455">
            <v>-5.2456243872748276E-3</v>
          </cell>
        </row>
        <row r="1456">
          <cell r="A1456">
            <v>37361</v>
          </cell>
          <cell r="B1456">
            <v>-7.1097920000000002E-3</v>
          </cell>
          <cell r="C1456">
            <v>6.1379000000000003E-2</v>
          </cell>
          <cell r="D1456">
            <v>1.9684910648394505E-2</v>
          </cell>
        </row>
        <row r="1457">
          <cell r="A1457">
            <v>37362</v>
          </cell>
          <cell r="B1457">
            <v>1.8692358999999999E-2</v>
          </cell>
          <cell r="C1457">
            <v>7.7609999999999997E-3</v>
          </cell>
          <cell r="D1457">
            <v>4.2645290581162509E-3</v>
          </cell>
        </row>
        <row r="1458">
          <cell r="A1458">
            <v>37363</v>
          </cell>
          <cell r="B1458">
            <v>-1.6315559999999999E-3</v>
          </cell>
          <cell r="C1458">
            <v>2.7030999999999999E-2</v>
          </cell>
          <cell r="D1458">
            <v>3.954507203178137E-3</v>
          </cell>
        </row>
        <row r="1459">
          <cell r="A1459">
            <v>37364</v>
          </cell>
          <cell r="B1459">
            <v>-8.0112472999999997E-4</v>
          </cell>
          <cell r="C1459">
            <v>5.8799999999999998E-4</v>
          </cell>
          <cell r="D1459">
            <v>2.3962964056689628E-2</v>
          </cell>
        </row>
        <row r="1460">
          <cell r="A1460">
            <v>37365</v>
          </cell>
          <cell r="B1460">
            <v>1.6042529999999999E-3</v>
          </cell>
          <cell r="C1460">
            <v>1.205E-2</v>
          </cell>
          <cell r="D1460">
            <v>-8.9180735186455973E-4</v>
          </cell>
        </row>
        <row r="1461">
          <cell r="A1461">
            <v>37368</v>
          </cell>
          <cell r="B1461">
            <v>-1.3257110000000001E-2</v>
          </cell>
          <cell r="C1461">
            <v>-2.7153E-2</v>
          </cell>
          <cell r="D1461">
            <v>1.9581764246127564E-2</v>
          </cell>
        </row>
        <row r="1462">
          <cell r="A1462">
            <v>37369</v>
          </cell>
          <cell r="B1462">
            <v>-2.6927438999999999E-3</v>
          </cell>
          <cell r="C1462">
            <v>0</v>
          </cell>
          <cell r="D1462">
            <v>1.1073919775603347E-2</v>
          </cell>
        </row>
        <row r="1463">
          <cell r="A1463">
            <v>37370</v>
          </cell>
          <cell r="B1463">
            <v>-5.2335719000000001E-3</v>
          </cell>
          <cell r="C1463">
            <v>5.0749999999999997E-3</v>
          </cell>
          <cell r="D1463">
            <v>-5.9490988041492887E-3</v>
          </cell>
        </row>
        <row r="1464">
          <cell r="A1464">
            <v>37371</v>
          </cell>
          <cell r="B1464">
            <v>-2.211527E-3</v>
          </cell>
          <cell r="C1464">
            <v>-2.9106E-2</v>
          </cell>
          <cell r="D1464">
            <v>-1.7425407900153789E-2</v>
          </cell>
        </row>
        <row r="1465">
          <cell r="A1465">
            <v>37372</v>
          </cell>
          <cell r="B1465">
            <v>-9.7422479000000006E-3</v>
          </cell>
          <cell r="C1465">
            <v>5.3530000000000001E-3</v>
          </cell>
          <cell r="D1465">
            <v>2.0160187708945232E-2</v>
          </cell>
        </row>
        <row r="1466">
          <cell r="A1466">
            <v>37375</v>
          </cell>
          <cell r="B1466">
            <v>-9.8670796000000002E-3</v>
          </cell>
          <cell r="C1466">
            <v>5.6290000000000003E-3</v>
          </cell>
          <cell r="D1466">
            <v>7.2415209355611854E-3</v>
          </cell>
        </row>
        <row r="1467">
          <cell r="A1467">
            <v>37376</v>
          </cell>
          <cell r="B1467">
            <v>1.056227E-2</v>
          </cell>
          <cell r="C1467">
            <v>-2.8739999999999998E-3</v>
          </cell>
          <cell r="D1467">
            <v>-5.6464074169455536E-3</v>
          </cell>
        </row>
        <row r="1468">
          <cell r="A1468">
            <v>37377</v>
          </cell>
          <cell r="B1468">
            <v>1.074107E-2</v>
          </cell>
          <cell r="C1468">
            <v>6.8269999999999997E-3</v>
          </cell>
          <cell r="D1468">
            <v>6.4511394710884407E-3</v>
          </cell>
        </row>
        <row r="1469">
          <cell r="A1469">
            <v>37378</v>
          </cell>
          <cell r="B1469">
            <v>2.3849190000000001E-3</v>
          </cell>
          <cell r="C1469">
            <v>-9.3430000000000006E-3</v>
          </cell>
          <cell r="D1469">
            <v>2.0616832290411224E-2</v>
          </cell>
        </row>
        <row r="1470">
          <cell r="A1470">
            <v>37379</v>
          </cell>
          <cell r="B1470">
            <v>-6.5717492000000001E-3</v>
          </cell>
          <cell r="C1470">
            <v>-1.6733000000000001E-2</v>
          </cell>
          <cell r="D1470">
            <v>1.4308766798618588E-3</v>
          </cell>
        </row>
        <row r="1471">
          <cell r="A1471">
            <v>37382</v>
          </cell>
          <cell r="B1471">
            <v>-1.7581539E-2</v>
          </cell>
          <cell r="C1471">
            <v>-9.9010000000000001E-3</v>
          </cell>
          <cell r="D1471">
            <v>1.3530894037720342E-2</v>
          </cell>
        </row>
        <row r="1472">
          <cell r="A1472">
            <v>37383</v>
          </cell>
          <cell r="B1472">
            <v>-3.8860471000000001E-3</v>
          </cell>
          <cell r="C1472">
            <v>-5.1249999999999997E-2</v>
          </cell>
          <cell r="D1472">
            <v>-1.2329680248084118E-2</v>
          </cell>
        </row>
        <row r="1473">
          <cell r="A1473">
            <v>37384</v>
          </cell>
          <cell r="B1473">
            <v>2.4970579999999999E-2</v>
          </cell>
          <cell r="C1473">
            <v>5.4183000000000002E-2</v>
          </cell>
          <cell r="D1473">
            <v>-1.1835944213654859E-2</v>
          </cell>
        </row>
        <row r="1474">
          <cell r="A1474">
            <v>37385</v>
          </cell>
          <cell r="B1474">
            <v>-1.089537E-2</v>
          </cell>
          <cell r="C1474">
            <v>-4.6242999999999999E-2</v>
          </cell>
          <cell r="D1474">
            <v>2.2173720302295585E-2</v>
          </cell>
        </row>
        <row r="1475">
          <cell r="A1475">
            <v>37386</v>
          </cell>
          <cell r="B1475">
            <v>-1.212382E-2</v>
          </cell>
          <cell r="C1475">
            <v>-6.6174999999999998E-2</v>
          </cell>
          <cell r="D1475">
            <v>1.5110611251408335E-2</v>
          </cell>
        </row>
        <row r="1476">
          <cell r="A1476">
            <v>37389</v>
          </cell>
          <cell r="B1476">
            <v>1.3654390000000001E-2</v>
          </cell>
          <cell r="C1476">
            <v>3.3152000000000001E-2</v>
          </cell>
          <cell r="D1476">
            <v>-1.7048416275717848E-3</v>
          </cell>
        </row>
        <row r="1477">
          <cell r="A1477">
            <v>37390</v>
          </cell>
          <cell r="B1477">
            <v>1.6571638999999999E-2</v>
          </cell>
          <cell r="C1477">
            <v>1.6978E-2</v>
          </cell>
          <cell r="D1477">
            <v>-3.2680742319718403E-3</v>
          </cell>
        </row>
        <row r="1478">
          <cell r="A1478">
            <v>37391</v>
          </cell>
          <cell r="B1478">
            <v>-4.9724699999999997E-3</v>
          </cell>
          <cell r="C1478">
            <v>1.0020000000000001E-3</v>
          </cell>
          <cell r="D1478">
            <v>1.1301141207769705E-2</v>
          </cell>
        </row>
        <row r="1479">
          <cell r="A1479">
            <v>37392</v>
          </cell>
          <cell r="B1479">
            <v>3.6812328999999999E-3</v>
          </cell>
          <cell r="C1479">
            <v>-2.5721999999999998E-2</v>
          </cell>
          <cell r="D1479">
            <v>-8.7391775991029208E-3</v>
          </cell>
        </row>
        <row r="1480">
          <cell r="A1480">
            <v>37393</v>
          </cell>
          <cell r="B1480">
            <v>7.1356598999999998E-3</v>
          </cell>
          <cell r="C1480">
            <v>3.3602E-2</v>
          </cell>
          <cell r="D1480">
            <v>-3.1865055618857108E-2</v>
          </cell>
        </row>
        <row r="1481">
          <cell r="A1481">
            <v>37396</v>
          </cell>
          <cell r="B1481">
            <v>-9.3750794999999994E-3</v>
          </cell>
          <cell r="C1481">
            <v>1.1776E-2</v>
          </cell>
          <cell r="D1481">
            <v>-1.4626969931099687E-3</v>
          </cell>
        </row>
        <row r="1482">
          <cell r="A1482">
            <v>37397</v>
          </cell>
          <cell r="B1482">
            <v>-8.6422097000000003E-3</v>
          </cell>
          <cell r="C1482">
            <v>-3.4425999999999998E-2</v>
          </cell>
          <cell r="D1482">
            <v>-1.2401319415590306E-3</v>
          </cell>
        </row>
        <row r="1483">
          <cell r="A1483">
            <v>37398</v>
          </cell>
          <cell r="B1483">
            <v>3.3135701000000001E-3</v>
          </cell>
          <cell r="C1483">
            <v>-1.1715E-2</v>
          </cell>
          <cell r="D1483">
            <v>1.3758147807759524E-2</v>
          </cell>
        </row>
        <row r="1484">
          <cell r="A1484">
            <v>37399</v>
          </cell>
          <cell r="B1484">
            <v>9.5254769999999992E-3</v>
          </cell>
          <cell r="C1484">
            <v>1.8724999999999999E-2</v>
          </cell>
          <cell r="D1484">
            <v>1.1682903389926835E-3</v>
          </cell>
        </row>
        <row r="1485">
          <cell r="A1485">
            <v>37400</v>
          </cell>
          <cell r="B1485">
            <v>-8.8809943000000002E-3</v>
          </cell>
          <cell r="C1485">
            <v>-8.7690000000000008E-3</v>
          </cell>
          <cell r="D1485">
            <v>3.303365476108322E-2</v>
          </cell>
        </row>
        <row r="1486">
          <cell r="A1486">
            <v>37404</v>
          </cell>
          <cell r="B1486">
            <v>-7.1148770000000004E-3</v>
          </cell>
          <cell r="C1486">
            <v>2.4327999999999999E-2</v>
          </cell>
          <cell r="D1486">
            <v>3.4920795586821374E-3</v>
          </cell>
        </row>
        <row r="1487">
          <cell r="A1487">
            <v>37405</v>
          </cell>
          <cell r="B1487">
            <v>-4.2482967999999998E-3</v>
          </cell>
          <cell r="C1487">
            <v>2.5909000000000001E-2</v>
          </cell>
          <cell r="D1487">
            <v>7.9665120032277326E-3</v>
          </cell>
        </row>
        <row r="1488">
          <cell r="A1488">
            <v>37406</v>
          </cell>
          <cell r="B1488">
            <v>-3.9044849E-3</v>
          </cell>
          <cell r="C1488">
            <v>8.7419999999999998E-3</v>
          </cell>
          <cell r="D1488">
            <v>1.278497505248688E-2</v>
          </cell>
        </row>
        <row r="1489">
          <cell r="A1489">
            <v>37407</v>
          </cell>
          <cell r="B1489">
            <v>4.8264939999999997E-3</v>
          </cell>
          <cell r="C1489">
            <v>1.2678E-2</v>
          </cell>
          <cell r="D1489">
            <v>-3.9819222705058666E-3</v>
          </cell>
        </row>
        <row r="1490">
          <cell r="A1490">
            <v>37410</v>
          </cell>
          <cell r="B1490">
            <v>-2.1888769999999998E-2</v>
          </cell>
          <cell r="C1490">
            <v>3.1700000000000001E-3</v>
          </cell>
          <cell r="D1490">
            <v>8.763506354881434E-3</v>
          </cell>
        </row>
        <row r="1491">
          <cell r="A1491">
            <v>37411</v>
          </cell>
          <cell r="B1491">
            <v>-3.9236662000000002E-3</v>
          </cell>
          <cell r="C1491">
            <v>-1.1532000000000001E-2</v>
          </cell>
          <cell r="D1491">
            <v>1.9935528155786697E-2</v>
          </cell>
        </row>
        <row r="1492">
          <cell r="A1492">
            <v>37412</v>
          </cell>
          <cell r="B1492">
            <v>6.9357702E-3</v>
          </cell>
          <cell r="C1492">
            <v>-7.0320000000000001E-3</v>
          </cell>
          <cell r="D1492">
            <v>7.7346574748107244E-3</v>
          </cell>
        </row>
        <row r="1493">
          <cell r="A1493">
            <v>37413</v>
          </cell>
          <cell r="B1493">
            <v>-1.684035E-2</v>
          </cell>
          <cell r="C1493">
            <v>-2.1568E-2</v>
          </cell>
          <cell r="D1493">
            <v>-1.2851473250335865E-2</v>
          </cell>
        </row>
        <row r="1494">
          <cell r="A1494">
            <v>37414</v>
          </cell>
          <cell r="B1494">
            <v>2.3960799000000001E-3</v>
          </cell>
          <cell r="C1494">
            <v>3.2078000000000002E-2</v>
          </cell>
          <cell r="D1494">
            <v>-1.3854265609552829E-2</v>
          </cell>
        </row>
        <row r="1495">
          <cell r="A1495">
            <v>37417</v>
          </cell>
          <cell r="B1495">
            <v>2.7541909E-3</v>
          </cell>
          <cell r="C1495">
            <v>3.3470000000000001E-3</v>
          </cell>
          <cell r="D1495">
            <v>1.5560530976582498E-2</v>
          </cell>
        </row>
        <row r="1496">
          <cell r="A1496">
            <v>37418</v>
          </cell>
          <cell r="B1496">
            <v>-1.4648370000000001E-2</v>
          </cell>
          <cell r="C1496">
            <v>-2.8594000000000001E-2</v>
          </cell>
          <cell r="D1496">
            <v>1.1783856812977556E-2</v>
          </cell>
        </row>
        <row r="1497">
          <cell r="A1497">
            <v>37419</v>
          </cell>
          <cell r="B1497">
            <v>2.4628520000000002E-3</v>
          </cell>
          <cell r="C1497">
            <v>8.3400000000000002E-3</v>
          </cell>
          <cell r="D1497">
            <v>5.2972201550713915E-3</v>
          </cell>
        </row>
        <row r="1498">
          <cell r="A1498">
            <v>37420</v>
          </cell>
          <cell r="B1498">
            <v>-9.4155696999999993E-3</v>
          </cell>
          <cell r="C1498">
            <v>-4.3790000000000001E-3</v>
          </cell>
          <cell r="D1498">
            <v>-1.7897376954344013E-2</v>
          </cell>
        </row>
        <row r="1499">
          <cell r="A1499">
            <v>37421</v>
          </cell>
          <cell r="B1499">
            <v>-2.267374E-3</v>
          </cell>
          <cell r="C1499">
            <v>2.8832E-2</v>
          </cell>
          <cell r="D1499">
            <v>2.5923722754320533E-2</v>
          </cell>
        </row>
        <row r="1500">
          <cell r="A1500">
            <v>37424</v>
          </cell>
          <cell r="B1500">
            <v>2.5624750000000002E-2</v>
          </cell>
          <cell r="C1500">
            <v>2.9766000000000001E-2</v>
          </cell>
          <cell r="D1500">
            <v>1.5846034713957735E-3</v>
          </cell>
        </row>
        <row r="1501">
          <cell r="A1501">
            <v>37425</v>
          </cell>
          <cell r="B1501">
            <v>1.8238499999999999E-3</v>
          </cell>
          <cell r="C1501">
            <v>-1.8450000000000001E-3</v>
          </cell>
          <cell r="D1501">
            <v>6.0002753111865204E-3</v>
          </cell>
        </row>
        <row r="1502">
          <cell r="A1502">
            <v>37426</v>
          </cell>
          <cell r="B1502">
            <v>-1.2425719999999999E-2</v>
          </cell>
          <cell r="C1502">
            <v>4.6200000000000001E-4</v>
          </cell>
          <cell r="D1502">
            <v>-1.683252388512646E-2</v>
          </cell>
        </row>
        <row r="1503">
          <cell r="A1503">
            <v>37427</v>
          </cell>
          <cell r="B1503">
            <v>-1.074221E-2</v>
          </cell>
          <cell r="C1503">
            <v>-6.9280000000000001E-3</v>
          </cell>
          <cell r="D1503">
            <v>-3.3116559995881589E-3</v>
          </cell>
        </row>
        <row r="1504">
          <cell r="A1504">
            <v>37428</v>
          </cell>
          <cell r="B1504">
            <v>-1.398658E-2</v>
          </cell>
          <cell r="C1504">
            <v>-1.8450000000000001E-2</v>
          </cell>
          <cell r="D1504">
            <v>-2.1735970036765417E-2</v>
          </cell>
        </row>
        <row r="1505">
          <cell r="A1505">
            <v>37431</v>
          </cell>
          <cell r="B1505">
            <v>-1.287131E-3</v>
          </cell>
          <cell r="C1505">
            <v>2.6536000000000001E-2</v>
          </cell>
          <cell r="D1505">
            <v>-3.816890915525839E-3</v>
          </cell>
        </row>
        <row r="1506">
          <cell r="A1506">
            <v>37432</v>
          </cell>
          <cell r="B1506">
            <v>-1.342842E-2</v>
          </cell>
          <cell r="C1506">
            <v>-1.6001999999999999E-2</v>
          </cell>
          <cell r="D1506">
            <v>-1.2739003531196946E-3</v>
          </cell>
        </row>
        <row r="1507">
          <cell r="A1507">
            <v>37433</v>
          </cell>
          <cell r="B1507">
            <v>-4.7007398999999997E-3</v>
          </cell>
          <cell r="C1507">
            <v>-7.8200000000000003E-4</v>
          </cell>
          <cell r="D1507">
            <v>2.017845561211451E-2</v>
          </cell>
        </row>
        <row r="1508">
          <cell r="A1508">
            <v>37434</v>
          </cell>
          <cell r="B1508">
            <v>1.5325510000000001E-2</v>
          </cell>
          <cell r="C1508">
            <v>3.5993999999999998E-2</v>
          </cell>
          <cell r="D1508">
            <v>-6.1320382139836704E-3</v>
          </cell>
        </row>
        <row r="1509">
          <cell r="A1509">
            <v>37435</v>
          </cell>
          <cell r="B1509">
            <v>1.7660389E-3</v>
          </cell>
          <cell r="C1509">
            <v>8.3079999999999994E-3</v>
          </cell>
          <cell r="D1509">
            <v>-8.994095686324366E-4</v>
          </cell>
        </row>
        <row r="1510">
          <cell r="A1510">
            <v>37438</v>
          </cell>
          <cell r="B1510">
            <v>-1.7983129E-2</v>
          </cell>
          <cell r="C1510">
            <v>-3.199E-3</v>
          </cell>
          <cell r="D1510">
            <v>1.1382728983567292E-2</v>
          </cell>
        </row>
        <row r="1511">
          <cell r="A1511">
            <v>37439</v>
          </cell>
          <cell r="B1511">
            <v>-2.0271280999999999E-2</v>
          </cell>
          <cell r="C1511">
            <v>-3.3463E-2</v>
          </cell>
          <cell r="D1511">
            <v>2.4277906836217999E-2</v>
          </cell>
        </row>
        <row r="1512">
          <cell r="A1512">
            <v>37440</v>
          </cell>
          <cell r="B1512">
            <v>1.013709E-3</v>
          </cell>
          <cell r="C1512">
            <v>3.7037E-2</v>
          </cell>
          <cell r="D1512">
            <v>-9.0569769249353449E-3</v>
          </cell>
        </row>
        <row r="1513">
          <cell r="A1513">
            <v>37442</v>
          </cell>
          <cell r="B1513">
            <v>3.1270351000000002E-2</v>
          </cell>
          <cell r="C1513">
            <v>-6.2110000000000004E-3</v>
          </cell>
          <cell r="D1513">
            <v>3.6347348507041133E-2</v>
          </cell>
        </row>
        <row r="1514">
          <cell r="A1514">
            <v>37445</v>
          </cell>
          <cell r="B1514">
            <v>-7.3509630999999999E-3</v>
          </cell>
          <cell r="C1514">
            <v>7.9690000000000004E-3</v>
          </cell>
          <cell r="D1514">
            <v>1.550654783723493E-2</v>
          </cell>
        </row>
        <row r="1515">
          <cell r="A1515">
            <v>37446</v>
          </cell>
          <cell r="B1515">
            <v>-2.2749348999999999E-2</v>
          </cell>
          <cell r="C1515">
            <v>-2.4957E-2</v>
          </cell>
          <cell r="D1515">
            <v>1.4402390581340629E-3</v>
          </cell>
        </row>
        <row r="1516">
          <cell r="A1516">
            <v>37447</v>
          </cell>
          <cell r="B1516">
            <v>-3.0694098999999999E-2</v>
          </cell>
          <cell r="C1516">
            <v>-7.3132000000000003E-2</v>
          </cell>
          <cell r="D1516">
            <v>-1.8927507020482182E-2</v>
          </cell>
        </row>
        <row r="1517">
          <cell r="A1517">
            <v>37448</v>
          </cell>
          <cell r="B1517">
            <v>1.6029340000000001E-3</v>
          </cell>
          <cell r="C1517">
            <v>2.9159999999999998E-2</v>
          </cell>
          <cell r="D1517">
            <v>1.0859094971842342E-2</v>
          </cell>
        </row>
        <row r="1518">
          <cell r="A1518">
            <v>37449</v>
          </cell>
          <cell r="B1518">
            <v>-6.9199418999999996E-3</v>
          </cell>
          <cell r="C1518">
            <v>3.0499999999999999E-2</v>
          </cell>
          <cell r="D1518">
            <v>1.3111167365832621E-2</v>
          </cell>
        </row>
        <row r="1519">
          <cell r="A1519">
            <v>37452</v>
          </cell>
          <cell r="B1519">
            <v>-7.3756630999999998E-3</v>
          </cell>
          <cell r="C1519">
            <v>-3.0890999999999998E-2</v>
          </cell>
          <cell r="D1519">
            <v>-2.4237405205510543E-3</v>
          </cell>
        </row>
        <row r="1520">
          <cell r="A1520">
            <v>37453</v>
          </cell>
          <cell r="B1520">
            <v>-1.6078888999999999E-2</v>
          </cell>
          <cell r="C1520">
            <v>1.335E-3</v>
          </cell>
          <cell r="D1520">
            <v>-2.2703973463724658E-3</v>
          </cell>
        </row>
        <row r="1521">
          <cell r="A1521">
            <v>37454</v>
          </cell>
          <cell r="B1521">
            <v>3.6198429000000002E-3</v>
          </cell>
          <cell r="C1521">
            <v>4.3166999999999997E-2</v>
          </cell>
          <cell r="D1521">
            <v>-3.0362368738165002E-2</v>
          </cell>
        </row>
        <row r="1522">
          <cell r="A1522">
            <v>37455</v>
          </cell>
          <cell r="B1522">
            <v>-2.4115919999999999E-2</v>
          </cell>
          <cell r="C1522">
            <v>-2.3167E-2</v>
          </cell>
          <cell r="D1522">
            <v>5.5517335759676101E-3</v>
          </cell>
        </row>
        <row r="1523">
          <cell r="A1523">
            <v>37456</v>
          </cell>
          <cell r="B1523">
            <v>-3.4137249000000001E-2</v>
          </cell>
          <cell r="C1523">
            <v>-3.4674000000000003E-2</v>
          </cell>
          <cell r="D1523">
            <v>-1.5915870627917328E-2</v>
          </cell>
        </row>
        <row r="1524">
          <cell r="A1524">
            <v>37459</v>
          </cell>
          <cell r="B1524">
            <v>-3.3135499999999998E-2</v>
          </cell>
          <cell r="C1524">
            <v>-5.8624000000000002E-2</v>
          </cell>
          <cell r="D1524">
            <v>1.5633176347461974E-2</v>
          </cell>
        </row>
        <row r="1525">
          <cell r="A1525">
            <v>37460</v>
          </cell>
          <cell r="B1525">
            <v>-2.6882988999999999E-2</v>
          </cell>
          <cell r="C1525">
            <v>-6.9113999999999995E-2</v>
          </cell>
          <cell r="D1525">
            <v>8.2878672174735435E-3</v>
          </cell>
        </row>
        <row r="1526">
          <cell r="A1526">
            <v>37461</v>
          </cell>
          <cell r="B1526">
            <v>5.2827789999999999E-2</v>
          </cell>
          <cell r="C1526">
            <v>6.3418000000000002E-2</v>
          </cell>
          <cell r="D1526">
            <v>-1.1307621694719661E-2</v>
          </cell>
        </row>
        <row r="1527">
          <cell r="A1527">
            <v>37462</v>
          </cell>
          <cell r="B1527">
            <v>1.6013690000000001E-3</v>
          </cell>
          <cell r="C1527">
            <v>1.0909E-2</v>
          </cell>
          <cell r="D1527">
            <v>1.8403220655907715E-2</v>
          </cell>
        </row>
        <row r="1528">
          <cell r="A1528">
            <v>37463</v>
          </cell>
          <cell r="B1528">
            <v>1.422258E-2</v>
          </cell>
          <cell r="C1528">
            <v>1.439E-3</v>
          </cell>
          <cell r="D1528">
            <v>3.0196312279895388E-3</v>
          </cell>
        </row>
        <row r="1529">
          <cell r="A1529">
            <v>37466</v>
          </cell>
          <cell r="B1529">
            <v>5.2141931000000002E-2</v>
          </cell>
          <cell r="C1529">
            <v>3.9870999999999997E-2</v>
          </cell>
          <cell r="D1529">
            <v>-2.8370639821175825E-3</v>
          </cell>
        </row>
        <row r="1530">
          <cell r="A1530">
            <v>37467</v>
          </cell>
          <cell r="B1530">
            <v>4.3177338999999997E-3</v>
          </cell>
          <cell r="C1530">
            <v>1.1226E-2</v>
          </cell>
          <cell r="D1530">
            <v>-6.822889389455522E-3</v>
          </cell>
        </row>
        <row r="1531">
          <cell r="A1531">
            <v>37468</v>
          </cell>
          <cell r="B1531">
            <v>9.3547646000000009E-3</v>
          </cell>
          <cell r="C1531">
            <v>3.3133999999999997E-2</v>
          </cell>
          <cell r="D1531">
            <v>8.7089958288781855E-3</v>
          </cell>
        </row>
        <row r="1532">
          <cell r="A1532">
            <v>37469</v>
          </cell>
          <cell r="B1532">
            <v>-2.3615588999999999E-2</v>
          </cell>
          <cell r="C1532">
            <v>-3.8023000000000001E-2</v>
          </cell>
          <cell r="D1532">
            <v>-9.7336056306945862E-3</v>
          </cell>
        </row>
        <row r="1533">
          <cell r="A1533">
            <v>37470</v>
          </cell>
          <cell r="B1533">
            <v>-2.197263E-2</v>
          </cell>
          <cell r="C1533">
            <v>-8.4209999999999997E-3</v>
          </cell>
          <cell r="D1533">
            <v>-7.9459891934552385E-4</v>
          </cell>
        </row>
        <row r="1534">
          <cell r="A1534">
            <v>37473</v>
          </cell>
          <cell r="B1534">
            <v>-3.2722451E-2</v>
          </cell>
          <cell r="C1534">
            <v>-4.8007000000000001E-2</v>
          </cell>
          <cell r="D1534">
            <v>-2.5427276599556459E-2</v>
          </cell>
        </row>
        <row r="1535">
          <cell r="A1535">
            <v>37474</v>
          </cell>
          <cell r="B1535">
            <v>2.7174509999999999E-2</v>
          </cell>
          <cell r="C1535">
            <v>1.9661000000000001E-2</v>
          </cell>
          <cell r="D1535">
            <v>-1.4334967792279829E-2</v>
          </cell>
        </row>
        <row r="1536">
          <cell r="A1536">
            <v>37475</v>
          </cell>
          <cell r="B1536">
            <v>1.6767760999999999E-2</v>
          </cell>
          <cell r="C1536">
            <v>2.6780999999999999E-2</v>
          </cell>
          <cell r="D1536">
            <v>-9.5154721577284107E-4</v>
          </cell>
        </row>
        <row r="1537">
          <cell r="A1537">
            <v>37476</v>
          </cell>
          <cell r="B1537">
            <v>2.9629961E-2</v>
          </cell>
          <cell r="C1537">
            <v>4.0341000000000002E-2</v>
          </cell>
          <cell r="D1537">
            <v>-5.7185309356904135E-3</v>
          </cell>
        </row>
        <row r="1538">
          <cell r="A1538">
            <v>37477</v>
          </cell>
          <cell r="B1538">
            <v>5.7794949999999999E-3</v>
          </cell>
          <cell r="C1538">
            <v>5.6829999999999997E-3</v>
          </cell>
          <cell r="D1538">
            <v>1.1625456454350758E-2</v>
          </cell>
        </row>
        <row r="1539">
          <cell r="A1539">
            <v>37480</v>
          </cell>
          <cell r="B1539">
            <v>-4.7695651000000004E-3</v>
          </cell>
          <cell r="C1539">
            <v>-7.6449999999999999E-3</v>
          </cell>
          <cell r="D1539">
            <v>1.5978379852507274E-2</v>
          </cell>
        </row>
        <row r="1540">
          <cell r="A1540">
            <v>37481</v>
          </cell>
          <cell r="B1540">
            <v>-1.8425331E-2</v>
          </cell>
          <cell r="C1540">
            <v>-3.1317999999999999E-2</v>
          </cell>
          <cell r="D1540">
            <v>-2.4419205052350623E-4</v>
          </cell>
        </row>
        <row r="1541">
          <cell r="A1541">
            <v>37482</v>
          </cell>
          <cell r="B1541">
            <v>3.2170068000000003E-2</v>
          </cell>
          <cell r="C1541">
            <v>2.9737E-2</v>
          </cell>
          <cell r="D1541">
            <v>8.0025059105182095E-3</v>
          </cell>
        </row>
        <row r="1542">
          <cell r="A1542">
            <v>37483</v>
          </cell>
          <cell r="B1542">
            <v>1.249402E-2</v>
          </cell>
          <cell r="C1542">
            <v>-1.9476E-2</v>
          </cell>
          <cell r="D1542">
            <v>1.2448577939565553E-3</v>
          </cell>
        </row>
        <row r="1543">
          <cell r="A1543">
            <v>37484</v>
          </cell>
          <cell r="B1543">
            <v>-1.5144480000000001E-3</v>
          </cell>
          <cell r="C1543">
            <v>-2.8424999999999999E-2</v>
          </cell>
          <cell r="D1543">
            <v>2.3933256604045328E-2</v>
          </cell>
        </row>
        <row r="1544">
          <cell r="A1544">
            <v>37487</v>
          </cell>
          <cell r="B1544">
            <v>2.0185299E-2</v>
          </cell>
          <cell r="C1544">
            <v>1.2161E-2</v>
          </cell>
          <cell r="D1544">
            <v>1.3593094837727193E-2</v>
          </cell>
        </row>
        <row r="1545">
          <cell r="A1545">
            <v>37488</v>
          </cell>
          <cell r="B1545">
            <v>-1.189515E-2</v>
          </cell>
          <cell r="C1545">
            <v>-7.3130000000000001E-3</v>
          </cell>
          <cell r="D1545">
            <v>-7.1201489535155371E-4</v>
          </cell>
        </row>
        <row r="1546">
          <cell r="A1546">
            <v>37489</v>
          </cell>
          <cell r="B1546">
            <v>1.139226E-2</v>
          </cell>
          <cell r="C1546">
            <v>4.7259000000000002E-2</v>
          </cell>
          <cell r="D1546">
            <v>1.0547110187999031E-2</v>
          </cell>
        </row>
        <row r="1547">
          <cell r="A1547">
            <v>37490</v>
          </cell>
          <cell r="B1547">
            <v>1.3392050000000001E-2</v>
          </cell>
          <cell r="C1547">
            <v>4.0093999999999998E-2</v>
          </cell>
          <cell r="D1547">
            <v>-5.8433969614336556E-3</v>
          </cell>
        </row>
        <row r="1548">
          <cell r="A1548">
            <v>37491</v>
          </cell>
          <cell r="B1548">
            <v>-1.982592E-2</v>
          </cell>
          <cell r="C1548">
            <v>-2.5645000000000001E-2</v>
          </cell>
          <cell r="D1548">
            <v>-7.2341451651802835E-4</v>
          </cell>
        </row>
        <row r="1549">
          <cell r="A1549">
            <v>37494</v>
          </cell>
          <cell r="B1549">
            <v>8.4553855000000008E-3</v>
          </cell>
          <cell r="C1549">
            <v>9.7669999999999996E-3</v>
          </cell>
          <cell r="D1549">
            <v>3.5150039745630579E-3</v>
          </cell>
        </row>
        <row r="1550">
          <cell r="A1550">
            <v>37495</v>
          </cell>
          <cell r="B1550">
            <v>-1.059876E-2</v>
          </cell>
          <cell r="C1550">
            <v>-2.4261999999999999E-2</v>
          </cell>
          <cell r="D1550">
            <v>7.5446677216588487E-3</v>
          </cell>
        </row>
        <row r="1551">
          <cell r="A1551">
            <v>37496</v>
          </cell>
          <cell r="B1551">
            <v>-1.6209660000000001E-2</v>
          </cell>
          <cell r="C1551">
            <v>-1.3441E-2</v>
          </cell>
          <cell r="D1551">
            <v>1.0515379971640648E-2</v>
          </cell>
        </row>
        <row r="1552">
          <cell r="A1552">
            <v>37497</v>
          </cell>
          <cell r="B1552">
            <v>-1.0201260000000001E-3</v>
          </cell>
          <cell r="C1552">
            <v>3.065E-3</v>
          </cell>
          <cell r="D1552">
            <v>6.3370057517575518E-3</v>
          </cell>
        </row>
        <row r="1553">
          <cell r="A1553">
            <v>37498</v>
          </cell>
          <cell r="B1553">
            <v>4.6964319E-4</v>
          </cell>
          <cell r="C1553">
            <v>-3.0560000000000001E-3</v>
          </cell>
          <cell r="D1553">
            <v>1.712763148585017E-2</v>
          </cell>
        </row>
        <row r="1554">
          <cell r="A1554">
            <v>37502</v>
          </cell>
          <cell r="B1554">
            <v>-3.8059338999999998E-2</v>
          </cell>
          <cell r="C1554">
            <v>-4.0361000000000001E-2</v>
          </cell>
          <cell r="D1554">
            <v>6.2809850050389304E-3</v>
          </cell>
        </row>
        <row r="1555">
          <cell r="A1555">
            <v>37503</v>
          </cell>
          <cell r="B1555">
            <v>1.6140900999999999E-2</v>
          </cell>
          <cell r="C1555">
            <v>2.4844999999999999E-2</v>
          </cell>
          <cell r="D1555">
            <v>9.5599393019725198E-3</v>
          </cell>
        </row>
        <row r="1556">
          <cell r="A1556">
            <v>37504</v>
          </cell>
          <cell r="B1556">
            <v>-1.2061560000000001E-2</v>
          </cell>
          <cell r="C1556">
            <v>-2.8745E-2</v>
          </cell>
          <cell r="D1556">
            <v>-5.4662057217296223E-3</v>
          </cell>
        </row>
        <row r="1557">
          <cell r="A1557">
            <v>37505</v>
          </cell>
          <cell r="B1557">
            <v>1.394395E-2</v>
          </cell>
          <cell r="C1557">
            <v>1.7828E-2</v>
          </cell>
          <cell r="D1557">
            <v>1.7487913457162607E-2</v>
          </cell>
        </row>
        <row r="1558">
          <cell r="A1558">
            <v>37508</v>
          </cell>
          <cell r="B1558">
            <v>8.9633027000000001E-3</v>
          </cell>
          <cell r="C1558">
            <v>-1.1386E-2</v>
          </cell>
          <cell r="D1558">
            <v>-9.2604359386114776E-3</v>
          </cell>
        </row>
        <row r="1559">
          <cell r="A1559">
            <v>37509</v>
          </cell>
          <cell r="B1559">
            <v>5.3123422000000003E-3</v>
          </cell>
          <cell r="C1559">
            <v>-2.2679000000000001E-2</v>
          </cell>
          <cell r="D1559">
            <v>-2.7451274362818467E-2</v>
          </cell>
        </row>
        <row r="1560">
          <cell r="A1560">
            <v>37510</v>
          </cell>
          <cell r="B1560">
            <v>1.53166E-3</v>
          </cell>
          <cell r="C1560">
            <v>-1.8492000000000001E-2</v>
          </cell>
          <cell r="D1560">
            <v>1.2224637346035738E-2</v>
          </cell>
        </row>
        <row r="1561">
          <cell r="A1561">
            <v>37511</v>
          </cell>
          <cell r="B1561">
            <v>-2.19537E-2</v>
          </cell>
          <cell r="C1561">
            <v>-2.5860000000000002E-3</v>
          </cell>
          <cell r="D1561">
            <v>5.0375830431266255E-3</v>
          </cell>
        </row>
        <row r="1562">
          <cell r="A1562">
            <v>37512</v>
          </cell>
          <cell r="B1562">
            <v>2.014315E-3</v>
          </cell>
          <cell r="C1562">
            <v>-1.7593000000000001E-2</v>
          </cell>
          <cell r="D1562">
            <v>-5.0965172956635163E-3</v>
          </cell>
        </row>
        <row r="1563">
          <cell r="A1563">
            <v>37515</v>
          </cell>
          <cell r="B1563">
            <v>2.2562081E-3</v>
          </cell>
          <cell r="C1563">
            <v>3.016E-3</v>
          </cell>
          <cell r="D1563">
            <v>2.3866659446140526E-2</v>
          </cell>
        </row>
        <row r="1564">
          <cell r="A1564">
            <v>37516</v>
          </cell>
          <cell r="B1564">
            <v>-1.9585241E-2</v>
          </cell>
          <cell r="C1564">
            <v>-2.8941999999999999E-2</v>
          </cell>
          <cell r="D1564">
            <v>-1.9255848240775642E-3</v>
          </cell>
        </row>
        <row r="1565">
          <cell r="A1565">
            <v>37517</v>
          </cell>
          <cell r="B1565">
            <v>-4.9225477999999996E-3</v>
          </cell>
          <cell r="C1565">
            <v>1.4128E-2</v>
          </cell>
          <cell r="D1565">
            <v>1.4160895327616663E-2</v>
          </cell>
        </row>
        <row r="1566">
          <cell r="A1566">
            <v>37518</v>
          </cell>
          <cell r="B1566">
            <v>-2.8774969000000001E-2</v>
          </cell>
          <cell r="C1566">
            <v>-6.8700000000000002E-3</v>
          </cell>
          <cell r="D1566">
            <v>-2.0656534894849532E-3</v>
          </cell>
        </row>
        <row r="1567">
          <cell r="A1567">
            <v>37519</v>
          </cell>
          <cell r="B1567">
            <v>1.8566209999999999E-3</v>
          </cell>
          <cell r="C1567">
            <v>-4.2083000000000002E-2</v>
          </cell>
          <cell r="D1567">
            <v>-1.7861934901134191E-2</v>
          </cell>
        </row>
        <row r="1568">
          <cell r="A1568">
            <v>37522</v>
          </cell>
          <cell r="B1568">
            <v>-1.1838680000000001E-2</v>
          </cell>
          <cell r="C1568">
            <v>1.4040000000000001E-3</v>
          </cell>
          <cell r="D1568">
            <v>1.5161208631559342E-2</v>
          </cell>
        </row>
        <row r="1569">
          <cell r="A1569">
            <v>37523</v>
          </cell>
          <cell r="B1569">
            <v>-1.763083E-2</v>
          </cell>
          <cell r="C1569">
            <v>-7.4120000000000002E-3</v>
          </cell>
          <cell r="D1569">
            <v>-3.1750356137045466E-2</v>
          </cell>
        </row>
        <row r="1570">
          <cell r="A1570">
            <v>37524</v>
          </cell>
          <cell r="B1570">
            <v>2.1882979E-2</v>
          </cell>
          <cell r="C1570">
            <v>3.2896000000000002E-2</v>
          </cell>
          <cell r="D1570">
            <v>-1.408885197552423E-2</v>
          </cell>
        </row>
        <row r="1571">
          <cell r="A1571">
            <v>37525</v>
          </cell>
          <cell r="B1571">
            <v>2.0802289000000002E-2</v>
          </cell>
          <cell r="C1571">
            <v>3.2238999999999997E-2</v>
          </cell>
          <cell r="D1571">
            <v>-1.5462694573099678E-2</v>
          </cell>
        </row>
        <row r="1572">
          <cell r="A1572">
            <v>37526</v>
          </cell>
          <cell r="B1572">
            <v>-3.0346669E-2</v>
          </cell>
          <cell r="C1572">
            <v>1.1736E-2</v>
          </cell>
          <cell r="D1572">
            <v>1.8349328751239957E-2</v>
          </cell>
        </row>
        <row r="1573">
          <cell r="A1573">
            <v>37529</v>
          </cell>
          <cell r="B1573">
            <v>-9.8824706000000002E-3</v>
          </cell>
          <cell r="C1573">
            <v>1.7774000000000002E-2</v>
          </cell>
          <cell r="D1573">
            <v>-2.0630277173801281E-2</v>
          </cell>
        </row>
        <row r="1574">
          <cell r="A1574">
            <v>37530</v>
          </cell>
          <cell r="B1574">
            <v>3.3314048999999998E-2</v>
          </cell>
          <cell r="C1574">
            <v>7.3499999999999998E-4</v>
          </cell>
          <cell r="D1574">
            <v>2.3439045699748418E-2</v>
          </cell>
        </row>
        <row r="1575">
          <cell r="A1575">
            <v>37531</v>
          </cell>
          <cell r="B1575">
            <v>-2.2769169999999998E-2</v>
          </cell>
          <cell r="C1575">
            <v>-1.0286999999999999E-2</v>
          </cell>
          <cell r="D1575">
            <v>3.5635589740781182E-3</v>
          </cell>
        </row>
        <row r="1576">
          <cell r="A1576">
            <v>37532</v>
          </cell>
          <cell r="B1576">
            <v>-9.7663468000000007E-3</v>
          </cell>
          <cell r="C1576">
            <v>2.5427000000000002E-2</v>
          </cell>
          <cell r="D1576">
            <v>2.5592769313906638E-2</v>
          </cell>
        </row>
        <row r="1577">
          <cell r="A1577">
            <v>37533</v>
          </cell>
          <cell r="B1577">
            <v>-2.2237070000000001E-2</v>
          </cell>
          <cell r="C1577">
            <v>-3.4389000000000003E-2</v>
          </cell>
          <cell r="D1577">
            <v>7.0492533542545477E-3</v>
          </cell>
        </row>
        <row r="1578">
          <cell r="A1578">
            <v>37536</v>
          </cell>
          <cell r="B1578">
            <v>-2.0834221E-2</v>
          </cell>
          <cell r="C1578">
            <v>6.9350000000000002E-3</v>
          </cell>
          <cell r="D1578">
            <v>7.6188589867378642E-3</v>
          </cell>
        </row>
        <row r="1579">
          <cell r="A1579">
            <v>37537</v>
          </cell>
          <cell r="B1579">
            <v>1.506621E-2</v>
          </cell>
          <cell r="C1579">
            <v>3.4438000000000003E-2</v>
          </cell>
          <cell r="D1579">
            <v>-6.7258440475624903E-3</v>
          </cell>
        </row>
        <row r="1580">
          <cell r="A1580">
            <v>37538</v>
          </cell>
          <cell r="B1580">
            <v>-3.0261469999999999E-2</v>
          </cell>
          <cell r="C1580">
            <v>-1.08E-3</v>
          </cell>
          <cell r="D1580">
            <v>9.2137703566275153E-3</v>
          </cell>
        </row>
        <row r="1581">
          <cell r="A1581">
            <v>37539</v>
          </cell>
          <cell r="B1581">
            <v>3.1743280999999998E-2</v>
          </cell>
          <cell r="C1581">
            <v>3.6749999999999998E-2</v>
          </cell>
          <cell r="D1581">
            <v>3.1537905948408884E-3</v>
          </cell>
        </row>
        <row r="1582">
          <cell r="A1582">
            <v>37540</v>
          </cell>
          <cell r="B1582">
            <v>3.5999129999999997E-2</v>
          </cell>
          <cell r="C1582">
            <v>2.6932999999999999E-2</v>
          </cell>
          <cell r="D1582">
            <v>8.4233057280431733E-3</v>
          </cell>
        </row>
        <row r="1583">
          <cell r="A1583">
            <v>37543</v>
          </cell>
          <cell r="B1583">
            <v>6.1797299E-3</v>
          </cell>
          <cell r="C1583">
            <v>1.8613000000000001E-2</v>
          </cell>
          <cell r="D1583">
            <v>5.1836404372416212E-3</v>
          </cell>
        </row>
        <row r="1584">
          <cell r="A1584">
            <v>37544</v>
          </cell>
          <cell r="B1584">
            <v>4.3921019999999998E-2</v>
          </cell>
          <cell r="C1584">
            <v>-2.0265999999999999E-2</v>
          </cell>
          <cell r="D1584">
            <v>-1.2840044225035374E-3</v>
          </cell>
        </row>
        <row r="1585">
          <cell r="A1585">
            <v>37545</v>
          </cell>
          <cell r="B1585">
            <v>-1.9668848999999999E-2</v>
          </cell>
          <cell r="C1585">
            <v>1.3733E-2</v>
          </cell>
          <cell r="D1585">
            <v>6.4137943241298068E-3</v>
          </cell>
        </row>
        <row r="1586">
          <cell r="A1586">
            <v>37546</v>
          </cell>
          <cell r="B1586">
            <v>2.1912171000000001E-2</v>
          </cell>
          <cell r="C1586">
            <v>4.3485999999999997E-2</v>
          </cell>
          <cell r="D1586">
            <v>-2.017878070345136E-2</v>
          </cell>
        </row>
        <row r="1587">
          <cell r="A1587">
            <v>37547</v>
          </cell>
          <cell r="B1587">
            <v>3.2825178999999999E-3</v>
          </cell>
          <cell r="C1587">
            <v>4.8079999999999998E-3</v>
          </cell>
          <cell r="D1587">
            <v>7.4342648465011152E-3</v>
          </cell>
        </row>
        <row r="1588">
          <cell r="A1588">
            <v>37550</v>
          </cell>
          <cell r="B1588">
            <v>1.626033E-2</v>
          </cell>
          <cell r="C1588">
            <v>3.5253E-2</v>
          </cell>
          <cell r="D1588">
            <v>9.2193963660158751E-3</v>
          </cell>
        </row>
        <row r="1589">
          <cell r="A1589">
            <v>37551</v>
          </cell>
          <cell r="B1589">
            <v>-1.081536E-2</v>
          </cell>
          <cell r="C1589">
            <v>-2.6655999999999999E-2</v>
          </cell>
          <cell r="D1589">
            <v>-2.2189553287989217E-2</v>
          </cell>
        </row>
        <row r="1590">
          <cell r="A1590">
            <v>37552</v>
          </cell>
          <cell r="B1590">
            <v>4.5214141999999997E-3</v>
          </cell>
          <cell r="C1590">
            <v>-2.4062E-2</v>
          </cell>
          <cell r="D1590">
            <v>-8.1672849029971184E-3</v>
          </cell>
        </row>
        <row r="1591">
          <cell r="A1591">
            <v>37553</v>
          </cell>
          <cell r="B1591">
            <v>-1.256677E-2</v>
          </cell>
          <cell r="C1591">
            <v>-6.8937999999999999E-2</v>
          </cell>
          <cell r="D1591">
            <v>-1.1865281887324386E-2</v>
          </cell>
        </row>
        <row r="1592">
          <cell r="A1592">
            <v>37554</v>
          </cell>
          <cell r="B1592">
            <v>1.448813E-2</v>
          </cell>
          <cell r="C1592">
            <v>-3.7108000000000002E-2</v>
          </cell>
          <cell r="D1592">
            <v>8.1726437497697813E-3</v>
          </cell>
        </row>
        <row r="1593">
          <cell r="A1593">
            <v>37557</v>
          </cell>
          <cell r="B1593">
            <v>-6.6237338E-3</v>
          </cell>
          <cell r="C1593">
            <v>1.6646000000000001E-2</v>
          </cell>
          <cell r="D1593">
            <v>2.8018551679916959E-2</v>
          </cell>
        </row>
        <row r="1594">
          <cell r="A1594">
            <v>37558</v>
          </cell>
          <cell r="B1594">
            <v>-8.8095971999999998E-3</v>
          </cell>
          <cell r="C1594">
            <v>-2.6516999999999999E-2</v>
          </cell>
          <cell r="D1594">
            <v>2.2250553840039711E-3</v>
          </cell>
        </row>
        <row r="1595">
          <cell r="A1595">
            <v>37559</v>
          </cell>
          <cell r="B1595">
            <v>8.5185635999999992E-3</v>
          </cell>
          <cell r="C1595">
            <v>7.6779999999999999E-3</v>
          </cell>
          <cell r="D1595">
            <v>-2.0459887978485636E-3</v>
          </cell>
        </row>
        <row r="1596">
          <cell r="A1596">
            <v>37560</v>
          </cell>
          <cell r="B1596">
            <v>-4.9843159999999999E-3</v>
          </cell>
          <cell r="C1596">
            <v>-1.2154999999999999E-2</v>
          </cell>
          <cell r="D1596">
            <v>-9.1442382413342571E-4</v>
          </cell>
        </row>
        <row r="1597">
          <cell r="A1597">
            <v>37561</v>
          </cell>
          <cell r="B1597">
            <v>1.5716819E-2</v>
          </cell>
          <cell r="C1597">
            <v>-2.2221999999999999E-2</v>
          </cell>
          <cell r="D1597">
            <v>1.9889942319167186E-2</v>
          </cell>
        </row>
        <row r="1598">
          <cell r="A1598">
            <v>37564</v>
          </cell>
          <cell r="B1598">
            <v>4.9755679999999997E-3</v>
          </cell>
          <cell r="C1598">
            <v>2.3666E-2</v>
          </cell>
          <cell r="D1598">
            <v>-5.7713376977752695E-3</v>
          </cell>
        </row>
        <row r="1599">
          <cell r="A1599">
            <v>37565</v>
          </cell>
          <cell r="B1599">
            <v>6.8802958999999997E-3</v>
          </cell>
          <cell r="C1599">
            <v>-4.7710000000000001E-3</v>
          </cell>
          <cell r="D1599">
            <v>1.9950148549667812E-3</v>
          </cell>
        </row>
        <row r="1600">
          <cell r="A1600">
            <v>37566</v>
          </cell>
          <cell r="B1600">
            <v>9.0623638000000006E-3</v>
          </cell>
          <cell r="C1600">
            <v>3.1526999999999999E-2</v>
          </cell>
          <cell r="D1600">
            <v>7.9800863899259777E-3</v>
          </cell>
        </row>
        <row r="1601">
          <cell r="A1601">
            <v>37567</v>
          </cell>
          <cell r="B1601">
            <v>-2.0111561E-2</v>
          </cell>
          <cell r="C1601">
            <v>-1.966E-2</v>
          </cell>
          <cell r="D1601">
            <v>-2.701601697698508E-3</v>
          </cell>
        </row>
        <row r="1602">
          <cell r="A1602">
            <v>37568</v>
          </cell>
          <cell r="B1602">
            <v>-7.9090036000000006E-3</v>
          </cell>
          <cell r="C1602">
            <v>7.293E-3</v>
          </cell>
          <cell r="D1602">
            <v>-1.6122111976086817E-2</v>
          </cell>
        </row>
        <row r="1603">
          <cell r="A1603">
            <v>37571</v>
          </cell>
          <cell r="B1603">
            <v>-1.845987E-2</v>
          </cell>
          <cell r="C1603">
            <v>-5.0679999999999996E-3</v>
          </cell>
          <cell r="D1603">
            <v>-5.9974188731224398E-3</v>
          </cell>
        </row>
        <row r="1604">
          <cell r="A1604">
            <v>37572</v>
          </cell>
          <cell r="B1604">
            <v>5.1688892000000004E-3</v>
          </cell>
          <cell r="C1604">
            <v>2.0010000000000002E-3</v>
          </cell>
          <cell r="D1604">
            <v>2.299795857906739E-2</v>
          </cell>
        </row>
        <row r="1605">
          <cell r="A1605">
            <v>37573</v>
          </cell>
          <cell r="B1605">
            <v>-2.3890870999999998E-3</v>
          </cell>
          <cell r="C1605">
            <v>1.2911000000000001E-2</v>
          </cell>
          <cell r="D1605">
            <v>-2.4639467774836277E-3</v>
          </cell>
        </row>
        <row r="1606">
          <cell r="A1606">
            <v>37574</v>
          </cell>
          <cell r="B1606">
            <v>2.1268018999999999E-2</v>
          </cell>
          <cell r="C1606">
            <v>7.1809999999999999E-3</v>
          </cell>
          <cell r="D1606">
            <v>-1.9837996306848793E-2</v>
          </cell>
        </row>
        <row r="1607">
          <cell r="A1607">
            <v>37575</v>
          </cell>
          <cell r="B1607">
            <v>7.5415960000000002E-3</v>
          </cell>
          <cell r="C1607">
            <v>6.7739999999999996E-3</v>
          </cell>
          <cell r="D1607">
            <v>-1.2193878459369589E-2</v>
          </cell>
        </row>
        <row r="1608">
          <cell r="A1608">
            <v>37578</v>
          </cell>
          <cell r="B1608">
            <v>-8.2605360000000006E-3</v>
          </cell>
          <cell r="C1608">
            <v>-6.3740000000000003E-3</v>
          </cell>
          <cell r="D1608">
            <v>-1.4556369886468912E-2</v>
          </cell>
        </row>
        <row r="1609">
          <cell r="A1609">
            <v>37579</v>
          </cell>
          <cell r="B1609">
            <v>-2.601454E-3</v>
          </cell>
          <cell r="C1609">
            <v>1.4789999999999999E-2</v>
          </cell>
          <cell r="D1609">
            <v>9.8880507055649769E-3</v>
          </cell>
        </row>
        <row r="1610">
          <cell r="A1610">
            <v>37580</v>
          </cell>
          <cell r="B1610">
            <v>1.5287719999999999E-2</v>
          </cell>
          <cell r="C1610">
            <v>1.5628E-2</v>
          </cell>
          <cell r="D1610">
            <v>-9.6809246270868066E-3</v>
          </cell>
        </row>
        <row r="1611">
          <cell r="A1611">
            <v>37581</v>
          </cell>
          <cell r="B1611">
            <v>1.8321720999999999E-2</v>
          </cell>
          <cell r="C1611">
            <v>1.4177E-2</v>
          </cell>
          <cell r="D1611">
            <v>5.8054862842891186E-3</v>
          </cell>
        </row>
        <row r="1612">
          <cell r="A1612">
            <v>37582</v>
          </cell>
          <cell r="B1612">
            <v>-2.597509E-3</v>
          </cell>
          <cell r="C1612">
            <v>-2.0460000000000001E-3</v>
          </cell>
          <cell r="D1612">
            <v>2.8973936845445802E-2</v>
          </cell>
        </row>
        <row r="1613">
          <cell r="A1613">
            <v>37585</v>
          </cell>
          <cell r="B1613">
            <v>2.0768700999999998E-3</v>
          </cell>
          <cell r="C1613">
            <v>3.9973000000000002E-2</v>
          </cell>
          <cell r="D1613">
            <v>-1.5870950538213746E-3</v>
          </cell>
        </row>
        <row r="1614">
          <cell r="A1614">
            <v>37586</v>
          </cell>
          <cell r="B1614">
            <v>-1.8416789999999999E-2</v>
          </cell>
          <cell r="C1614">
            <v>-2.8087999999999998E-2</v>
          </cell>
          <cell r="D1614">
            <v>4.5371685815553953E-3</v>
          </cell>
        </row>
        <row r="1615">
          <cell r="A1615">
            <v>37587</v>
          </cell>
          <cell r="B1615">
            <v>2.6475849999999999E-2</v>
          </cell>
          <cell r="C1615">
            <v>-3.2109999999999999E-3</v>
          </cell>
          <cell r="D1615">
            <v>5.4344257175027444E-3</v>
          </cell>
        </row>
        <row r="1616">
          <cell r="A1616">
            <v>37589</v>
          </cell>
          <cell r="B1616">
            <v>-1.7253640000000001E-3</v>
          </cell>
          <cell r="C1616">
            <v>-3.2209999999999999E-3</v>
          </cell>
          <cell r="D1616">
            <v>1.4330636913656214E-2</v>
          </cell>
        </row>
        <row r="1617">
          <cell r="A1617">
            <v>37592</v>
          </cell>
          <cell r="B1617">
            <v>-1.0478289999999999E-3</v>
          </cell>
          <cell r="C1617">
            <v>-4.0819999999999997E-3</v>
          </cell>
          <cell r="D1617">
            <v>-5.1213835430989896E-3</v>
          </cell>
        </row>
        <row r="1618">
          <cell r="A1618">
            <v>37593</v>
          </cell>
          <cell r="B1618">
            <v>-1.2645979999999999E-2</v>
          </cell>
          <cell r="C1618">
            <v>-4.6109999999999996E-3</v>
          </cell>
          <cell r="D1618">
            <v>-9.1383956267038213E-3</v>
          </cell>
        </row>
        <row r="1619">
          <cell r="A1619">
            <v>37594</v>
          </cell>
          <cell r="B1619">
            <v>-1.7494419999999999E-3</v>
          </cell>
          <cell r="C1619">
            <v>-6.1770000000000002E-3</v>
          </cell>
          <cell r="D1619">
            <v>4.3174040771589706E-3</v>
          </cell>
        </row>
        <row r="1620">
          <cell r="A1620">
            <v>37595</v>
          </cell>
          <cell r="B1620">
            <v>-1.0101519999999999E-2</v>
          </cell>
          <cell r="C1620">
            <v>6.561E-3</v>
          </cell>
          <cell r="D1620">
            <v>-1.6318158889089829E-2</v>
          </cell>
        </row>
        <row r="1621">
          <cell r="A1621">
            <v>37596</v>
          </cell>
          <cell r="B1621">
            <v>5.1666600999999996E-3</v>
          </cell>
          <cell r="C1621">
            <v>-5.3169999999999997E-3</v>
          </cell>
          <cell r="D1621">
            <v>3.4896753021615989E-3</v>
          </cell>
        </row>
        <row r="1622">
          <cell r="A1622">
            <v>37599</v>
          </cell>
          <cell r="B1622">
            <v>-1.7727389999999999E-2</v>
          </cell>
          <cell r="C1622">
            <v>-5.8630000000000002E-3</v>
          </cell>
          <cell r="D1622">
            <v>-2.1275022939871047E-2</v>
          </cell>
        </row>
        <row r="1623">
          <cell r="A1623">
            <v>37600</v>
          </cell>
          <cell r="B1623">
            <v>1.3413980000000001E-2</v>
          </cell>
          <cell r="C1623">
            <v>1.5264E-2</v>
          </cell>
          <cell r="D1623">
            <v>-1.4925128070405469E-3</v>
          </cell>
        </row>
        <row r="1624">
          <cell r="A1624">
            <v>37601</v>
          </cell>
          <cell r="B1624">
            <v>2.5968661000000002E-4</v>
          </cell>
          <cell r="C1624">
            <v>0</v>
          </cell>
          <cell r="D1624">
            <v>2.0720864419014884E-2</v>
          </cell>
        </row>
        <row r="1625">
          <cell r="A1625">
            <v>37602</v>
          </cell>
          <cell r="B1625">
            <v>-3.1393529000000001E-3</v>
          </cell>
          <cell r="C1625">
            <v>-6.8339999999999998E-3</v>
          </cell>
          <cell r="D1625">
            <v>3.1172873317311112E-3</v>
          </cell>
        </row>
        <row r="1626">
          <cell r="A1626">
            <v>37603</v>
          </cell>
          <cell r="B1626">
            <v>-1.003681E-2</v>
          </cell>
          <cell r="C1626">
            <v>-2.0639999999999999E-3</v>
          </cell>
          <cell r="D1626">
            <v>-1.4439499764721697E-2</v>
          </cell>
        </row>
        <row r="1627">
          <cell r="A1627">
            <v>37606</v>
          </cell>
          <cell r="B1627">
            <v>2.0227060000000002E-2</v>
          </cell>
          <cell r="C1627">
            <v>9.6539999999999994E-3</v>
          </cell>
          <cell r="D1627">
            <v>1.3166556945358732E-3</v>
          </cell>
        </row>
        <row r="1628">
          <cell r="A1628">
            <v>37607</v>
          </cell>
          <cell r="B1628">
            <v>-8.1832538999999996E-3</v>
          </cell>
          <cell r="C1628">
            <v>-1.5708E-2</v>
          </cell>
          <cell r="D1628">
            <v>-1.3051601018090331E-3</v>
          </cell>
        </row>
        <row r="1629">
          <cell r="A1629">
            <v>37608</v>
          </cell>
          <cell r="B1629">
            <v>-1.116963E-2</v>
          </cell>
          <cell r="C1629">
            <v>-1.3877E-2</v>
          </cell>
          <cell r="D1629">
            <v>1.9734976746914601E-2</v>
          </cell>
        </row>
        <row r="1630">
          <cell r="A1630">
            <v>37609</v>
          </cell>
          <cell r="B1630">
            <v>-7.0382737999999997E-3</v>
          </cell>
          <cell r="C1630">
            <v>-5.4529000000000001E-2</v>
          </cell>
          <cell r="D1630">
            <v>-2.8987221013977438E-3</v>
          </cell>
        </row>
        <row r="1631">
          <cell r="A1631">
            <v>37610</v>
          </cell>
          <cell r="B1631">
            <v>1.2680179999999999E-2</v>
          </cell>
          <cell r="C1631">
            <v>-1.302E-3</v>
          </cell>
          <cell r="D1631">
            <v>2.3366170976908407E-3</v>
          </cell>
        </row>
        <row r="1632">
          <cell r="A1632">
            <v>37613</v>
          </cell>
          <cell r="B1632">
            <v>1.3334840000000001E-4</v>
          </cell>
          <cell r="C1632">
            <v>-1.7510999999999999E-2</v>
          </cell>
          <cell r="D1632">
            <v>1.0088945809090255E-2</v>
          </cell>
        </row>
        <row r="1633">
          <cell r="A1633">
            <v>37614</v>
          </cell>
          <cell r="B1633">
            <v>-4.3979468999999997E-3</v>
          </cell>
          <cell r="C1633">
            <v>0.10295799999999999</v>
          </cell>
          <cell r="D1633">
            <v>-2.6925335616946322E-3</v>
          </cell>
        </row>
        <row r="1634">
          <cell r="A1634">
            <v>37616</v>
          </cell>
          <cell r="B1634">
            <v>-1.254188E-3</v>
          </cell>
          <cell r="C1634">
            <v>1.0658000000000001E-2</v>
          </cell>
          <cell r="D1634">
            <v>2.3014192614505546E-3</v>
          </cell>
        </row>
        <row r="1635">
          <cell r="A1635">
            <v>37617</v>
          </cell>
          <cell r="B1635">
            <v>-1.52321E-2</v>
          </cell>
          <cell r="C1635">
            <v>-1.1226E-2</v>
          </cell>
          <cell r="D1635">
            <v>1.7015151323207078E-2</v>
          </cell>
        </row>
        <row r="1636">
          <cell r="A1636">
            <v>37620</v>
          </cell>
          <cell r="B1636">
            <v>5.6926631000000002E-3</v>
          </cell>
          <cell r="C1636">
            <v>-3.9569999999999996E-3</v>
          </cell>
          <cell r="D1636">
            <v>5.6365133960611935E-4</v>
          </cell>
        </row>
        <row r="1637">
          <cell r="A1637">
            <v>37621</v>
          </cell>
          <cell r="B1637">
            <v>2.8532329000000001E-3</v>
          </cell>
          <cell r="C1637">
            <v>-4.836E-3</v>
          </cell>
          <cell r="D1637">
            <v>-2.7715401266410478E-3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E4B8-66CA-46B3-B6CE-EE2048D36BC2}">
  <sheetPr codeName="Sheet8"/>
  <dimension ref="A1:M6"/>
  <sheetViews>
    <sheetView topLeftCell="B1" workbookViewId="0">
      <selection activeCell="L3" sqref="L3"/>
    </sheetView>
  </sheetViews>
  <sheetFormatPr defaultRowHeight="13.2" x14ac:dyDescent="0.25"/>
  <cols>
    <col min="1" max="1" width="12.6640625" customWidth="1"/>
    <col min="2" max="3" width="8.6640625" customWidth="1"/>
    <col min="4" max="5" width="12.6640625" customWidth="1"/>
    <col min="6" max="6" width="8.6640625" customWidth="1"/>
    <col min="7" max="7" width="10.109375" bestFit="1" customWidth="1"/>
    <col min="8" max="8" width="8.6640625" customWidth="1"/>
    <col min="9" max="12" width="12.6640625" customWidth="1"/>
  </cols>
  <sheetData>
    <row r="1" spans="1:13" ht="17.399999999999999" x14ac:dyDescent="0.3">
      <c r="A1" s="71" t="s">
        <v>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x14ac:dyDescent="0.25">
      <c r="A2" s="8">
        <f>'ICICI Securities'!A11</f>
        <v>44713</v>
      </c>
      <c r="D2" s="8">
        <f>'ICICI Securities'!A275</f>
        <v>45100</v>
      </c>
      <c r="E2" s="8">
        <f>'ICICI Securities'!A276</f>
        <v>45103</v>
      </c>
      <c r="G2" s="8">
        <f>'ICICI Securities'!A279</f>
        <v>45107</v>
      </c>
      <c r="I2" s="8">
        <f>'ICICI Securities'!A282</f>
        <v>45112</v>
      </c>
      <c r="J2" s="8">
        <f>'ICICI Securities'!A283</f>
        <v>45113</v>
      </c>
      <c r="L2" s="8">
        <f>'ICICI Securities'!A299</f>
        <v>45135</v>
      </c>
    </row>
    <row r="3" spans="1:13" s="1" customFormat="1" ht="15.6" x14ac:dyDescent="0.25">
      <c r="A3" s="2" t="s">
        <v>7</v>
      </c>
      <c r="B3" s="2"/>
      <c r="D3" s="2" t="s">
        <v>8</v>
      </c>
      <c r="E3" s="2" t="s">
        <v>9</v>
      </c>
      <c r="G3" s="1">
        <v>0</v>
      </c>
      <c r="I3" s="2" t="s">
        <v>10</v>
      </c>
      <c r="J3" s="2" t="s">
        <v>11</v>
      </c>
      <c r="K3" s="2"/>
      <c r="L3" s="2" t="s">
        <v>12</v>
      </c>
    </row>
    <row r="6" spans="1:13" s="1" customFormat="1" ht="44.25" customHeight="1" x14ac:dyDescent="0.25">
      <c r="A6" s="1" t="s">
        <v>2</v>
      </c>
      <c r="D6" s="1" t="s">
        <v>1</v>
      </c>
      <c r="E6" s="1" t="s">
        <v>3</v>
      </c>
      <c r="G6" s="1" t="s">
        <v>13</v>
      </c>
      <c r="I6" s="1" t="s">
        <v>4</v>
      </c>
      <c r="J6" s="1" t="s">
        <v>5</v>
      </c>
      <c r="L6" s="1" t="s">
        <v>6</v>
      </c>
    </row>
  </sheetData>
  <mergeCells count="1">
    <mergeCell ref="A1:M1"/>
  </mergeCells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3C41-9D11-48AE-8D52-B1DA242815EF}">
  <sheetPr codeName="Sheet3"/>
  <dimension ref="A1:Q1098"/>
  <sheetViews>
    <sheetView zoomScaleNormal="100" workbookViewId="0">
      <pane ySplit="2" topLeftCell="A358" activePane="bottomLeft" state="frozen"/>
      <selection pane="bottomLeft" activeCell="L3" sqref="L3"/>
    </sheetView>
  </sheetViews>
  <sheetFormatPr defaultRowHeight="13.2" x14ac:dyDescent="0.25"/>
  <cols>
    <col min="1" max="1" width="11.6640625" style="21" customWidth="1"/>
    <col min="2" max="2" width="9.33203125" hidden="1" customWidth="1"/>
    <col min="3" max="3" width="10.109375" hidden="1" customWidth="1"/>
    <col min="4" max="4" width="11.88671875" customWidth="1"/>
    <col min="5" max="5" width="11.109375" customWidth="1"/>
    <col min="6" max="6" width="10.109375" hidden="1" customWidth="1"/>
    <col min="7" max="7" width="8" style="7" bestFit="1" customWidth="1"/>
    <col min="8" max="8" width="9.5546875" customWidth="1"/>
    <col min="9" max="9" width="10.109375" hidden="1" customWidth="1"/>
    <col min="10" max="10" width="9.6640625" style="7" customWidth="1"/>
    <col min="11" max="11" width="10.88671875" customWidth="1"/>
    <col min="13" max="13" width="13.21875" bestFit="1" customWidth="1"/>
    <col min="14" max="14" width="10.33203125" customWidth="1"/>
    <col min="15" max="15" width="12.77734375" bestFit="1" customWidth="1"/>
  </cols>
  <sheetData>
    <row r="1" spans="1:17" x14ac:dyDescent="0.25">
      <c r="A1" s="39"/>
      <c r="B1" s="39" t="s">
        <v>16</v>
      </c>
      <c r="C1" s="40"/>
      <c r="D1" s="41" t="s">
        <v>1098</v>
      </c>
      <c r="E1" s="40"/>
      <c r="F1" s="40"/>
      <c r="G1" s="41" t="s">
        <v>1099</v>
      </c>
      <c r="H1" s="40"/>
      <c r="I1" s="40"/>
      <c r="J1" s="41" t="s">
        <v>1100</v>
      </c>
      <c r="K1" s="40"/>
    </row>
    <row r="2" spans="1:17" x14ac:dyDescent="0.25">
      <c r="A2" s="42" t="s">
        <v>0</v>
      </c>
      <c r="B2" s="43" t="s">
        <v>17</v>
      </c>
      <c r="C2" s="43" t="s">
        <v>18</v>
      </c>
      <c r="D2" s="43" t="s">
        <v>17</v>
      </c>
      <c r="E2" s="43" t="s">
        <v>18</v>
      </c>
      <c r="F2" s="43" t="s">
        <v>19</v>
      </c>
      <c r="G2" s="44" t="s">
        <v>17</v>
      </c>
      <c r="H2" s="43" t="s">
        <v>18</v>
      </c>
      <c r="I2" s="43" t="s">
        <v>19</v>
      </c>
      <c r="J2" s="44" t="s">
        <v>17</v>
      </c>
      <c r="K2" s="43" t="s">
        <v>18</v>
      </c>
    </row>
    <row r="3" spans="1:17" x14ac:dyDescent="0.25">
      <c r="A3" s="8">
        <v>44378</v>
      </c>
      <c r="B3">
        <v>4709.38</v>
      </c>
      <c r="D3" s="35">
        <v>8325.5499999999993</v>
      </c>
      <c r="F3">
        <v>1893100</v>
      </c>
      <c r="G3">
        <v>660.15</v>
      </c>
      <c r="I3">
        <v>4101600</v>
      </c>
      <c r="J3" s="38" t="s">
        <v>44</v>
      </c>
    </row>
    <row r="4" spans="1:17" x14ac:dyDescent="0.25">
      <c r="A4" s="8">
        <v>44379</v>
      </c>
      <c r="B4">
        <v>4638.05</v>
      </c>
      <c r="C4">
        <f t="shared" ref="C4:C67" si="0">B4/B3-1</f>
        <v>-1.5146367462383514E-2</v>
      </c>
      <c r="D4" s="35">
        <v>8307.85</v>
      </c>
      <c r="E4" s="45">
        <f>D4/D3-1</f>
        <v>-2.1259856706161706E-3</v>
      </c>
      <c r="F4">
        <v>3458800</v>
      </c>
      <c r="G4">
        <v>692.75</v>
      </c>
      <c r="H4" s="45">
        <f t="shared" ref="H4:H67" si="1">G4/G3-1</f>
        <v>4.9382716049382713E-2</v>
      </c>
      <c r="I4">
        <v>3528400</v>
      </c>
      <c r="J4" s="38" t="s">
        <v>45</v>
      </c>
      <c r="K4" s="45">
        <f t="shared" ref="K4:K67" si="2">J4/J3-1</f>
        <v>1.4900531029563346E-2</v>
      </c>
      <c r="M4" t="s">
        <v>20</v>
      </c>
      <c r="N4" s="8">
        <v>38168</v>
      </c>
      <c r="O4" s="9">
        <f>N4</f>
        <v>38168</v>
      </c>
      <c r="Q4">
        <f>G4/G3-1</f>
        <v>4.9382716049382713E-2</v>
      </c>
    </row>
    <row r="5" spans="1:17" x14ac:dyDescent="0.25">
      <c r="A5" s="8">
        <v>44382</v>
      </c>
      <c r="B5">
        <v>4673.75</v>
      </c>
      <c r="C5">
        <f t="shared" si="0"/>
        <v>7.697200332036136E-3</v>
      </c>
      <c r="D5" s="35">
        <v>8326.5</v>
      </c>
      <c r="E5" s="45">
        <f t="shared" ref="E5:E68" si="3">D5/D4-1</f>
        <v>2.2448647965478408E-3</v>
      </c>
      <c r="F5">
        <v>4386200</v>
      </c>
      <c r="G5">
        <v>688.9</v>
      </c>
      <c r="H5" s="45">
        <f t="shared" si="1"/>
        <v>-5.5575604474918938E-3</v>
      </c>
      <c r="I5">
        <v>3692300</v>
      </c>
      <c r="J5" s="38" t="s">
        <v>46</v>
      </c>
      <c r="K5" s="45">
        <f t="shared" si="2"/>
        <v>1.1870363139398599E-2</v>
      </c>
      <c r="M5" t="s">
        <v>21</v>
      </c>
      <c r="N5" s="8">
        <v>38717</v>
      </c>
      <c r="O5" s="9">
        <f>N5</f>
        <v>38717</v>
      </c>
      <c r="Q5">
        <f>G5/G4-1</f>
        <v>-5.5575604474918938E-3</v>
      </c>
    </row>
    <row r="6" spans="1:17" x14ac:dyDescent="0.25">
      <c r="A6" s="8">
        <v>44383</v>
      </c>
      <c r="B6">
        <v>4626.0200000000004</v>
      </c>
      <c r="C6">
        <f t="shared" si="0"/>
        <v>-1.0212356244985177E-2</v>
      </c>
      <c r="D6" s="35">
        <v>8382.1</v>
      </c>
      <c r="E6" s="45">
        <f t="shared" si="3"/>
        <v>6.6774755299345845E-3</v>
      </c>
      <c r="F6">
        <v>4438200</v>
      </c>
      <c r="G6">
        <v>712.25</v>
      </c>
      <c r="H6" s="45">
        <f t="shared" si="1"/>
        <v>3.3894614602990369E-2</v>
      </c>
      <c r="I6">
        <v>3590300</v>
      </c>
      <c r="J6" s="38" t="s">
        <v>43</v>
      </c>
      <c r="K6" s="45">
        <f t="shared" si="2"/>
        <v>3.7817396002159942E-3</v>
      </c>
      <c r="O6" s="10">
        <f>O5-O4</f>
        <v>549</v>
      </c>
      <c r="Q6">
        <f>G6/G5-1</f>
        <v>3.3894614602990369E-2</v>
      </c>
    </row>
    <row r="7" spans="1:17" x14ac:dyDescent="0.25">
      <c r="A7" s="8">
        <v>44384</v>
      </c>
      <c r="B7">
        <v>4645.1000000000004</v>
      </c>
      <c r="C7">
        <f t="shared" si="0"/>
        <v>4.1244957868751264E-3</v>
      </c>
      <c r="D7" s="35">
        <v>8376.1</v>
      </c>
      <c r="E7" s="45">
        <f t="shared" si="3"/>
        <v>-7.1581107359730556E-4</v>
      </c>
      <c r="F7">
        <v>3791100</v>
      </c>
      <c r="G7">
        <v>717.2</v>
      </c>
      <c r="H7" s="45">
        <f t="shared" si="1"/>
        <v>6.9498069498070691E-3</v>
      </c>
      <c r="I7">
        <v>4144200</v>
      </c>
      <c r="J7" s="38" t="s">
        <v>47</v>
      </c>
      <c r="K7" s="45">
        <f t="shared" si="2"/>
        <v>5.6896816853759802E-3</v>
      </c>
      <c r="O7" s="10">
        <f>O6/10</f>
        <v>54.9</v>
      </c>
      <c r="Q7">
        <f>G7/G6-1</f>
        <v>6.9498069498070691E-3</v>
      </c>
    </row>
    <row r="8" spans="1:17" x14ac:dyDescent="0.25">
      <c r="A8" s="8">
        <v>44385</v>
      </c>
      <c r="B8">
        <v>4529.07</v>
      </c>
      <c r="C8">
        <f t="shared" si="0"/>
        <v>-2.4979010139717261E-2</v>
      </c>
      <c r="D8" s="35">
        <v>8411.65</v>
      </c>
      <c r="E8" s="45">
        <f t="shared" si="3"/>
        <v>4.2442186697866369E-3</v>
      </c>
      <c r="F8">
        <v>3541200</v>
      </c>
      <c r="G8">
        <v>706.7</v>
      </c>
      <c r="H8" s="45">
        <f t="shared" si="1"/>
        <v>-1.4640267707752397E-2</v>
      </c>
      <c r="I8">
        <v>2906300</v>
      </c>
      <c r="J8" s="38" t="s">
        <v>48</v>
      </c>
      <c r="K8" s="45">
        <f t="shared" si="2"/>
        <v>-1.8501529051987764E-2</v>
      </c>
    </row>
    <row r="9" spans="1:17" x14ac:dyDescent="0.25">
      <c r="A9" s="8">
        <v>44386</v>
      </c>
      <c r="B9">
        <v>4499.6400000000003</v>
      </c>
      <c r="C9">
        <f t="shared" si="0"/>
        <v>-6.4980227728870243E-3</v>
      </c>
      <c r="D9" s="35">
        <v>8345.5499999999993</v>
      </c>
      <c r="E9" s="45">
        <f t="shared" si="3"/>
        <v>-7.8581491146207938E-3</v>
      </c>
      <c r="F9">
        <v>5301000</v>
      </c>
      <c r="G9">
        <v>714.95</v>
      </c>
      <c r="H9" s="45">
        <f t="shared" si="1"/>
        <v>1.167397764256406E-2</v>
      </c>
      <c r="I9">
        <v>4722800</v>
      </c>
      <c r="J9" s="38" t="s">
        <v>49</v>
      </c>
      <c r="K9" s="45">
        <f t="shared" si="2"/>
        <v>-5.2188814457080346E-3</v>
      </c>
    </row>
    <row r="10" spans="1:17" x14ac:dyDescent="0.25">
      <c r="A10" s="8">
        <v>44389</v>
      </c>
      <c r="B10">
        <v>4486.7</v>
      </c>
      <c r="C10">
        <f t="shared" si="0"/>
        <v>-2.87578561840518E-3</v>
      </c>
      <c r="D10" s="35">
        <v>8338.9500000000007</v>
      </c>
      <c r="E10" s="45">
        <f t="shared" si="3"/>
        <v>-7.9084062763967733E-4</v>
      </c>
      <c r="F10">
        <v>4514200</v>
      </c>
      <c r="G10">
        <v>701.75</v>
      </c>
      <c r="H10" s="45">
        <f t="shared" si="1"/>
        <v>-1.8462829568501316E-2</v>
      </c>
      <c r="I10">
        <v>3990700</v>
      </c>
      <c r="J10" s="38" t="s">
        <v>50</v>
      </c>
      <c r="K10" s="45">
        <f t="shared" si="2"/>
        <v>1.2058570198105079E-2</v>
      </c>
      <c r="M10" t="s">
        <v>22</v>
      </c>
      <c r="N10" s="8">
        <v>45106</v>
      </c>
      <c r="O10">
        <v>0</v>
      </c>
    </row>
    <row r="11" spans="1:17" x14ac:dyDescent="0.25">
      <c r="A11" s="8">
        <v>44390</v>
      </c>
      <c r="B11">
        <v>4625.21</v>
      </c>
      <c r="C11">
        <f t="shared" si="0"/>
        <v>3.0871241669824245E-2</v>
      </c>
      <c r="D11" s="35">
        <v>8345.4</v>
      </c>
      <c r="E11" s="45">
        <f t="shared" si="3"/>
        <v>7.734786753725853E-4</v>
      </c>
      <c r="F11">
        <v>3170900</v>
      </c>
      <c r="G11">
        <v>690</v>
      </c>
      <c r="H11" s="45">
        <f t="shared" si="1"/>
        <v>-1.6743854649091561E-2</v>
      </c>
      <c r="I11">
        <v>4333900</v>
      </c>
      <c r="J11" s="38" t="s">
        <v>51</v>
      </c>
      <c r="K11" s="45">
        <f t="shared" si="2"/>
        <v>2.8936170212765955E-2</v>
      </c>
      <c r="N11" s="8">
        <v>45106</v>
      </c>
      <c r="O11">
        <v>60</v>
      </c>
    </row>
    <row r="12" spans="1:17" x14ac:dyDescent="0.25">
      <c r="A12" s="8">
        <v>44391</v>
      </c>
      <c r="B12">
        <v>4641.63</v>
      </c>
      <c r="C12">
        <f t="shared" si="0"/>
        <v>3.5501090761285159E-3</v>
      </c>
      <c r="D12" s="35">
        <v>8392.9</v>
      </c>
      <c r="E12" s="45">
        <f t="shared" si="3"/>
        <v>5.6917583339324285E-3</v>
      </c>
      <c r="F12">
        <v>3328600</v>
      </c>
      <c r="G12">
        <v>707.05</v>
      </c>
      <c r="H12" s="45">
        <f t="shared" si="1"/>
        <v>2.4710144927536204E-2</v>
      </c>
      <c r="I12">
        <v>3406100</v>
      </c>
      <c r="J12" s="38" t="s">
        <v>52</v>
      </c>
      <c r="K12" s="45">
        <f t="shared" si="2"/>
        <v>-9.0232348296870324E-4</v>
      </c>
    </row>
    <row r="13" spans="1:17" x14ac:dyDescent="0.25">
      <c r="A13" s="8">
        <v>44392</v>
      </c>
      <c r="B13">
        <v>4783.95</v>
      </c>
      <c r="C13">
        <f t="shared" si="0"/>
        <v>3.0661642569528302E-2</v>
      </c>
      <c r="D13" s="35">
        <v>8411.75</v>
      </c>
      <c r="E13" s="45">
        <f t="shared" si="3"/>
        <v>2.2459459781483115E-3</v>
      </c>
      <c r="F13">
        <v>3340100</v>
      </c>
      <c r="G13">
        <v>726.55</v>
      </c>
      <c r="H13" s="45">
        <f t="shared" si="1"/>
        <v>2.7579379110388214E-2</v>
      </c>
      <c r="I13">
        <v>5163900</v>
      </c>
      <c r="J13" s="38" t="s">
        <v>53</v>
      </c>
      <c r="K13" s="45">
        <f t="shared" si="2"/>
        <v>4.6662150974636774E-3</v>
      </c>
      <c r="M13" t="s">
        <v>22</v>
      </c>
      <c r="N13" s="8">
        <v>45740</v>
      </c>
      <c r="O13">
        <v>0</v>
      </c>
    </row>
    <row r="14" spans="1:17" x14ac:dyDescent="0.25">
      <c r="A14" s="8">
        <v>44393</v>
      </c>
      <c r="B14">
        <v>4800.16</v>
      </c>
      <c r="C14">
        <f t="shared" si="0"/>
        <v>3.3884133404404881E-3</v>
      </c>
      <c r="D14" s="35">
        <v>8448.2000000000007</v>
      </c>
      <c r="E14" s="45">
        <f t="shared" si="3"/>
        <v>4.3332243587839159E-3</v>
      </c>
      <c r="F14">
        <v>3047500</v>
      </c>
      <c r="G14">
        <v>764.35</v>
      </c>
      <c r="H14" s="45">
        <f t="shared" si="1"/>
        <v>5.2026701534650055E-2</v>
      </c>
      <c r="I14">
        <v>5550200</v>
      </c>
      <c r="J14" s="38" t="s">
        <v>54</v>
      </c>
      <c r="K14" s="45">
        <f t="shared" si="2"/>
        <v>-1.0712412914825165E-2</v>
      </c>
      <c r="N14" s="8">
        <v>45740</v>
      </c>
      <c r="O14">
        <v>60</v>
      </c>
    </row>
    <row r="15" spans="1:17" x14ac:dyDescent="0.25">
      <c r="A15" s="8">
        <v>44396</v>
      </c>
      <c r="B15">
        <v>4845.37</v>
      </c>
      <c r="C15">
        <f t="shared" si="0"/>
        <v>9.4184360521316624E-3</v>
      </c>
      <c r="D15" s="35">
        <v>8457.4500000000007</v>
      </c>
      <c r="E15" s="45">
        <f t="shared" si="3"/>
        <v>1.0949077910087368E-3</v>
      </c>
      <c r="F15">
        <v>2929600</v>
      </c>
      <c r="G15">
        <v>774.6</v>
      </c>
      <c r="H15" s="45">
        <f t="shared" si="1"/>
        <v>1.3410087002027948E-2</v>
      </c>
      <c r="I15">
        <v>4643700</v>
      </c>
      <c r="J15" s="38" t="s">
        <v>55</v>
      </c>
      <c r="K15" s="45">
        <f t="shared" si="2"/>
        <v>-6.6636377404210023E-3</v>
      </c>
    </row>
    <row r="16" spans="1:17" x14ac:dyDescent="0.25">
      <c r="A16" s="8">
        <v>44397</v>
      </c>
      <c r="B16">
        <v>4856.4399999999996</v>
      </c>
      <c r="C16">
        <f t="shared" si="0"/>
        <v>2.2846552482058691E-3</v>
      </c>
      <c r="D16" s="35">
        <v>8373.4500000000007</v>
      </c>
      <c r="E16" s="45">
        <f t="shared" si="3"/>
        <v>-9.9320717237465495E-3</v>
      </c>
      <c r="F16">
        <v>2572000</v>
      </c>
      <c r="G16">
        <v>760.15</v>
      </c>
      <c r="H16" s="45">
        <f t="shared" si="1"/>
        <v>-1.8654789568809726E-2</v>
      </c>
      <c r="I16">
        <v>4888900</v>
      </c>
      <c r="J16" s="38" t="s">
        <v>48</v>
      </c>
      <c r="K16" s="45">
        <f t="shared" si="2"/>
        <v>-2.1344717182497308E-2</v>
      </c>
    </row>
    <row r="17" spans="1:16" x14ac:dyDescent="0.25">
      <c r="A17" s="8">
        <v>44399</v>
      </c>
      <c r="B17">
        <v>4970.9399999999996</v>
      </c>
      <c r="C17">
        <f t="shared" si="0"/>
        <v>2.3576941133834683E-2</v>
      </c>
      <c r="D17" s="35">
        <v>8302.7000000000007</v>
      </c>
      <c r="E17" s="45">
        <f t="shared" si="3"/>
        <v>-8.4493249496921941E-3</v>
      </c>
      <c r="F17">
        <v>3968900</v>
      </c>
      <c r="G17">
        <v>743.8</v>
      </c>
      <c r="H17" s="45">
        <f t="shared" si="1"/>
        <v>-2.1508912714595874E-2</v>
      </c>
      <c r="I17">
        <v>5702600</v>
      </c>
      <c r="J17" s="38" t="s">
        <v>56</v>
      </c>
      <c r="K17" s="45">
        <f t="shared" si="2"/>
        <v>2.1888144570805457E-2</v>
      </c>
    </row>
    <row r="18" spans="1:16" x14ac:dyDescent="0.25">
      <c r="A18" s="8">
        <v>44400</v>
      </c>
      <c r="B18">
        <v>4801.58</v>
      </c>
      <c r="C18">
        <f t="shared" si="0"/>
        <v>-3.4070014926754211E-2</v>
      </c>
      <c r="D18" s="35">
        <v>8409.5499999999993</v>
      </c>
      <c r="E18" s="45">
        <f t="shared" si="3"/>
        <v>1.2869307574644218E-2</v>
      </c>
      <c r="F18">
        <v>2968400</v>
      </c>
      <c r="G18">
        <v>725.45</v>
      </c>
      <c r="H18" s="45">
        <f t="shared" si="1"/>
        <v>-2.4670610379134095E-2</v>
      </c>
      <c r="I18">
        <v>3687200</v>
      </c>
      <c r="J18" s="38" t="s">
        <v>57</v>
      </c>
      <c r="K18" s="45">
        <f t="shared" si="2"/>
        <v>3.1557283329521901E-2</v>
      </c>
      <c r="N18" s="66" t="s">
        <v>1109</v>
      </c>
    </row>
    <row r="19" spans="1:16" x14ac:dyDescent="0.25">
      <c r="A19" s="8">
        <v>44403</v>
      </c>
      <c r="B19">
        <v>4862.01</v>
      </c>
      <c r="C19">
        <f t="shared" si="0"/>
        <v>1.2585440625794142E-2</v>
      </c>
      <c r="D19" s="35">
        <v>8422.7000000000007</v>
      </c>
      <c r="E19" s="45">
        <f t="shared" si="3"/>
        <v>1.5636984143030386E-3</v>
      </c>
      <c r="F19">
        <v>2690000</v>
      </c>
      <c r="G19">
        <v>713.05</v>
      </c>
      <c r="H19" s="45">
        <f t="shared" si="1"/>
        <v>-1.7092838927562304E-2</v>
      </c>
      <c r="I19">
        <v>3682500</v>
      </c>
      <c r="J19" s="38" t="s">
        <v>58</v>
      </c>
      <c r="K19" s="45">
        <f t="shared" si="2"/>
        <v>1.4778689130268141E-4</v>
      </c>
      <c r="N19" s="66" t="s">
        <v>0</v>
      </c>
      <c r="O19" s="66" t="s">
        <v>1111</v>
      </c>
      <c r="P19" s="66" t="s">
        <v>1110</v>
      </c>
    </row>
    <row r="20" spans="1:16" x14ac:dyDescent="0.25">
      <c r="A20" s="8">
        <v>44404</v>
      </c>
      <c r="B20">
        <v>4844.63</v>
      </c>
      <c r="C20">
        <f t="shared" si="0"/>
        <v>-3.5746532812561682E-3</v>
      </c>
      <c r="D20" s="35">
        <v>8411</v>
      </c>
      <c r="E20" s="45">
        <f t="shared" si="3"/>
        <v>-1.3891032566755168E-3</v>
      </c>
      <c r="F20">
        <v>2815300</v>
      </c>
      <c r="G20">
        <v>732</v>
      </c>
      <c r="H20" s="45">
        <f t="shared" si="1"/>
        <v>2.6575976439239923E-2</v>
      </c>
      <c r="I20">
        <v>3143900</v>
      </c>
      <c r="J20" s="38" t="s">
        <v>59</v>
      </c>
      <c r="K20" s="45">
        <f t="shared" si="2"/>
        <v>1.0343553749538881E-3</v>
      </c>
      <c r="M20" s="66"/>
      <c r="N20" s="61">
        <v>44911</v>
      </c>
      <c r="O20">
        <v>511.85</v>
      </c>
      <c r="P20" s="38" t="s">
        <v>394</v>
      </c>
    </row>
    <row r="21" spans="1:16" x14ac:dyDescent="0.25">
      <c r="A21" s="8">
        <v>44405</v>
      </c>
      <c r="B21">
        <v>4829.71</v>
      </c>
      <c r="C21">
        <f t="shared" si="0"/>
        <v>-3.0796985528306342E-3</v>
      </c>
      <c r="D21" s="35">
        <v>8368.5</v>
      </c>
      <c r="E21" s="45">
        <f t="shared" si="3"/>
        <v>-5.0529069076209465E-3</v>
      </c>
      <c r="F21">
        <v>2632400</v>
      </c>
      <c r="G21">
        <v>728</v>
      </c>
      <c r="H21" s="45">
        <f t="shared" si="1"/>
        <v>-5.464480874316946E-3</v>
      </c>
      <c r="I21">
        <v>3402700</v>
      </c>
      <c r="J21" s="38" t="s">
        <v>60</v>
      </c>
      <c r="K21" s="45">
        <f t="shared" si="2"/>
        <v>1.1218540113661302E-2</v>
      </c>
      <c r="N21" s="60">
        <v>44980</v>
      </c>
      <c r="O21">
        <v>477.45</v>
      </c>
      <c r="P21" s="38" t="s">
        <v>442</v>
      </c>
    </row>
    <row r="22" spans="1:16" x14ac:dyDescent="0.25">
      <c r="A22" s="8">
        <v>44406</v>
      </c>
      <c r="B22">
        <v>4809.1000000000004</v>
      </c>
      <c r="C22">
        <f t="shared" si="0"/>
        <v>-4.2673369622605595E-3</v>
      </c>
      <c r="D22" s="35">
        <v>8350.5499999999993</v>
      </c>
      <c r="E22" s="45">
        <f t="shared" si="3"/>
        <v>-2.1449483180977502E-3</v>
      </c>
      <c r="F22">
        <v>2139800</v>
      </c>
      <c r="G22">
        <v>723.85</v>
      </c>
      <c r="H22" s="45">
        <f t="shared" si="1"/>
        <v>-5.7005494505494303E-3</v>
      </c>
      <c r="I22">
        <v>2968900</v>
      </c>
      <c r="J22" s="38" t="s">
        <v>61</v>
      </c>
      <c r="K22" s="45">
        <f t="shared" si="2"/>
        <v>3.5763812860376554E-3</v>
      </c>
      <c r="N22" s="59">
        <v>45042</v>
      </c>
      <c r="O22">
        <v>434.7</v>
      </c>
      <c r="P22" s="38" t="s">
        <v>480</v>
      </c>
    </row>
    <row r="23" spans="1:16" x14ac:dyDescent="0.25">
      <c r="A23" s="8">
        <v>44407</v>
      </c>
      <c r="B23">
        <v>4730.21</v>
      </c>
      <c r="C23">
        <f t="shared" si="0"/>
        <v>-1.6404316816036379E-2</v>
      </c>
      <c r="D23" s="35">
        <v>8386.25</v>
      </c>
      <c r="E23" s="45">
        <f t="shared" si="3"/>
        <v>4.2751675039369719E-3</v>
      </c>
      <c r="F23">
        <v>2867800</v>
      </c>
      <c r="G23">
        <v>725</v>
      </c>
      <c r="H23" s="45">
        <f t="shared" si="1"/>
        <v>1.5887269461904996E-3</v>
      </c>
      <c r="I23">
        <v>5076600</v>
      </c>
      <c r="J23" s="38" t="s">
        <v>62</v>
      </c>
      <c r="K23" s="45">
        <f t="shared" si="2"/>
        <v>-7.2727272727273196E-3</v>
      </c>
      <c r="M23" s="66" t="s">
        <v>1112</v>
      </c>
      <c r="N23" s="58">
        <v>45105</v>
      </c>
      <c r="O23">
        <v>613.9</v>
      </c>
      <c r="P23" s="38" t="s">
        <v>519</v>
      </c>
    </row>
    <row r="24" spans="1:16" x14ac:dyDescent="0.25">
      <c r="A24" s="8">
        <v>44410</v>
      </c>
      <c r="B24">
        <v>4793.5600000000004</v>
      </c>
      <c r="C24">
        <f t="shared" si="0"/>
        <v>1.3392640073062401E-2</v>
      </c>
      <c r="D24" s="35">
        <v>8396.15</v>
      </c>
      <c r="E24" s="45">
        <f t="shared" si="3"/>
        <v>1.1805038008645408E-3</v>
      </c>
      <c r="F24">
        <v>2664100</v>
      </c>
      <c r="G24">
        <v>744.55</v>
      </c>
      <c r="H24" s="45">
        <f t="shared" si="1"/>
        <v>2.6965517241379189E-2</v>
      </c>
      <c r="I24">
        <v>4318000</v>
      </c>
      <c r="J24" s="38" t="s">
        <v>63</v>
      </c>
      <c r="K24" s="45">
        <f t="shared" si="2"/>
        <v>-1.6117216117216282E-3</v>
      </c>
      <c r="N24" s="62">
        <v>45107</v>
      </c>
      <c r="O24">
        <v>608.45000000000005</v>
      </c>
      <c r="P24" s="38" t="s">
        <v>520</v>
      </c>
    </row>
    <row r="25" spans="1:16" x14ac:dyDescent="0.25">
      <c r="A25" s="8">
        <v>44411</v>
      </c>
      <c r="B25">
        <v>4897.97</v>
      </c>
      <c r="C25">
        <f t="shared" si="0"/>
        <v>2.1781306586336591E-2</v>
      </c>
      <c r="D25" s="35">
        <v>8471.15</v>
      </c>
      <c r="E25" s="45">
        <f t="shared" si="3"/>
        <v>8.932665566956377E-3</v>
      </c>
      <c r="F25">
        <v>2714500</v>
      </c>
      <c r="G25">
        <v>741.6</v>
      </c>
      <c r="H25" s="45">
        <f t="shared" si="1"/>
        <v>-3.962124773352893E-3</v>
      </c>
      <c r="I25">
        <v>4695400</v>
      </c>
      <c r="J25" s="38" t="s">
        <v>64</v>
      </c>
      <c r="K25" s="45">
        <f t="shared" si="2"/>
        <v>1.3208100968594039E-2</v>
      </c>
      <c r="N25" s="63">
        <v>45161</v>
      </c>
      <c r="O25">
        <v>621.65</v>
      </c>
      <c r="P25" s="38" t="s">
        <v>557</v>
      </c>
    </row>
    <row r="26" spans="1:16" x14ac:dyDescent="0.25">
      <c r="A26" s="8">
        <v>44412</v>
      </c>
      <c r="B26">
        <v>4870.29</v>
      </c>
      <c r="C26">
        <f t="shared" si="0"/>
        <v>-5.6513208533331971E-3</v>
      </c>
      <c r="D26" s="35">
        <v>8577.5</v>
      </c>
      <c r="E26" s="45">
        <f t="shared" si="3"/>
        <v>1.2554375734109335E-2</v>
      </c>
      <c r="F26">
        <v>1915900</v>
      </c>
      <c r="G26">
        <v>723.4</v>
      </c>
      <c r="H26" s="45">
        <f t="shared" si="1"/>
        <v>-2.4541531823085272E-2</v>
      </c>
      <c r="I26">
        <v>3144900</v>
      </c>
      <c r="J26" s="38" t="s">
        <v>65</v>
      </c>
      <c r="K26" s="45">
        <f t="shared" si="2"/>
        <v>3.5124565469293101E-2</v>
      </c>
      <c r="N26" s="63">
        <v>45202</v>
      </c>
      <c r="O26">
        <v>616.15</v>
      </c>
      <c r="P26" s="38" t="s">
        <v>582</v>
      </c>
    </row>
    <row r="27" spans="1:16" x14ac:dyDescent="0.25">
      <c r="A27" s="8">
        <v>44413</v>
      </c>
      <c r="B27">
        <v>4898.05</v>
      </c>
      <c r="C27">
        <f t="shared" si="0"/>
        <v>5.6998659217417647E-3</v>
      </c>
      <c r="D27" s="35">
        <v>8606.9</v>
      </c>
      <c r="E27" s="45">
        <f t="shared" si="3"/>
        <v>3.4275721364034339E-3</v>
      </c>
      <c r="F27">
        <v>2236300</v>
      </c>
      <c r="G27">
        <v>720.55</v>
      </c>
      <c r="H27" s="45">
        <f t="shared" si="1"/>
        <v>-3.9397290572298349E-3</v>
      </c>
      <c r="I27">
        <v>3240400</v>
      </c>
      <c r="J27" s="38" t="s">
        <v>66</v>
      </c>
      <c r="K27" s="45">
        <f t="shared" si="2"/>
        <v>-1.7071293640243401E-2</v>
      </c>
      <c r="N27" s="67">
        <v>45315</v>
      </c>
      <c r="O27">
        <v>764.65</v>
      </c>
      <c r="P27" s="38" t="s">
        <v>653</v>
      </c>
    </row>
    <row r="28" spans="1:16" x14ac:dyDescent="0.25">
      <c r="A28" s="8">
        <v>44414</v>
      </c>
      <c r="B28">
        <v>4923.2700000000004</v>
      </c>
      <c r="C28">
        <f t="shared" si="0"/>
        <v>5.1489878625168295E-3</v>
      </c>
      <c r="D28" s="35">
        <v>8618.75</v>
      </c>
      <c r="E28" s="45">
        <f t="shared" si="3"/>
        <v>1.3768023330118506E-3</v>
      </c>
      <c r="F28">
        <v>3152800</v>
      </c>
      <c r="G28">
        <v>708.8</v>
      </c>
      <c r="H28" s="45">
        <f t="shared" si="1"/>
        <v>-1.630698771771566E-2</v>
      </c>
      <c r="I28">
        <v>3825300</v>
      </c>
      <c r="J28" s="38" t="s">
        <v>67</v>
      </c>
      <c r="K28" s="45">
        <f t="shared" si="2"/>
        <v>-6.8332265641684042E-3</v>
      </c>
      <c r="N28" s="67">
        <v>45390</v>
      </c>
      <c r="O28">
        <v>718.75</v>
      </c>
      <c r="P28" s="38" t="s">
        <v>703</v>
      </c>
    </row>
    <row r="29" spans="1:16" x14ac:dyDescent="0.25">
      <c r="A29" s="8">
        <v>44417</v>
      </c>
      <c r="B29">
        <v>4917.6000000000004</v>
      </c>
      <c r="C29">
        <f t="shared" si="0"/>
        <v>-1.15167358280166E-3</v>
      </c>
      <c r="D29" s="35">
        <v>8599.4500000000007</v>
      </c>
      <c r="E29" s="45">
        <f t="shared" si="3"/>
        <v>-2.2393038433646817E-3</v>
      </c>
      <c r="F29">
        <v>2757500</v>
      </c>
      <c r="G29">
        <v>714.3</v>
      </c>
      <c r="H29" s="45">
        <f t="shared" si="1"/>
        <v>7.759593679458332E-3</v>
      </c>
      <c r="I29">
        <v>3045600</v>
      </c>
      <c r="J29" s="38" t="s">
        <v>68</v>
      </c>
      <c r="K29" s="45">
        <f t="shared" si="2"/>
        <v>7.4535942091307206E-3</v>
      </c>
      <c r="N29" s="67">
        <v>45499</v>
      </c>
      <c r="O29">
        <v>767.35</v>
      </c>
      <c r="P29" s="38" t="s">
        <v>777</v>
      </c>
    </row>
    <row r="30" spans="1:16" x14ac:dyDescent="0.25">
      <c r="A30" s="8">
        <v>44418</v>
      </c>
      <c r="B30">
        <v>4870.57</v>
      </c>
      <c r="C30">
        <f t="shared" si="0"/>
        <v>-9.5636082641940012E-3</v>
      </c>
      <c r="D30" s="35">
        <v>8594.4</v>
      </c>
      <c r="E30" s="45">
        <f t="shared" si="3"/>
        <v>-5.8724685881084149E-4</v>
      </c>
      <c r="F30">
        <v>2375400</v>
      </c>
      <c r="G30">
        <v>687.15</v>
      </c>
      <c r="H30" s="45">
        <f t="shared" si="1"/>
        <v>-3.8009239815203655E-2</v>
      </c>
      <c r="I30">
        <v>3196700</v>
      </c>
      <c r="J30" s="38" t="s">
        <v>69</v>
      </c>
      <c r="K30" s="45">
        <f t="shared" si="2"/>
        <v>-2.7744184392118898E-3</v>
      </c>
      <c r="N30" s="67">
        <v>45659</v>
      </c>
      <c r="O30">
        <v>861.9</v>
      </c>
      <c r="P30" s="38" t="s">
        <v>883</v>
      </c>
    </row>
    <row r="31" spans="1:16" x14ac:dyDescent="0.25">
      <c r="A31" s="8">
        <v>44419</v>
      </c>
      <c r="B31">
        <v>4887.41</v>
      </c>
      <c r="C31">
        <f t="shared" si="0"/>
        <v>3.4575008674548879E-3</v>
      </c>
      <c r="D31" s="35">
        <v>8586.9500000000007</v>
      </c>
      <c r="E31" s="45">
        <f t="shared" si="3"/>
        <v>-8.6684352601684722E-4</v>
      </c>
      <c r="F31">
        <v>2797900</v>
      </c>
      <c r="G31">
        <v>693.05</v>
      </c>
      <c r="H31" s="45">
        <f t="shared" si="1"/>
        <v>8.5861893327512373E-3</v>
      </c>
      <c r="I31">
        <v>3538400</v>
      </c>
      <c r="J31" s="38" t="s">
        <v>70</v>
      </c>
      <c r="K31" s="45">
        <f t="shared" si="2"/>
        <v>-1.0486517334855172E-2</v>
      </c>
      <c r="M31" s="66" t="s">
        <v>1113</v>
      </c>
      <c r="N31" s="64">
        <v>45740</v>
      </c>
      <c r="P31" s="38" t="s">
        <v>936</v>
      </c>
    </row>
    <row r="32" spans="1:16" x14ac:dyDescent="0.25">
      <c r="A32" s="8">
        <v>44420</v>
      </c>
      <c r="B32">
        <v>4875.63</v>
      </c>
      <c r="C32">
        <f t="shared" si="0"/>
        <v>-2.4102745626005673E-3</v>
      </c>
      <c r="D32" s="35">
        <v>8583.9500000000007</v>
      </c>
      <c r="E32" s="45">
        <f t="shared" si="3"/>
        <v>-3.4936735394985874E-4</v>
      </c>
      <c r="F32">
        <v>2174500</v>
      </c>
      <c r="G32">
        <v>707.9</v>
      </c>
      <c r="H32" s="45">
        <f t="shared" si="1"/>
        <v>2.1427025467138039E-2</v>
      </c>
      <c r="I32">
        <v>2516200</v>
      </c>
      <c r="J32" s="38" t="s">
        <v>71</v>
      </c>
      <c r="K32" s="45">
        <f t="shared" si="2"/>
        <v>1.1246485473289658E-2</v>
      </c>
      <c r="N32" s="65">
        <v>45744</v>
      </c>
      <c r="P32" s="38" t="s">
        <v>940</v>
      </c>
    </row>
    <row r="33" spans="1:16" x14ac:dyDescent="0.25">
      <c r="A33" s="8">
        <v>44421</v>
      </c>
      <c r="B33">
        <v>4956.28</v>
      </c>
      <c r="C33">
        <f t="shared" si="0"/>
        <v>1.6541452079013252E-2</v>
      </c>
      <c r="D33" s="35">
        <v>8631</v>
      </c>
      <c r="E33" s="45">
        <f t="shared" si="3"/>
        <v>5.4811596060087009E-3</v>
      </c>
      <c r="F33">
        <v>1609000</v>
      </c>
      <c r="G33">
        <v>718.55</v>
      </c>
      <c r="H33" s="45">
        <f t="shared" si="1"/>
        <v>1.5044497810425161E-2</v>
      </c>
      <c r="I33">
        <v>2972400</v>
      </c>
      <c r="J33" s="38" t="s">
        <v>72</v>
      </c>
      <c r="K33" s="45">
        <f t="shared" si="2"/>
        <v>4.9190846225135587E-3</v>
      </c>
      <c r="N33" s="65">
        <v>45790</v>
      </c>
      <c r="P33" s="38" t="s">
        <v>967</v>
      </c>
    </row>
    <row r="34" spans="1:16" x14ac:dyDescent="0.25">
      <c r="A34" s="8">
        <v>44424</v>
      </c>
      <c r="B34">
        <v>4995.25</v>
      </c>
      <c r="C34">
        <f t="shared" si="0"/>
        <v>7.8627519026366333E-3</v>
      </c>
      <c r="D34" s="35">
        <v>8694.2999999999993</v>
      </c>
      <c r="E34" s="45">
        <f t="shared" si="3"/>
        <v>7.3340285019116713E-3</v>
      </c>
      <c r="F34">
        <v>2107600</v>
      </c>
      <c r="G34">
        <v>700.5</v>
      </c>
      <c r="H34" s="45">
        <f t="shared" si="1"/>
        <v>-2.5120033400598318E-2</v>
      </c>
      <c r="I34">
        <v>3375400</v>
      </c>
      <c r="J34" s="38" t="s">
        <v>73</v>
      </c>
      <c r="K34" s="45">
        <f t="shared" si="2"/>
        <v>-3.0505107832008438E-3</v>
      </c>
      <c r="N34" s="65">
        <v>45860</v>
      </c>
      <c r="P34" s="38" t="s">
        <v>1013</v>
      </c>
    </row>
    <row r="35" spans="1:16" x14ac:dyDescent="0.25">
      <c r="A35" s="8">
        <v>44425</v>
      </c>
      <c r="B35">
        <v>4932.6000000000004</v>
      </c>
      <c r="C35">
        <f t="shared" si="0"/>
        <v>-1.254191481907807E-2</v>
      </c>
      <c r="D35" s="35">
        <v>8705</v>
      </c>
      <c r="E35" s="45">
        <f t="shared" si="3"/>
        <v>1.230691372508419E-3</v>
      </c>
      <c r="F35">
        <v>2778900</v>
      </c>
      <c r="G35">
        <v>712.75</v>
      </c>
      <c r="H35" s="45">
        <f t="shared" si="1"/>
        <v>1.7487508922198414E-2</v>
      </c>
      <c r="I35">
        <v>3106200</v>
      </c>
      <c r="J35" s="38" t="s">
        <v>74</v>
      </c>
      <c r="K35" s="45">
        <f t="shared" si="2"/>
        <v>-2.0636163096846571E-3</v>
      </c>
      <c r="N35" s="65">
        <v>45987</v>
      </c>
      <c r="P35" s="38" t="s">
        <v>1095</v>
      </c>
    </row>
    <row r="36" spans="1:16" x14ac:dyDescent="0.25">
      <c r="A36" s="8">
        <v>44426</v>
      </c>
      <c r="B36">
        <v>5006.32</v>
      </c>
      <c r="C36">
        <f t="shared" si="0"/>
        <v>1.4945464866398916E-2</v>
      </c>
      <c r="D36" s="35">
        <v>8734.6</v>
      </c>
      <c r="E36" s="45">
        <f t="shared" si="3"/>
        <v>3.4003446295232109E-3</v>
      </c>
      <c r="F36">
        <v>3888100</v>
      </c>
      <c r="G36">
        <v>717.9</v>
      </c>
      <c r="H36" s="45">
        <f t="shared" si="1"/>
        <v>7.2255349000349689E-3</v>
      </c>
      <c r="I36">
        <v>3576600</v>
      </c>
      <c r="J36" s="38" t="s">
        <v>75</v>
      </c>
      <c r="K36" s="45">
        <f t="shared" si="2"/>
        <v>-1.8397033656588846E-2</v>
      </c>
    </row>
    <row r="37" spans="1:16" x14ac:dyDescent="0.25">
      <c r="A37" s="8">
        <v>44428</v>
      </c>
      <c r="B37">
        <v>5004.9799999999996</v>
      </c>
      <c r="C37">
        <f t="shared" si="0"/>
        <v>-2.6766167564207244E-4</v>
      </c>
      <c r="D37" s="35">
        <v>8725.7999999999993</v>
      </c>
      <c r="E37" s="45">
        <f t="shared" si="3"/>
        <v>-1.007487463650425E-3</v>
      </c>
      <c r="F37">
        <v>2612500</v>
      </c>
      <c r="G37">
        <v>683.4</v>
      </c>
      <c r="H37" s="45">
        <f t="shared" si="1"/>
        <v>-4.8056832427914697E-2</v>
      </c>
      <c r="I37">
        <v>2440900</v>
      </c>
      <c r="J37" s="38" t="s">
        <v>76</v>
      </c>
      <c r="K37" s="45">
        <f t="shared" si="2"/>
        <v>-1.1041696934476097E-2</v>
      </c>
    </row>
    <row r="38" spans="1:16" x14ac:dyDescent="0.25">
      <c r="A38" s="8">
        <v>44431</v>
      </c>
      <c r="B38">
        <v>5101.8100000000004</v>
      </c>
      <c r="C38">
        <f t="shared" si="0"/>
        <v>1.9346730656266464E-2</v>
      </c>
      <c r="D38" s="35">
        <v>8641.6</v>
      </c>
      <c r="E38" s="45">
        <f t="shared" si="3"/>
        <v>-9.6495450273899053E-3</v>
      </c>
      <c r="F38">
        <v>4022600</v>
      </c>
      <c r="G38">
        <v>668.55</v>
      </c>
      <c r="H38" s="45">
        <f t="shared" si="1"/>
        <v>-2.1729587357330993E-2</v>
      </c>
      <c r="I38">
        <v>3782400</v>
      </c>
      <c r="J38" s="38" t="s">
        <v>77</v>
      </c>
      <c r="K38" s="45">
        <f t="shared" si="2"/>
        <v>2.9381519024533898E-3</v>
      </c>
    </row>
    <row r="39" spans="1:16" x14ac:dyDescent="0.25">
      <c r="A39" s="8">
        <v>44432</v>
      </c>
      <c r="B39">
        <v>5135.12</v>
      </c>
      <c r="C39">
        <f t="shared" si="0"/>
        <v>6.5290553744650204E-3</v>
      </c>
      <c r="D39" s="35">
        <v>8646.4500000000007</v>
      </c>
      <c r="E39" s="45">
        <f t="shared" si="3"/>
        <v>5.6123865950752361E-4</v>
      </c>
      <c r="F39">
        <v>2561200</v>
      </c>
      <c r="G39">
        <v>687.3</v>
      </c>
      <c r="H39" s="45">
        <f t="shared" si="1"/>
        <v>2.8045770697778805E-2</v>
      </c>
      <c r="I39">
        <v>2976000</v>
      </c>
      <c r="J39" s="38" t="s">
        <v>78</v>
      </c>
      <c r="K39" s="45">
        <f t="shared" si="2"/>
        <v>1.7211073678043087E-2</v>
      </c>
    </row>
    <row r="40" spans="1:16" x14ac:dyDescent="0.25">
      <c r="A40" s="8">
        <v>44433</v>
      </c>
      <c r="B40">
        <v>5085.3</v>
      </c>
      <c r="C40">
        <f t="shared" si="0"/>
        <v>-9.7018180685163324E-3</v>
      </c>
      <c r="D40" s="35">
        <v>8722.9500000000007</v>
      </c>
      <c r="E40" s="45">
        <f t="shared" si="3"/>
        <v>8.8475617160799214E-3</v>
      </c>
      <c r="F40">
        <v>4724600</v>
      </c>
      <c r="G40">
        <v>692.2</v>
      </c>
      <c r="H40" s="45">
        <f t="shared" si="1"/>
        <v>7.1293467190456372E-3</v>
      </c>
      <c r="I40">
        <v>3185800</v>
      </c>
      <c r="J40" s="38" t="s">
        <v>79</v>
      </c>
      <c r="K40" s="45">
        <f t="shared" si="2"/>
        <v>-4.8959608323134729E-3</v>
      </c>
    </row>
    <row r="41" spans="1:16" x14ac:dyDescent="0.25">
      <c r="A41" s="8">
        <v>44434</v>
      </c>
      <c r="B41">
        <v>5017.62</v>
      </c>
      <c r="C41">
        <f t="shared" si="0"/>
        <v>-1.3308949324523645E-2</v>
      </c>
      <c r="D41" s="35">
        <v>8736.5</v>
      </c>
      <c r="E41" s="45">
        <f t="shared" si="3"/>
        <v>1.5533735720139052E-3</v>
      </c>
      <c r="F41">
        <v>4450300</v>
      </c>
      <c r="G41">
        <v>699.9</v>
      </c>
      <c r="H41" s="45">
        <f t="shared" si="1"/>
        <v>1.1123952614850996E-2</v>
      </c>
      <c r="I41">
        <v>2391900</v>
      </c>
      <c r="J41" s="38" t="s">
        <v>80</v>
      </c>
      <c r="K41" s="45">
        <f t="shared" si="2"/>
        <v>1.1214818030533147E-2</v>
      </c>
    </row>
    <row r="42" spans="1:16" x14ac:dyDescent="0.25">
      <c r="A42" s="8">
        <v>44435</v>
      </c>
      <c r="B42">
        <v>5108.24</v>
      </c>
      <c r="C42">
        <f t="shared" si="0"/>
        <v>1.8060355307894849E-2</v>
      </c>
      <c r="D42" s="35">
        <v>8743.85</v>
      </c>
      <c r="E42" s="45">
        <f t="shared" si="3"/>
        <v>8.4129800263266219E-4</v>
      </c>
      <c r="F42">
        <v>2344000</v>
      </c>
      <c r="G42">
        <v>705.65</v>
      </c>
      <c r="H42" s="45">
        <f t="shared" si="1"/>
        <v>8.2154593513359409E-3</v>
      </c>
      <c r="I42">
        <v>4222400</v>
      </c>
      <c r="J42" s="38" t="s">
        <v>81</v>
      </c>
      <c r="K42" s="45">
        <f t="shared" si="2"/>
        <v>1.3594733829422889E-3</v>
      </c>
    </row>
    <row r="43" spans="1:16" x14ac:dyDescent="0.25">
      <c r="A43" s="8">
        <v>44438</v>
      </c>
      <c r="B43">
        <v>5117.1000000000004</v>
      </c>
      <c r="C43">
        <f t="shared" si="0"/>
        <v>1.734452570748557E-3</v>
      </c>
      <c r="D43" s="35">
        <v>8795.9500000000007</v>
      </c>
      <c r="E43" s="45">
        <f t="shared" si="3"/>
        <v>5.9584736700653007E-3</v>
      </c>
      <c r="F43">
        <v>3472000</v>
      </c>
      <c r="G43">
        <v>729.2</v>
      </c>
      <c r="H43" s="45">
        <f t="shared" si="1"/>
        <v>3.3373485438957129E-2</v>
      </c>
      <c r="I43">
        <v>4167400</v>
      </c>
      <c r="J43" s="38" t="s">
        <v>82</v>
      </c>
      <c r="K43" s="45">
        <f t="shared" si="2"/>
        <v>1.9864237227581238E-2</v>
      </c>
    </row>
    <row r="44" spans="1:16" x14ac:dyDescent="0.25">
      <c r="A44" s="8">
        <v>44439</v>
      </c>
      <c r="B44">
        <v>5131.5600000000004</v>
      </c>
      <c r="C44">
        <f t="shared" si="0"/>
        <v>2.8258193117194352E-3</v>
      </c>
      <c r="D44" s="35">
        <v>8923.4</v>
      </c>
      <c r="E44" s="45">
        <f t="shared" si="3"/>
        <v>1.4489623065160551E-2</v>
      </c>
      <c r="F44">
        <v>3683200</v>
      </c>
      <c r="G44">
        <v>721.6</v>
      </c>
      <c r="H44" s="45">
        <f t="shared" si="1"/>
        <v>-1.0422380691168409E-2</v>
      </c>
      <c r="I44">
        <v>3616400</v>
      </c>
      <c r="J44" s="38" t="s">
        <v>83</v>
      </c>
      <c r="K44" s="45">
        <f t="shared" si="2"/>
        <v>7.5667343936103304E-3</v>
      </c>
    </row>
    <row r="45" spans="1:16" x14ac:dyDescent="0.25">
      <c r="A45" s="8">
        <v>44440</v>
      </c>
      <c r="B45">
        <v>5126.8</v>
      </c>
      <c r="C45">
        <f t="shared" si="0"/>
        <v>-9.2759316854917895E-4</v>
      </c>
      <c r="D45" s="35">
        <v>9025.25</v>
      </c>
      <c r="E45" s="45">
        <f t="shared" si="3"/>
        <v>1.141381087926141E-2</v>
      </c>
      <c r="F45">
        <v>4170900</v>
      </c>
      <c r="G45">
        <v>744.05</v>
      </c>
      <c r="H45" s="45">
        <f t="shared" si="1"/>
        <v>3.1111419068736046E-2</v>
      </c>
      <c r="I45">
        <v>2938500</v>
      </c>
      <c r="J45" s="38" t="s">
        <v>84</v>
      </c>
      <c r="K45" s="45">
        <f t="shared" si="2"/>
        <v>1.1821152910089783E-3</v>
      </c>
    </row>
    <row r="46" spans="1:16" x14ac:dyDescent="0.25">
      <c r="A46" s="8">
        <v>44441</v>
      </c>
      <c r="B46">
        <v>5201.1000000000004</v>
      </c>
      <c r="C46">
        <f t="shared" si="0"/>
        <v>1.4492470937036872E-2</v>
      </c>
      <c r="D46" s="35">
        <v>9020.25</v>
      </c>
      <c r="E46" s="45">
        <f t="shared" si="3"/>
        <v>-5.5400127420290879E-4</v>
      </c>
      <c r="F46">
        <v>7123800</v>
      </c>
      <c r="G46">
        <v>768.15</v>
      </c>
      <c r="H46" s="45">
        <f t="shared" si="1"/>
        <v>3.2390296351051617E-2</v>
      </c>
      <c r="I46">
        <v>3147700</v>
      </c>
      <c r="J46" s="38" t="s">
        <v>85</v>
      </c>
      <c r="K46" s="45">
        <f t="shared" si="2"/>
        <v>7.2926795388248422E-3</v>
      </c>
    </row>
    <row r="47" spans="1:16" x14ac:dyDescent="0.25">
      <c r="A47" s="8">
        <v>44442</v>
      </c>
      <c r="B47">
        <v>5207.13</v>
      </c>
      <c r="C47">
        <f t="shared" si="0"/>
        <v>1.1593701332410777E-3</v>
      </c>
      <c r="D47" s="35">
        <v>9104.9500000000007</v>
      </c>
      <c r="E47" s="45">
        <f t="shared" si="3"/>
        <v>9.3899836479034438E-3</v>
      </c>
      <c r="F47">
        <v>8217300</v>
      </c>
      <c r="G47">
        <v>772.25</v>
      </c>
      <c r="H47" s="45">
        <f t="shared" si="1"/>
        <v>5.3374991863568422E-3</v>
      </c>
      <c r="I47">
        <v>3223000</v>
      </c>
      <c r="J47" s="38" t="s">
        <v>86</v>
      </c>
      <c r="K47" s="45">
        <f t="shared" si="2"/>
        <v>-1.172171274908651E-3</v>
      </c>
    </row>
    <row r="48" spans="1:16" x14ac:dyDescent="0.25">
      <c r="A48" s="8">
        <v>44445</v>
      </c>
      <c r="B48">
        <v>5259.06</v>
      </c>
      <c r="C48">
        <f t="shared" si="0"/>
        <v>9.9728641305287802E-3</v>
      </c>
      <c r="D48" s="35">
        <v>9152.85</v>
      </c>
      <c r="E48" s="45">
        <f t="shared" si="3"/>
        <v>5.2608745792124267E-3</v>
      </c>
      <c r="F48">
        <v>11191100</v>
      </c>
      <c r="G48">
        <v>753.35</v>
      </c>
      <c r="H48" s="45">
        <f t="shared" si="1"/>
        <v>-2.4473939786338605E-2</v>
      </c>
      <c r="I48">
        <v>2865400</v>
      </c>
      <c r="J48" s="38" t="s">
        <v>87</v>
      </c>
      <c r="K48" s="45">
        <f t="shared" si="2"/>
        <v>-4.3490266464172311E-3</v>
      </c>
    </row>
    <row r="49" spans="1:11" x14ac:dyDescent="0.25">
      <c r="A49" s="8">
        <v>44446</v>
      </c>
      <c r="B49">
        <v>5226.7</v>
      </c>
      <c r="C49">
        <f t="shared" si="0"/>
        <v>-6.1531908744149044E-3</v>
      </c>
      <c r="D49" s="35">
        <v>9177.4</v>
      </c>
      <c r="E49" s="45">
        <f t="shared" si="3"/>
        <v>2.6822246622635326E-3</v>
      </c>
      <c r="F49">
        <v>6056700</v>
      </c>
      <c r="G49">
        <v>730.4</v>
      </c>
      <c r="H49" s="45">
        <f t="shared" si="1"/>
        <v>-3.0463927789208256E-2</v>
      </c>
      <c r="I49">
        <v>3206500</v>
      </c>
      <c r="J49" s="38" t="s">
        <v>88</v>
      </c>
      <c r="K49" s="45">
        <f t="shared" si="2"/>
        <v>-5.8933647646121079E-3</v>
      </c>
    </row>
    <row r="50" spans="1:11" x14ac:dyDescent="0.25">
      <c r="A50" s="8">
        <v>44447</v>
      </c>
      <c r="B50">
        <v>5174.51</v>
      </c>
      <c r="C50">
        <f t="shared" si="0"/>
        <v>-9.9852679510972209E-3</v>
      </c>
      <c r="D50" s="35">
        <v>9164.2999999999993</v>
      </c>
      <c r="E50" s="45">
        <f t="shared" si="3"/>
        <v>-1.4274195305860049E-3</v>
      </c>
      <c r="F50">
        <v>3188200</v>
      </c>
      <c r="G50">
        <v>728.85</v>
      </c>
      <c r="H50" s="45">
        <f t="shared" si="1"/>
        <v>-2.1221248630886036E-3</v>
      </c>
      <c r="I50">
        <v>2386900</v>
      </c>
      <c r="J50" s="38" t="s">
        <v>89</v>
      </c>
      <c r="K50" s="45">
        <f t="shared" si="2"/>
        <v>5.6493234760777167E-3</v>
      </c>
    </row>
    <row r="51" spans="1:11" x14ac:dyDescent="0.25">
      <c r="A51" s="8">
        <v>44448</v>
      </c>
      <c r="B51">
        <v>5242.84</v>
      </c>
      <c r="C51">
        <f t="shared" si="0"/>
        <v>1.3205115073697815E-2</v>
      </c>
      <c r="D51" s="35">
        <v>9173.7999999999993</v>
      </c>
      <c r="E51" s="45">
        <f t="shared" si="3"/>
        <v>1.0366312757110752E-3</v>
      </c>
      <c r="F51">
        <v>4934800</v>
      </c>
      <c r="G51">
        <v>725.2</v>
      </c>
      <c r="H51" s="45">
        <f t="shared" si="1"/>
        <v>-5.0078891404267134E-3</v>
      </c>
      <c r="I51">
        <v>2161300</v>
      </c>
      <c r="J51" s="38" t="s">
        <v>90</v>
      </c>
      <c r="K51" s="45">
        <f t="shared" si="2"/>
        <v>-9.7094111935647209E-4</v>
      </c>
    </row>
    <row r="52" spans="1:11" x14ac:dyDescent="0.25">
      <c r="A52" s="8">
        <v>44452</v>
      </c>
      <c r="B52">
        <v>5300.22</v>
      </c>
      <c r="C52">
        <f t="shared" si="0"/>
        <v>1.0944449954604751E-2</v>
      </c>
      <c r="D52" s="35">
        <v>9189.35</v>
      </c>
      <c r="E52" s="45">
        <f t="shared" si="3"/>
        <v>1.6950445834877925E-3</v>
      </c>
      <c r="F52">
        <v>3346800</v>
      </c>
      <c r="G52">
        <v>716.45</v>
      </c>
      <c r="H52" s="45">
        <f t="shared" si="1"/>
        <v>-1.2065637065637014E-2</v>
      </c>
      <c r="I52">
        <v>2865000</v>
      </c>
      <c r="J52" s="38" t="s">
        <v>91</v>
      </c>
      <c r="K52" s="45">
        <f t="shared" si="2"/>
        <v>-1.7841027421034439E-2</v>
      </c>
    </row>
    <row r="53" spans="1:11" x14ac:dyDescent="0.25">
      <c r="A53" s="8">
        <v>44453</v>
      </c>
      <c r="B53">
        <v>5283.76</v>
      </c>
      <c r="C53">
        <f t="shared" si="0"/>
        <v>-3.1055314685051183E-3</v>
      </c>
      <c r="D53" s="35">
        <v>9192.7000000000007</v>
      </c>
      <c r="E53" s="45">
        <f t="shared" si="3"/>
        <v>3.6455244386157659E-4</v>
      </c>
      <c r="F53">
        <v>3692700</v>
      </c>
      <c r="G53">
        <v>732.3</v>
      </c>
      <c r="H53" s="45">
        <f t="shared" si="1"/>
        <v>2.2122967408751304E-2</v>
      </c>
      <c r="I53">
        <v>3999200</v>
      </c>
      <c r="J53" s="38" t="s">
        <v>92</v>
      </c>
      <c r="K53" s="45">
        <f t="shared" si="2"/>
        <v>7.0681368391278809E-5</v>
      </c>
    </row>
    <row r="54" spans="1:11" x14ac:dyDescent="0.25">
      <c r="A54" s="8">
        <v>44454</v>
      </c>
      <c r="B54">
        <v>5279.47</v>
      </c>
      <c r="C54">
        <f t="shared" si="0"/>
        <v>-8.1192181325417945E-4</v>
      </c>
      <c r="D54" s="35">
        <v>9222.2999999999993</v>
      </c>
      <c r="E54" s="45">
        <f t="shared" si="3"/>
        <v>3.2199462617075181E-3</v>
      </c>
      <c r="F54">
        <v>4502900</v>
      </c>
      <c r="G54">
        <v>753.9</v>
      </c>
      <c r="H54" s="45">
        <f t="shared" si="1"/>
        <v>2.9496108152396561E-2</v>
      </c>
      <c r="I54">
        <v>3796800</v>
      </c>
      <c r="J54" s="38" t="s">
        <v>93</v>
      </c>
      <c r="K54" s="45">
        <f t="shared" si="2"/>
        <v>9.7533394586188926E-3</v>
      </c>
    </row>
    <row r="55" spans="1:11" x14ac:dyDescent="0.25">
      <c r="A55" s="8">
        <v>44455</v>
      </c>
      <c r="B55">
        <v>5312.55</v>
      </c>
      <c r="C55">
        <f t="shared" si="0"/>
        <v>6.2657804665997574E-3</v>
      </c>
      <c r="D55" s="35">
        <v>9293.9500000000007</v>
      </c>
      <c r="E55" s="45">
        <f t="shared" si="3"/>
        <v>7.7692115849627985E-3</v>
      </c>
      <c r="F55">
        <v>6522100</v>
      </c>
      <c r="G55">
        <v>754.3</v>
      </c>
      <c r="H55" s="45">
        <f t="shared" si="1"/>
        <v>5.30574346730317E-4</v>
      </c>
      <c r="I55">
        <v>3647300</v>
      </c>
      <c r="J55" s="38" t="s">
        <v>94</v>
      </c>
      <c r="K55" s="45">
        <f t="shared" si="2"/>
        <v>1.7988381045705992E-2</v>
      </c>
    </row>
    <row r="56" spans="1:11" x14ac:dyDescent="0.25">
      <c r="A56" s="8">
        <v>44456</v>
      </c>
      <c r="B56">
        <v>5321.71</v>
      </c>
      <c r="C56">
        <f t="shared" si="0"/>
        <v>1.7242190661734824E-3</v>
      </c>
      <c r="D56" s="35">
        <v>9350.7000000000007</v>
      </c>
      <c r="E56" s="45">
        <f t="shared" si="3"/>
        <v>6.1061228003163048E-3</v>
      </c>
      <c r="F56">
        <v>4633400</v>
      </c>
      <c r="G56">
        <v>735.6</v>
      </c>
      <c r="H56" s="45">
        <f t="shared" si="1"/>
        <v>-2.4791197136417753E-2</v>
      </c>
      <c r="I56">
        <v>3861600</v>
      </c>
      <c r="J56" s="38" t="s">
        <v>95</v>
      </c>
      <c r="K56" s="45">
        <f t="shared" si="2"/>
        <v>-9.6947194719473329E-3</v>
      </c>
    </row>
    <row r="57" spans="1:11" x14ac:dyDescent="0.25">
      <c r="A57" s="8">
        <v>44459</v>
      </c>
      <c r="B57">
        <v>5196.51</v>
      </c>
      <c r="C57">
        <f t="shared" si="0"/>
        <v>-2.3526272570282836E-2</v>
      </c>
      <c r="D57" s="35">
        <v>9307.7999999999993</v>
      </c>
      <c r="E57" s="45">
        <f t="shared" si="3"/>
        <v>-4.5878918155861648E-3</v>
      </c>
      <c r="F57">
        <v>2700700</v>
      </c>
      <c r="G57">
        <v>744.4</v>
      </c>
      <c r="H57" s="45">
        <f t="shared" si="1"/>
        <v>1.1963023382272953E-2</v>
      </c>
      <c r="I57">
        <v>2854100</v>
      </c>
      <c r="J57" s="38" t="s">
        <v>96</v>
      </c>
      <c r="K57" s="45">
        <f t="shared" si="2"/>
        <v>-1.4094285912657045E-2</v>
      </c>
    </row>
    <row r="58" spans="1:11" x14ac:dyDescent="0.25">
      <c r="A58" s="8">
        <v>44460</v>
      </c>
      <c r="B58">
        <v>5204.8999999999996</v>
      </c>
      <c r="C58">
        <f t="shared" si="0"/>
        <v>1.6145451466464955E-3</v>
      </c>
      <c r="D58" s="35">
        <v>9186.4</v>
      </c>
      <c r="E58" s="45">
        <f t="shared" si="3"/>
        <v>-1.3042824297900601E-2</v>
      </c>
      <c r="F58">
        <v>3960100</v>
      </c>
      <c r="G58">
        <v>728.95</v>
      </c>
      <c r="H58" s="45">
        <f t="shared" si="1"/>
        <v>-2.0754970445996723E-2</v>
      </c>
      <c r="I58">
        <v>3332700</v>
      </c>
      <c r="J58" s="38" t="s">
        <v>97</v>
      </c>
      <c r="K58" s="45">
        <f t="shared" si="2"/>
        <v>2.6056338028168646E-3</v>
      </c>
    </row>
    <row r="59" spans="1:11" x14ac:dyDescent="0.25">
      <c r="A59" s="8">
        <v>44461</v>
      </c>
      <c r="B59">
        <v>5223.22</v>
      </c>
      <c r="C59">
        <f t="shared" si="0"/>
        <v>3.5197602259411376E-3</v>
      </c>
      <c r="D59" s="35">
        <v>9268.2999999999993</v>
      </c>
      <c r="E59" s="45">
        <f t="shared" si="3"/>
        <v>8.9153531307148981E-3</v>
      </c>
      <c r="F59">
        <v>4101700</v>
      </c>
      <c r="G59">
        <v>744.35</v>
      </c>
      <c r="H59" s="45">
        <f t="shared" si="1"/>
        <v>2.1126277522463877E-2</v>
      </c>
      <c r="I59">
        <v>3036700</v>
      </c>
      <c r="J59" s="38" t="s">
        <v>98</v>
      </c>
      <c r="K59" s="45">
        <f t="shared" si="2"/>
        <v>-1.1940717847861215E-2</v>
      </c>
    </row>
    <row r="60" spans="1:11" x14ac:dyDescent="0.25">
      <c r="A60" s="8">
        <v>44462</v>
      </c>
      <c r="B60">
        <v>5273.51</v>
      </c>
      <c r="C60">
        <f t="shared" si="0"/>
        <v>9.6281604067989246E-3</v>
      </c>
      <c r="D60" s="35">
        <v>9287.9500000000007</v>
      </c>
      <c r="E60" s="45">
        <f t="shared" si="3"/>
        <v>2.1201299051607503E-3</v>
      </c>
      <c r="F60">
        <v>2841300</v>
      </c>
      <c r="G60">
        <v>750.25</v>
      </c>
      <c r="H60" s="45">
        <f t="shared" si="1"/>
        <v>7.9263787196883762E-3</v>
      </c>
      <c r="I60">
        <v>2943200</v>
      </c>
      <c r="J60" s="38" t="s">
        <v>99</v>
      </c>
      <c r="K60" s="45">
        <f t="shared" si="2"/>
        <v>1.9407123053956088E-2</v>
      </c>
    </row>
    <row r="61" spans="1:11" x14ac:dyDescent="0.25">
      <c r="A61" s="8">
        <v>44463</v>
      </c>
      <c r="B61">
        <v>5288.45</v>
      </c>
      <c r="C61">
        <f t="shared" si="0"/>
        <v>2.8330277177817109E-3</v>
      </c>
      <c r="D61" s="35">
        <v>9427.5499999999993</v>
      </c>
      <c r="E61" s="45">
        <f t="shared" si="3"/>
        <v>1.5030227337571533E-2</v>
      </c>
      <c r="F61">
        <v>1999100</v>
      </c>
      <c r="G61">
        <v>747.75</v>
      </c>
      <c r="H61" s="45">
        <f t="shared" si="1"/>
        <v>-3.3322225924691251E-3</v>
      </c>
      <c r="I61">
        <v>1905400</v>
      </c>
      <c r="J61" s="38" t="s">
        <v>100</v>
      </c>
      <c r="K61" s="45">
        <f t="shared" si="2"/>
        <v>8.298465829846613E-3</v>
      </c>
    </row>
    <row r="62" spans="1:11" x14ac:dyDescent="0.25">
      <c r="A62" s="8">
        <v>44466</v>
      </c>
      <c r="B62">
        <v>5367.44</v>
      </c>
      <c r="C62">
        <f t="shared" si="0"/>
        <v>1.4936323497433124E-2</v>
      </c>
      <c r="D62" s="35">
        <v>9420</v>
      </c>
      <c r="E62" s="45">
        <f t="shared" si="3"/>
        <v>-8.0084433389371323E-4</v>
      </c>
      <c r="F62">
        <v>3163600</v>
      </c>
      <c r="G62">
        <v>737.65</v>
      </c>
      <c r="H62" s="45">
        <f t="shared" si="1"/>
        <v>-1.3507188231360767E-2</v>
      </c>
      <c r="I62">
        <v>4849400</v>
      </c>
      <c r="J62" s="38" t="s">
        <v>101</v>
      </c>
      <c r="K62" s="45">
        <f t="shared" si="2"/>
        <v>9.7517117366345829E-3</v>
      </c>
    </row>
    <row r="63" spans="1:11" x14ac:dyDescent="0.25">
      <c r="A63" s="8">
        <v>44467</v>
      </c>
      <c r="B63">
        <v>5377.73</v>
      </c>
      <c r="C63">
        <f t="shared" si="0"/>
        <v>1.9171150492600653E-3</v>
      </c>
      <c r="D63" s="35">
        <v>9418.25</v>
      </c>
      <c r="E63" s="45">
        <f t="shared" si="3"/>
        <v>-1.8577494692140206E-4</v>
      </c>
      <c r="F63">
        <v>2976900</v>
      </c>
      <c r="G63">
        <v>749.6</v>
      </c>
      <c r="H63" s="45">
        <f t="shared" si="1"/>
        <v>1.6200094895953532E-2</v>
      </c>
      <c r="I63">
        <v>4405800</v>
      </c>
      <c r="J63" s="38" t="s">
        <v>102</v>
      </c>
      <c r="K63" s="45">
        <f t="shared" si="2"/>
        <v>-1.7602739726027439E-2</v>
      </c>
    </row>
    <row r="64" spans="1:11" x14ac:dyDescent="0.25">
      <c r="A64" s="8">
        <v>44468</v>
      </c>
      <c r="B64">
        <v>5366.23</v>
      </c>
      <c r="C64">
        <f t="shared" si="0"/>
        <v>-2.1384487506810324E-3</v>
      </c>
      <c r="D64" s="35">
        <v>9359.15</v>
      </c>
      <c r="E64" s="45">
        <f t="shared" si="3"/>
        <v>-6.2750510976030682E-3</v>
      </c>
      <c r="F64">
        <v>3556500</v>
      </c>
      <c r="G64">
        <v>759.1</v>
      </c>
      <c r="H64" s="45">
        <f t="shared" si="1"/>
        <v>1.2673425827107732E-2</v>
      </c>
      <c r="I64">
        <v>3340300</v>
      </c>
      <c r="J64" s="38" t="s">
        <v>103</v>
      </c>
      <c r="K64" s="45">
        <f t="shared" si="2"/>
        <v>-1.0667224430035538E-2</v>
      </c>
    </row>
    <row r="65" spans="1:11" x14ac:dyDescent="0.25">
      <c r="A65" s="8">
        <v>44469</v>
      </c>
      <c r="B65">
        <v>5435.37</v>
      </c>
      <c r="C65">
        <f t="shared" si="0"/>
        <v>1.2884278161763518E-2</v>
      </c>
      <c r="D65" s="35">
        <v>9350.7999999999993</v>
      </c>
      <c r="E65" s="45">
        <f t="shared" si="3"/>
        <v>-8.9217503726302105E-4</v>
      </c>
      <c r="F65">
        <v>3060100</v>
      </c>
      <c r="G65">
        <v>758.35</v>
      </c>
      <c r="H65" s="45">
        <f t="shared" si="1"/>
        <v>-9.8801211961530022E-4</v>
      </c>
      <c r="I65">
        <v>3376000</v>
      </c>
      <c r="J65" s="38" t="s">
        <v>104</v>
      </c>
      <c r="K65" s="45">
        <f t="shared" si="2"/>
        <v>-1.2191684284707516E-2</v>
      </c>
    </row>
    <row r="66" spans="1:11" x14ac:dyDescent="0.25">
      <c r="A66" s="8">
        <v>44470</v>
      </c>
      <c r="B66">
        <v>5470.02</v>
      </c>
      <c r="C66">
        <f t="shared" si="0"/>
        <v>6.3749109996191766E-3</v>
      </c>
      <c r="D66" s="35">
        <v>9318.5499999999993</v>
      </c>
      <c r="E66" s="45">
        <f t="shared" si="3"/>
        <v>-3.4489027676776196E-3</v>
      </c>
      <c r="F66">
        <v>2777600</v>
      </c>
      <c r="G66">
        <v>761.95</v>
      </c>
      <c r="H66" s="45">
        <f t="shared" si="1"/>
        <v>4.7471484143206677E-3</v>
      </c>
      <c r="I66">
        <v>3735100</v>
      </c>
      <c r="J66" s="38" t="s">
        <v>105</v>
      </c>
      <c r="K66" s="45">
        <f t="shared" si="2"/>
        <v>-1.2128130127702086E-2</v>
      </c>
    </row>
    <row r="67" spans="1:11" x14ac:dyDescent="0.25">
      <c r="A67" s="8">
        <v>44473</v>
      </c>
      <c r="B67">
        <v>5481.59</v>
      </c>
      <c r="C67">
        <f t="shared" si="0"/>
        <v>2.1151659408922274E-3</v>
      </c>
      <c r="D67" s="35">
        <v>9288.9500000000007</v>
      </c>
      <c r="E67" s="45">
        <f t="shared" si="3"/>
        <v>-3.1764598569518077E-3</v>
      </c>
      <c r="F67">
        <v>2903800</v>
      </c>
      <c r="G67">
        <v>784.85</v>
      </c>
      <c r="H67" s="45">
        <f t="shared" si="1"/>
        <v>3.0054465516109907E-2</v>
      </c>
      <c r="I67">
        <v>2865800</v>
      </c>
      <c r="J67" s="38" t="s">
        <v>106</v>
      </c>
      <c r="K67" s="45">
        <f t="shared" si="2"/>
        <v>1.1338195999133438E-2</v>
      </c>
    </row>
    <row r="68" spans="1:11" x14ac:dyDescent="0.25">
      <c r="A68" s="8">
        <v>44474</v>
      </c>
      <c r="B68">
        <v>5558.42</v>
      </c>
      <c r="C68">
        <f t="shared" ref="C68:C131" si="4">B68/B67-1</f>
        <v>1.4016006304740092E-2</v>
      </c>
      <c r="D68" s="35">
        <v>9389.0499999999993</v>
      </c>
      <c r="E68" s="45">
        <f t="shared" si="3"/>
        <v>1.0776244893125453E-2</v>
      </c>
      <c r="F68">
        <v>3522800</v>
      </c>
      <c r="G68">
        <v>759</v>
      </c>
      <c r="H68" s="45">
        <f t="shared" ref="H68:H131" si="5">G68/G67-1</f>
        <v>-3.2936229852838173E-2</v>
      </c>
      <c r="I68">
        <v>3714700</v>
      </c>
      <c r="J68" s="38" t="s">
        <v>107</v>
      </c>
      <c r="K68" s="45">
        <f t="shared" ref="K68:K131" si="6">J68/J67-1</f>
        <v>-4.4273064838618037E-3</v>
      </c>
    </row>
    <row r="69" spans="1:11" x14ac:dyDescent="0.25">
      <c r="A69" s="8">
        <v>44475</v>
      </c>
      <c r="B69">
        <v>5585.5</v>
      </c>
      <c r="C69">
        <f t="shared" si="4"/>
        <v>4.8718880545191023E-3</v>
      </c>
      <c r="D69" s="35">
        <v>9451.6</v>
      </c>
      <c r="E69" s="45">
        <f t="shared" ref="E69:E132" si="7">D69/D68-1</f>
        <v>6.6620158588994727E-3</v>
      </c>
      <c r="F69">
        <v>2792100</v>
      </c>
      <c r="G69">
        <v>743.85</v>
      </c>
      <c r="H69" s="45">
        <f t="shared" si="5"/>
        <v>-1.9960474308300391E-2</v>
      </c>
      <c r="I69">
        <v>3522600</v>
      </c>
      <c r="J69" s="38" t="s">
        <v>108</v>
      </c>
      <c r="K69" s="45">
        <f t="shared" si="6"/>
        <v>-1.0902309568211144E-2</v>
      </c>
    </row>
    <row r="70" spans="1:11" x14ac:dyDescent="0.25">
      <c r="A70" s="8">
        <v>44476</v>
      </c>
      <c r="B70">
        <v>5583.08</v>
      </c>
      <c r="C70">
        <f t="shared" si="4"/>
        <v>-4.3326470324944744E-4</v>
      </c>
      <c r="D70" s="35">
        <v>9360.0499999999993</v>
      </c>
      <c r="E70" s="45">
        <f t="shared" si="7"/>
        <v>-9.6861906978713552E-3</v>
      </c>
      <c r="F70">
        <v>2803700</v>
      </c>
      <c r="G70">
        <v>758.7</v>
      </c>
      <c r="H70" s="45">
        <f t="shared" si="5"/>
        <v>1.9963702359346636E-2</v>
      </c>
      <c r="I70">
        <v>4666800</v>
      </c>
      <c r="J70" s="38" t="s">
        <v>109</v>
      </c>
      <c r="K70" s="45">
        <f t="shared" si="6"/>
        <v>1.8419144307469271E-2</v>
      </c>
    </row>
    <row r="71" spans="1:11" x14ac:dyDescent="0.25">
      <c r="A71" s="8">
        <v>44477</v>
      </c>
      <c r="B71">
        <v>5520.08</v>
      </c>
      <c r="C71">
        <f t="shared" si="4"/>
        <v>-1.1284094084268892E-2</v>
      </c>
      <c r="D71" s="35">
        <v>9452.35</v>
      </c>
      <c r="E71" s="45">
        <f t="shared" si="7"/>
        <v>9.8610584345171226E-3</v>
      </c>
      <c r="F71">
        <v>1967900</v>
      </c>
      <c r="G71">
        <v>755.95</v>
      </c>
      <c r="H71" s="45">
        <f t="shared" si="5"/>
        <v>-3.6246210623435138E-3</v>
      </c>
      <c r="I71">
        <v>2003600</v>
      </c>
      <c r="J71" s="38" t="s">
        <v>110</v>
      </c>
      <c r="K71" s="45">
        <f t="shared" si="6"/>
        <v>1.7089148390769804E-3</v>
      </c>
    </row>
    <row r="72" spans="1:11" x14ac:dyDescent="0.25">
      <c r="A72" s="8">
        <v>44480</v>
      </c>
      <c r="B72">
        <v>5564.37</v>
      </c>
      <c r="C72">
        <f t="shared" si="4"/>
        <v>8.0234344429790383E-3</v>
      </c>
      <c r="D72" s="35">
        <v>9495.7000000000007</v>
      </c>
      <c r="E72" s="45">
        <f t="shared" si="7"/>
        <v>4.5861611133739544E-3</v>
      </c>
      <c r="F72">
        <v>3190000</v>
      </c>
      <c r="G72">
        <v>816.55</v>
      </c>
      <c r="H72" s="45">
        <f t="shared" si="5"/>
        <v>8.016403201269906E-2</v>
      </c>
      <c r="I72">
        <v>2316900</v>
      </c>
      <c r="J72" s="38" t="s">
        <v>111</v>
      </c>
      <c r="K72" s="45">
        <f t="shared" si="6"/>
        <v>1.4074495308501467E-2</v>
      </c>
    </row>
    <row r="73" spans="1:11" x14ac:dyDescent="0.25">
      <c r="A73" s="8">
        <v>44481</v>
      </c>
      <c r="B73">
        <v>5646.77</v>
      </c>
      <c r="C73">
        <f t="shared" si="4"/>
        <v>1.4808504826242741E-2</v>
      </c>
      <c r="D73" s="35">
        <v>9529.4</v>
      </c>
      <c r="E73" s="45">
        <f t="shared" si="7"/>
        <v>3.5489747991195308E-3</v>
      </c>
      <c r="F73">
        <v>4831500</v>
      </c>
      <c r="G73">
        <v>843.3</v>
      </c>
      <c r="H73" s="45">
        <f t="shared" si="5"/>
        <v>3.2759782009674776E-2</v>
      </c>
      <c r="I73">
        <v>2904600</v>
      </c>
      <c r="J73" s="38" t="s">
        <v>112</v>
      </c>
      <c r="K73" s="45">
        <f t="shared" si="6"/>
        <v>-6.5890929482684824E-3</v>
      </c>
    </row>
    <row r="74" spans="1:11" x14ac:dyDescent="0.25">
      <c r="A74" s="8">
        <v>44482</v>
      </c>
      <c r="B74">
        <v>5650.66</v>
      </c>
      <c r="C74">
        <f t="shared" si="4"/>
        <v>6.8888940048905667E-4</v>
      </c>
      <c r="D74" s="35">
        <v>9563.65</v>
      </c>
      <c r="E74" s="45">
        <f t="shared" si="7"/>
        <v>3.5941402396792999E-3</v>
      </c>
      <c r="F74">
        <v>4079500</v>
      </c>
      <c r="G74">
        <v>877.3</v>
      </c>
      <c r="H74" s="45">
        <f t="shared" si="5"/>
        <v>4.0317799122495002E-2</v>
      </c>
      <c r="I74">
        <v>3044000</v>
      </c>
      <c r="J74" s="38" t="s">
        <v>113</v>
      </c>
      <c r="K74" s="45">
        <f t="shared" si="6"/>
        <v>1.9051651143100479E-3</v>
      </c>
    </row>
    <row r="75" spans="1:11" x14ac:dyDescent="0.25">
      <c r="A75" s="8">
        <v>44483</v>
      </c>
      <c r="B75">
        <v>5598.61</v>
      </c>
      <c r="C75">
        <f t="shared" si="4"/>
        <v>-9.211313368703844E-3</v>
      </c>
      <c r="D75" s="35">
        <v>9662.4500000000007</v>
      </c>
      <c r="E75" s="45">
        <f t="shared" si="7"/>
        <v>1.0330783748882633E-2</v>
      </c>
      <c r="F75">
        <v>3382700</v>
      </c>
      <c r="G75">
        <v>878.5</v>
      </c>
      <c r="H75" s="45">
        <f t="shared" si="5"/>
        <v>1.3678331243589525E-3</v>
      </c>
      <c r="I75">
        <v>2306600</v>
      </c>
      <c r="J75" s="38" t="s">
        <v>114</v>
      </c>
      <c r="K75" s="45">
        <f t="shared" si="6"/>
        <v>2.4438340728220265E-2</v>
      </c>
    </row>
    <row r="76" spans="1:11" x14ac:dyDescent="0.25">
      <c r="A76" s="8">
        <v>44487</v>
      </c>
      <c r="B76">
        <v>5714.41</v>
      </c>
      <c r="C76">
        <f t="shared" si="4"/>
        <v>2.0683705419738185E-2</v>
      </c>
      <c r="D76" s="35">
        <v>9751.25</v>
      </c>
      <c r="E76" s="45">
        <f t="shared" si="7"/>
        <v>9.1902157320347122E-3</v>
      </c>
      <c r="F76">
        <v>3192500</v>
      </c>
      <c r="G76">
        <v>843.4</v>
      </c>
      <c r="H76" s="45">
        <f t="shared" si="5"/>
        <v>-3.9954467842914121E-2</v>
      </c>
      <c r="I76">
        <v>3532800</v>
      </c>
      <c r="J76" s="38" t="s">
        <v>115</v>
      </c>
      <c r="K76" s="45">
        <f t="shared" si="6"/>
        <v>2.4955314175718613E-2</v>
      </c>
    </row>
    <row r="77" spans="1:11" x14ac:dyDescent="0.25">
      <c r="A77" s="8">
        <v>44488</v>
      </c>
      <c r="B77">
        <v>5722.85</v>
      </c>
      <c r="C77">
        <f t="shared" si="4"/>
        <v>1.4769678759487537E-3</v>
      </c>
      <c r="D77" s="35">
        <v>9823.15</v>
      </c>
      <c r="E77" s="45">
        <f t="shared" si="7"/>
        <v>7.3734136649146187E-3</v>
      </c>
      <c r="F77">
        <v>3229900</v>
      </c>
      <c r="G77">
        <v>819.75</v>
      </c>
      <c r="H77" s="45">
        <f t="shared" si="5"/>
        <v>-2.8041261560350916E-2</v>
      </c>
      <c r="I77">
        <v>2712000</v>
      </c>
      <c r="J77" s="38" t="s">
        <v>116</v>
      </c>
      <c r="K77" s="45">
        <f t="shared" si="6"/>
        <v>2.6829431886778998E-3</v>
      </c>
    </row>
    <row r="78" spans="1:11" x14ac:dyDescent="0.25">
      <c r="A78" s="8">
        <v>44489</v>
      </c>
      <c r="B78">
        <v>5706.06</v>
      </c>
      <c r="C78">
        <f t="shared" si="4"/>
        <v>-2.9338528879840897E-3</v>
      </c>
      <c r="D78" s="35">
        <v>9754</v>
      </c>
      <c r="E78" s="45">
        <f t="shared" si="7"/>
        <v>-7.0394934415131116E-3</v>
      </c>
      <c r="F78">
        <v>4357200</v>
      </c>
      <c r="G78">
        <v>797.15</v>
      </c>
      <c r="H78" s="45">
        <f t="shared" si="5"/>
        <v>-2.7569380908813668E-2</v>
      </c>
      <c r="I78">
        <v>3292100</v>
      </c>
      <c r="J78" s="38" t="s">
        <v>117</v>
      </c>
      <c r="K78" s="45">
        <f t="shared" si="6"/>
        <v>-2.1406114121346187E-3</v>
      </c>
    </row>
    <row r="79" spans="1:11" x14ac:dyDescent="0.25">
      <c r="A79" s="8">
        <v>44490</v>
      </c>
      <c r="B79">
        <v>5627.43</v>
      </c>
      <c r="C79">
        <f t="shared" si="4"/>
        <v>-1.3780086434422412E-2</v>
      </c>
      <c r="D79" s="35">
        <v>9645.1</v>
      </c>
      <c r="E79" s="45">
        <f t="shared" si="7"/>
        <v>-1.116465039983594E-2</v>
      </c>
      <c r="F79">
        <v>3837200</v>
      </c>
      <c r="G79">
        <v>771.8</v>
      </c>
      <c r="H79" s="45">
        <f t="shared" si="5"/>
        <v>-3.1800790315498983E-2</v>
      </c>
      <c r="I79">
        <v>3284800</v>
      </c>
      <c r="J79" s="38" t="s">
        <v>118</v>
      </c>
      <c r="K79" s="45">
        <f t="shared" si="6"/>
        <v>1.2938258362941601E-2</v>
      </c>
    </row>
    <row r="80" spans="1:11" x14ac:dyDescent="0.25">
      <c r="A80" s="8">
        <v>44491</v>
      </c>
      <c r="B80">
        <v>5631.41</v>
      </c>
      <c r="C80">
        <f t="shared" si="4"/>
        <v>7.0725002354521393E-4</v>
      </c>
      <c r="D80" s="35">
        <v>9597.7000000000007</v>
      </c>
      <c r="E80" s="45">
        <f t="shared" si="7"/>
        <v>-4.9144124996111094E-3</v>
      </c>
      <c r="F80">
        <v>7840500</v>
      </c>
      <c r="G80">
        <v>784.3</v>
      </c>
      <c r="H80" s="45">
        <f t="shared" si="5"/>
        <v>1.6195905675045363E-2</v>
      </c>
      <c r="I80">
        <v>4806000</v>
      </c>
      <c r="J80" s="38" t="s">
        <v>119</v>
      </c>
      <c r="K80" s="45">
        <f t="shared" si="6"/>
        <v>5.0297816015882901E-3</v>
      </c>
    </row>
    <row r="81" spans="1:11" x14ac:dyDescent="0.25">
      <c r="A81" s="8">
        <v>44494</v>
      </c>
      <c r="B81">
        <v>5549.09</v>
      </c>
      <c r="C81">
        <f t="shared" si="4"/>
        <v>-1.4618008633716872E-2</v>
      </c>
      <c r="D81" s="35">
        <v>9546.2999999999993</v>
      </c>
      <c r="E81" s="45">
        <f t="shared" si="7"/>
        <v>-5.3554497431678172E-3</v>
      </c>
      <c r="F81">
        <v>2419600</v>
      </c>
      <c r="G81">
        <v>752.25</v>
      </c>
      <c r="H81" s="45">
        <f t="shared" si="5"/>
        <v>-4.0864465128139682E-2</v>
      </c>
      <c r="I81">
        <v>3366800</v>
      </c>
      <c r="J81" s="38" t="s">
        <v>120</v>
      </c>
      <c r="K81" s="45">
        <f t="shared" si="6"/>
        <v>0.10852100618991178</v>
      </c>
    </row>
    <row r="82" spans="1:11" x14ac:dyDescent="0.25">
      <c r="A82" s="8">
        <v>44495</v>
      </c>
      <c r="B82">
        <v>5551.19</v>
      </c>
      <c r="C82">
        <f t="shared" si="4"/>
        <v>3.7844042897106078E-4</v>
      </c>
      <c r="D82" s="35">
        <v>9519.1</v>
      </c>
      <c r="E82" s="45">
        <f t="shared" si="7"/>
        <v>-2.8492714454814161E-3</v>
      </c>
      <c r="F82">
        <v>2494400</v>
      </c>
      <c r="G82">
        <v>762.65</v>
      </c>
      <c r="H82" s="45">
        <f t="shared" si="5"/>
        <v>1.3825191093386424E-2</v>
      </c>
      <c r="I82">
        <v>3755300</v>
      </c>
      <c r="J82" s="38" t="s">
        <v>121</v>
      </c>
      <c r="K82" s="45">
        <f t="shared" si="6"/>
        <v>-1.4613282642271685E-2</v>
      </c>
    </row>
    <row r="83" spans="1:11" x14ac:dyDescent="0.25">
      <c r="A83" s="8">
        <v>44496</v>
      </c>
      <c r="B83">
        <v>5523.35</v>
      </c>
      <c r="C83">
        <f t="shared" si="4"/>
        <v>-5.0151408977172629E-3</v>
      </c>
      <c r="D83" s="35">
        <v>9610.5499999999993</v>
      </c>
      <c r="E83" s="45">
        <f t="shared" si="7"/>
        <v>9.6070006618271808E-3</v>
      </c>
      <c r="F83">
        <v>3387200</v>
      </c>
      <c r="G83">
        <v>745.1</v>
      </c>
      <c r="H83" s="45">
        <f t="shared" si="5"/>
        <v>-2.3011866518061974E-2</v>
      </c>
      <c r="I83">
        <v>3481500</v>
      </c>
      <c r="J83" s="38" t="s">
        <v>122</v>
      </c>
      <c r="K83" s="45">
        <f t="shared" si="6"/>
        <v>6.7518688208343391E-3</v>
      </c>
    </row>
    <row r="84" spans="1:11" x14ac:dyDescent="0.25">
      <c r="A84" s="8">
        <v>44497</v>
      </c>
      <c r="B84">
        <v>5555.84</v>
      </c>
      <c r="C84">
        <f t="shared" si="4"/>
        <v>5.8822996913103776E-3</v>
      </c>
      <c r="D84" s="35">
        <v>9595.6</v>
      </c>
      <c r="E84" s="45">
        <f t="shared" si="7"/>
        <v>-1.5555821467032604E-3</v>
      </c>
      <c r="F84">
        <v>2715600</v>
      </c>
      <c r="G84">
        <v>713.1</v>
      </c>
      <c r="H84" s="45">
        <f t="shared" si="5"/>
        <v>-4.2947255401959428E-2</v>
      </c>
      <c r="I84">
        <v>3855400</v>
      </c>
      <c r="J84" s="38" t="s">
        <v>123</v>
      </c>
      <c r="K84" s="45">
        <f t="shared" si="6"/>
        <v>-4.3473053892215563E-2</v>
      </c>
    </row>
    <row r="85" spans="1:11" x14ac:dyDescent="0.25">
      <c r="A85" s="8">
        <v>44498</v>
      </c>
      <c r="B85">
        <v>5509.61</v>
      </c>
      <c r="C85">
        <f t="shared" si="4"/>
        <v>-8.3209739661330717E-3</v>
      </c>
      <c r="D85" s="35">
        <v>9406.7999999999993</v>
      </c>
      <c r="E85" s="45">
        <f t="shared" si="7"/>
        <v>-1.9675684688815864E-2</v>
      </c>
      <c r="F85">
        <v>3397700</v>
      </c>
      <c r="G85">
        <v>738</v>
      </c>
      <c r="H85" s="45">
        <f t="shared" si="5"/>
        <v>3.4917963819941056E-2</v>
      </c>
      <c r="I85">
        <v>2991400</v>
      </c>
      <c r="J85" s="38" t="s">
        <v>124</v>
      </c>
      <c r="K85" s="45">
        <f t="shared" si="6"/>
        <v>4.1943157631150196E-3</v>
      </c>
    </row>
    <row r="86" spans="1:11" x14ac:dyDescent="0.25">
      <c r="A86" s="8">
        <v>44501</v>
      </c>
      <c r="B86">
        <v>5501.38</v>
      </c>
      <c r="C86">
        <f t="shared" si="4"/>
        <v>-1.4937536413647257E-3</v>
      </c>
      <c r="D86" s="35">
        <v>9338.2000000000007</v>
      </c>
      <c r="E86" s="45">
        <f t="shared" si="7"/>
        <v>-7.2925968448355194E-3</v>
      </c>
      <c r="F86">
        <v>3639800</v>
      </c>
      <c r="G86">
        <v>764.75</v>
      </c>
      <c r="H86" s="45">
        <f t="shared" si="5"/>
        <v>3.6246612466124706E-2</v>
      </c>
      <c r="I86">
        <v>3312800</v>
      </c>
      <c r="J86" s="38" t="s">
        <v>125</v>
      </c>
      <c r="K86" s="45">
        <f t="shared" si="6"/>
        <v>2.3065893647529201E-3</v>
      </c>
    </row>
    <row r="87" spans="1:11" x14ac:dyDescent="0.25">
      <c r="A87" s="8">
        <v>44502</v>
      </c>
      <c r="B87">
        <v>5526.48</v>
      </c>
      <c r="C87">
        <f t="shared" si="4"/>
        <v>4.5624915930184695E-3</v>
      </c>
      <c r="D87" s="35">
        <v>9475.65</v>
      </c>
      <c r="E87" s="45">
        <f t="shared" si="7"/>
        <v>1.4719110749394915E-2</v>
      </c>
      <c r="F87">
        <v>2923900</v>
      </c>
      <c r="G87">
        <v>762.15</v>
      </c>
      <c r="H87" s="45">
        <f t="shared" si="5"/>
        <v>-3.3998038574697409E-3</v>
      </c>
      <c r="I87">
        <v>3144600</v>
      </c>
      <c r="J87" s="38" t="s">
        <v>126</v>
      </c>
      <c r="K87" s="45">
        <f t="shared" si="6"/>
        <v>-3.66961064809046E-3</v>
      </c>
    </row>
    <row r="88" spans="1:11" x14ac:dyDescent="0.25">
      <c r="A88" s="8">
        <v>44503</v>
      </c>
      <c r="B88">
        <v>5590.55</v>
      </c>
      <c r="C88">
        <f t="shared" si="4"/>
        <v>1.1593274561746414E-2</v>
      </c>
      <c r="D88" s="35">
        <v>9470.85</v>
      </c>
      <c r="E88" s="45">
        <f t="shared" si="7"/>
        <v>-5.065615551439473E-4</v>
      </c>
      <c r="F88">
        <v>3436400</v>
      </c>
      <c r="G88">
        <v>743.15</v>
      </c>
      <c r="H88" s="45">
        <f t="shared" si="5"/>
        <v>-2.492947582496885E-2</v>
      </c>
      <c r="I88">
        <v>3301400</v>
      </c>
      <c r="J88" s="38" t="s">
        <v>127</v>
      </c>
      <c r="K88" s="45">
        <f t="shared" si="6"/>
        <v>-1.8727760784068903E-2</v>
      </c>
    </row>
    <row r="89" spans="1:11" x14ac:dyDescent="0.25">
      <c r="A89" s="8">
        <v>44504</v>
      </c>
      <c r="B89">
        <v>5558.46</v>
      </c>
      <c r="C89">
        <f t="shared" si="4"/>
        <v>-5.7400434662063793E-3</v>
      </c>
      <c r="D89" s="35">
        <v>9452.0499999999993</v>
      </c>
      <c r="E89" s="45">
        <f t="shared" si="7"/>
        <v>-1.9850383017364637E-3</v>
      </c>
      <c r="F89">
        <v>1458900</v>
      </c>
      <c r="G89">
        <v>757.95</v>
      </c>
      <c r="H89" s="45">
        <f t="shared" si="5"/>
        <v>1.9915225728318831E-2</v>
      </c>
      <c r="I89">
        <v>1625800</v>
      </c>
      <c r="J89" s="38" t="s">
        <v>128</v>
      </c>
      <c r="K89" s="45">
        <f t="shared" si="6"/>
        <v>-4.8985304408677433E-3</v>
      </c>
    </row>
    <row r="90" spans="1:11" x14ac:dyDescent="0.25">
      <c r="A90" s="8">
        <v>44508</v>
      </c>
      <c r="B90">
        <v>5639.16</v>
      </c>
      <c r="C90">
        <f t="shared" si="4"/>
        <v>1.4518409775369445E-2</v>
      </c>
      <c r="D90" s="35">
        <v>9502.4</v>
      </c>
      <c r="E90" s="45">
        <f t="shared" si="7"/>
        <v>5.3268867600151371E-3</v>
      </c>
      <c r="F90">
        <v>2217400</v>
      </c>
      <c r="G90">
        <v>789.8</v>
      </c>
      <c r="H90" s="45">
        <f t="shared" si="5"/>
        <v>4.2021241506695617E-2</v>
      </c>
      <c r="I90">
        <v>2980000</v>
      </c>
      <c r="J90" s="38" t="s">
        <v>129</v>
      </c>
      <c r="K90" s="45">
        <f t="shared" si="6"/>
        <v>-2.4932873034139158E-3</v>
      </c>
    </row>
    <row r="91" spans="1:11" x14ac:dyDescent="0.25">
      <c r="A91" s="8">
        <v>44509</v>
      </c>
      <c r="B91">
        <v>5642.44</v>
      </c>
      <c r="C91">
        <f t="shared" si="4"/>
        <v>5.8164691195128349E-4</v>
      </c>
      <c r="D91" s="35">
        <v>9592.15</v>
      </c>
      <c r="E91" s="45">
        <f t="shared" si="7"/>
        <v>9.4449823202560346E-3</v>
      </c>
      <c r="F91">
        <v>2079900</v>
      </c>
      <c r="G91">
        <v>779.15</v>
      </c>
      <c r="H91" s="45">
        <f t="shared" si="5"/>
        <v>-1.3484426437072594E-2</v>
      </c>
      <c r="I91">
        <v>2532600</v>
      </c>
      <c r="J91" s="38" t="s">
        <v>130</v>
      </c>
      <c r="K91" s="45">
        <f t="shared" si="6"/>
        <v>8.2035505992437141E-3</v>
      </c>
    </row>
    <row r="92" spans="1:11" x14ac:dyDescent="0.25">
      <c r="A92" s="8">
        <v>44510</v>
      </c>
      <c r="B92">
        <v>5617.17</v>
      </c>
      <c r="C92">
        <f t="shared" si="4"/>
        <v>-4.4785589213176547E-3</v>
      </c>
      <c r="D92" s="35">
        <v>9601.7999999999993</v>
      </c>
      <c r="E92" s="45">
        <f t="shared" si="7"/>
        <v>1.00603097324381E-3</v>
      </c>
      <c r="F92">
        <v>2460700</v>
      </c>
      <c r="G92">
        <v>780.2</v>
      </c>
      <c r="H92" s="45">
        <f t="shared" si="5"/>
        <v>1.3476224090356315E-3</v>
      </c>
      <c r="I92">
        <v>4970800</v>
      </c>
      <c r="J92" s="38" t="s">
        <v>131</v>
      </c>
      <c r="K92" s="45">
        <f t="shared" si="6"/>
        <v>-7.1832687051045507E-3</v>
      </c>
    </row>
    <row r="93" spans="1:11" x14ac:dyDescent="0.25">
      <c r="A93" s="8">
        <v>44511</v>
      </c>
      <c r="B93">
        <v>5544.79</v>
      </c>
      <c r="C93">
        <f t="shared" si="4"/>
        <v>-1.2885492160643164E-2</v>
      </c>
      <c r="D93" s="35">
        <v>9588.2000000000007</v>
      </c>
      <c r="E93" s="45">
        <f t="shared" si="7"/>
        <v>-1.4164010914619052E-3</v>
      </c>
      <c r="F93">
        <v>3225100</v>
      </c>
      <c r="G93">
        <v>778.45</v>
      </c>
      <c r="H93" s="45">
        <f t="shared" si="5"/>
        <v>-2.2430146116380056E-3</v>
      </c>
      <c r="I93">
        <v>4591000</v>
      </c>
      <c r="J93" s="38" t="s">
        <v>132</v>
      </c>
      <c r="K93" s="45">
        <f t="shared" si="6"/>
        <v>-1.2101421436803594E-2</v>
      </c>
    </row>
    <row r="94" spans="1:11" x14ac:dyDescent="0.25">
      <c r="A94" s="8">
        <v>44512</v>
      </c>
      <c r="B94">
        <v>5588.79</v>
      </c>
      <c r="C94">
        <f t="shared" si="4"/>
        <v>7.9353771738874812E-3</v>
      </c>
      <c r="D94" s="35">
        <v>9516.4</v>
      </c>
      <c r="E94" s="45">
        <f t="shared" si="7"/>
        <v>-7.4883711228386218E-3</v>
      </c>
      <c r="F94">
        <v>2036700</v>
      </c>
      <c r="G94">
        <v>801.7</v>
      </c>
      <c r="H94" s="45">
        <f t="shared" si="5"/>
        <v>2.9867043483846167E-2</v>
      </c>
      <c r="I94">
        <v>2847300</v>
      </c>
      <c r="J94" s="38" t="s">
        <v>133</v>
      </c>
      <c r="K94" s="45">
        <f t="shared" si="6"/>
        <v>6.6757404886901295E-3</v>
      </c>
    </row>
    <row r="95" spans="1:11" x14ac:dyDescent="0.25">
      <c r="A95" s="8">
        <v>44515</v>
      </c>
      <c r="B95">
        <v>5625.3</v>
      </c>
      <c r="C95">
        <f t="shared" si="4"/>
        <v>6.5327199626394883E-3</v>
      </c>
      <c r="D95" s="35">
        <v>9627.7000000000007</v>
      </c>
      <c r="E95" s="45">
        <f t="shared" si="7"/>
        <v>1.1695599176159144E-2</v>
      </c>
      <c r="F95">
        <v>2277800</v>
      </c>
      <c r="G95">
        <v>791.1</v>
      </c>
      <c r="H95" s="45">
        <f t="shared" si="5"/>
        <v>-1.3221903455157835E-2</v>
      </c>
      <c r="I95">
        <v>3761400</v>
      </c>
      <c r="J95" s="38" t="s">
        <v>134</v>
      </c>
      <c r="K95" s="45">
        <f t="shared" si="6"/>
        <v>-4.2492917847026801E-3</v>
      </c>
    </row>
    <row r="96" spans="1:11" x14ac:dyDescent="0.25">
      <c r="A96" s="8">
        <v>44516</v>
      </c>
      <c r="B96">
        <v>5583.85</v>
      </c>
      <c r="C96">
        <f t="shared" si="4"/>
        <v>-7.3684959024407082E-3</v>
      </c>
      <c r="D96" s="35">
        <v>9637.35</v>
      </c>
      <c r="E96" s="45">
        <f t="shared" si="7"/>
        <v>1.0023162333683278E-3</v>
      </c>
      <c r="F96">
        <v>2888900</v>
      </c>
      <c r="G96">
        <v>794.65</v>
      </c>
      <c r="H96" s="45">
        <f t="shared" si="5"/>
        <v>4.4874225761597497E-3</v>
      </c>
      <c r="I96">
        <v>4910200</v>
      </c>
      <c r="J96" s="38" t="s">
        <v>135</v>
      </c>
      <c r="K96" s="45">
        <f t="shared" si="6"/>
        <v>-1.1961722488038284E-2</v>
      </c>
    </row>
    <row r="97" spans="1:11" x14ac:dyDescent="0.25">
      <c r="A97" s="8">
        <v>44517</v>
      </c>
      <c r="B97">
        <v>5552.51</v>
      </c>
      <c r="C97">
        <f t="shared" si="4"/>
        <v>-5.612614952049233E-3</v>
      </c>
      <c r="D97" s="35">
        <v>9588.5</v>
      </c>
      <c r="E97" s="45">
        <f t="shared" si="7"/>
        <v>-5.0688207857969569E-3</v>
      </c>
      <c r="F97">
        <v>1836500</v>
      </c>
      <c r="G97">
        <v>784.2</v>
      </c>
      <c r="H97" s="45">
        <f t="shared" si="5"/>
        <v>-1.3150443591518179E-2</v>
      </c>
      <c r="I97">
        <v>3573600</v>
      </c>
      <c r="J97" s="38" t="s">
        <v>136</v>
      </c>
      <c r="K97" s="45">
        <f t="shared" si="6"/>
        <v>-3.5992408873765092E-3</v>
      </c>
    </row>
    <row r="98" spans="1:11" x14ac:dyDescent="0.25">
      <c r="A98" s="8">
        <v>44518</v>
      </c>
      <c r="B98">
        <v>5484.19</v>
      </c>
      <c r="C98">
        <f t="shared" si="4"/>
        <v>-1.2304345242061809E-2</v>
      </c>
      <c r="D98" s="35">
        <v>9539</v>
      </c>
      <c r="E98" s="45">
        <f t="shared" si="7"/>
        <v>-5.1624341659279871E-3</v>
      </c>
      <c r="F98">
        <v>2856500</v>
      </c>
      <c r="G98">
        <v>789.7</v>
      </c>
      <c r="H98" s="45">
        <f t="shared" si="5"/>
        <v>7.0135169599592206E-3</v>
      </c>
      <c r="I98">
        <v>3058700</v>
      </c>
      <c r="J98" s="38" t="s">
        <v>137</v>
      </c>
      <c r="K98" s="45">
        <f t="shared" si="6"/>
        <v>2.1016681991330444E-3</v>
      </c>
    </row>
    <row r="99" spans="1:11" x14ac:dyDescent="0.25">
      <c r="A99" s="8">
        <v>44522</v>
      </c>
      <c r="B99">
        <v>5555.26</v>
      </c>
      <c r="C99">
        <f t="shared" si="4"/>
        <v>1.2959069616479413E-2</v>
      </c>
      <c r="D99" s="35">
        <v>9451.65</v>
      </c>
      <c r="E99" s="45">
        <f t="shared" si="7"/>
        <v>-9.1571443547542319E-3</v>
      </c>
      <c r="F99">
        <v>2025500</v>
      </c>
      <c r="G99">
        <v>780.75</v>
      </c>
      <c r="H99" s="45">
        <f t="shared" si="5"/>
        <v>-1.1333417753577324E-2</v>
      </c>
      <c r="I99">
        <v>3843300</v>
      </c>
      <c r="J99" s="38" t="s">
        <v>138</v>
      </c>
      <c r="K99" s="45">
        <f t="shared" si="6"/>
        <v>-1.4287586839690669E-2</v>
      </c>
    </row>
    <row r="100" spans="1:11" x14ac:dyDescent="0.25">
      <c r="A100" s="8">
        <v>44523</v>
      </c>
      <c r="B100">
        <v>5483.61</v>
      </c>
      <c r="C100">
        <f t="shared" si="4"/>
        <v>-1.2897686156903676E-2</v>
      </c>
      <c r="D100" s="35">
        <v>9254.5499999999993</v>
      </c>
      <c r="E100" s="45">
        <f t="shared" si="7"/>
        <v>-2.0853501769532379E-2</v>
      </c>
      <c r="F100">
        <v>2247500</v>
      </c>
      <c r="G100">
        <v>781.05</v>
      </c>
      <c r="H100" s="45">
        <f t="shared" si="5"/>
        <v>3.8424591738706049E-4</v>
      </c>
      <c r="I100">
        <v>3215700</v>
      </c>
      <c r="J100" s="38" t="s">
        <v>139</v>
      </c>
      <c r="K100" s="45">
        <f t="shared" si="6"/>
        <v>-1.9946808510640235E-4</v>
      </c>
    </row>
    <row r="101" spans="1:11" x14ac:dyDescent="0.25">
      <c r="A101" s="8">
        <v>44524</v>
      </c>
      <c r="B101">
        <v>5527.11</v>
      </c>
      <c r="C101">
        <f t="shared" si="4"/>
        <v>7.9327304458194359E-3</v>
      </c>
      <c r="D101" s="35">
        <v>9328.25</v>
      </c>
      <c r="E101" s="45">
        <f t="shared" si="7"/>
        <v>7.9636503125490865E-3</v>
      </c>
      <c r="F101">
        <v>1878800</v>
      </c>
      <c r="G101">
        <v>771.95</v>
      </c>
      <c r="H101" s="45">
        <f t="shared" si="5"/>
        <v>-1.1650982651558728E-2</v>
      </c>
      <c r="I101">
        <v>3229600</v>
      </c>
      <c r="J101" s="38" t="s">
        <v>140</v>
      </c>
      <c r="K101" s="45">
        <f t="shared" si="6"/>
        <v>1.1105938684577987E-2</v>
      </c>
    </row>
    <row r="102" spans="1:11" x14ac:dyDescent="0.25">
      <c r="A102" s="8">
        <v>44525</v>
      </c>
      <c r="B102">
        <v>5538.62</v>
      </c>
      <c r="C102">
        <f t="shared" si="4"/>
        <v>2.0824626251332301E-3</v>
      </c>
      <c r="D102" s="35">
        <v>9282.2999999999993</v>
      </c>
      <c r="E102" s="45">
        <f t="shared" si="7"/>
        <v>-4.9258971404069207E-3</v>
      </c>
      <c r="F102">
        <v>1612600</v>
      </c>
      <c r="G102">
        <v>775.4</v>
      </c>
      <c r="H102" s="45">
        <f t="shared" si="5"/>
        <v>4.4692013731457703E-3</v>
      </c>
      <c r="I102">
        <v>2929800</v>
      </c>
      <c r="J102" s="38" t="s">
        <v>141</v>
      </c>
      <c r="K102" s="45">
        <f t="shared" si="6"/>
        <v>-1.2036306235201355E-2</v>
      </c>
    </row>
    <row r="103" spans="1:11" x14ac:dyDescent="0.25">
      <c r="A103" s="8">
        <v>44526</v>
      </c>
      <c r="B103">
        <v>5531.61</v>
      </c>
      <c r="C103">
        <f t="shared" si="4"/>
        <v>-1.2656582325561994E-3</v>
      </c>
      <c r="D103" s="35">
        <v>9348</v>
      </c>
      <c r="E103" s="45">
        <f t="shared" si="7"/>
        <v>7.0779871368087388E-3</v>
      </c>
      <c r="F103">
        <v>3694700</v>
      </c>
      <c r="G103">
        <v>759.05</v>
      </c>
      <c r="H103" s="45">
        <f t="shared" si="5"/>
        <v>-2.108589115295334E-2</v>
      </c>
      <c r="I103">
        <v>3996000</v>
      </c>
      <c r="J103" s="38" t="s">
        <v>142</v>
      </c>
      <c r="K103" s="45">
        <f t="shared" si="6"/>
        <v>-3.8412888622594954E-2</v>
      </c>
    </row>
    <row r="104" spans="1:11" x14ac:dyDescent="0.25">
      <c r="A104" s="8">
        <v>44529</v>
      </c>
      <c r="B104">
        <v>5611.02</v>
      </c>
      <c r="C104">
        <f t="shared" si="4"/>
        <v>1.4355675833979786E-2</v>
      </c>
      <c r="D104" s="35">
        <v>9071.0499999999993</v>
      </c>
      <c r="E104" s="45">
        <f t="shared" si="7"/>
        <v>-2.9626658108686477E-2</v>
      </c>
      <c r="F104">
        <v>3237300</v>
      </c>
      <c r="G104">
        <v>742.25</v>
      </c>
      <c r="H104" s="45">
        <f t="shared" si="5"/>
        <v>-2.2132929319544137E-2</v>
      </c>
      <c r="I104">
        <v>3425800</v>
      </c>
      <c r="J104" s="38" t="s">
        <v>143</v>
      </c>
      <c r="K104" s="45">
        <f t="shared" si="6"/>
        <v>-5.2617003600111678E-3</v>
      </c>
    </row>
    <row r="105" spans="1:11" x14ac:dyDescent="0.25">
      <c r="A105" s="8">
        <v>44530</v>
      </c>
      <c r="B105">
        <v>5606.61</v>
      </c>
      <c r="C105">
        <f t="shared" si="4"/>
        <v>-7.859533560744536E-4</v>
      </c>
      <c r="D105" s="35">
        <v>9054.0499999999993</v>
      </c>
      <c r="E105" s="45">
        <f t="shared" si="7"/>
        <v>-1.8740939582517768E-3</v>
      </c>
      <c r="F105">
        <v>2777000</v>
      </c>
      <c r="G105">
        <v>732</v>
      </c>
      <c r="H105" s="45">
        <f t="shared" si="5"/>
        <v>-1.3809363422027654E-2</v>
      </c>
      <c r="I105">
        <v>3264800</v>
      </c>
      <c r="J105" s="38" t="s">
        <v>93</v>
      </c>
      <c r="K105" s="45">
        <f t="shared" si="6"/>
        <v>-5.6375278396435524E-3</v>
      </c>
    </row>
    <row r="106" spans="1:11" x14ac:dyDescent="0.25">
      <c r="A106" s="8">
        <v>44531</v>
      </c>
      <c r="B106">
        <v>5570.59</v>
      </c>
      <c r="C106">
        <f t="shared" si="4"/>
        <v>-6.4245595823499979E-3</v>
      </c>
      <c r="D106" s="35">
        <v>9028.2999999999993</v>
      </c>
      <c r="E106" s="45">
        <f t="shared" si="7"/>
        <v>-2.8440311241930694E-3</v>
      </c>
      <c r="F106">
        <v>3006800</v>
      </c>
      <c r="G106">
        <v>746.55</v>
      </c>
      <c r="H106" s="45">
        <f t="shared" si="5"/>
        <v>1.9877049180327733E-2</v>
      </c>
      <c r="I106">
        <v>4607600</v>
      </c>
      <c r="J106" s="38" t="s">
        <v>144</v>
      </c>
      <c r="K106" s="45">
        <f t="shared" si="6"/>
        <v>1.8688318051375497E-2</v>
      </c>
    </row>
    <row r="107" spans="1:11" x14ac:dyDescent="0.25">
      <c r="A107" s="8">
        <v>44532</v>
      </c>
      <c r="B107">
        <v>5557.53</v>
      </c>
      <c r="C107">
        <f t="shared" si="4"/>
        <v>-2.3444554347026303E-3</v>
      </c>
      <c r="D107" s="35">
        <v>9119.6</v>
      </c>
      <c r="E107" s="45">
        <f t="shared" si="7"/>
        <v>1.0112645791566566E-2</v>
      </c>
      <c r="F107">
        <v>2203800</v>
      </c>
      <c r="G107">
        <v>747.4</v>
      </c>
      <c r="H107" s="45">
        <f t="shared" si="5"/>
        <v>1.1385707588240646E-3</v>
      </c>
      <c r="I107">
        <v>3171600</v>
      </c>
      <c r="J107" s="38" t="s">
        <v>145</v>
      </c>
      <c r="K107" s="45">
        <f t="shared" si="6"/>
        <v>-7.2832211075993802E-3</v>
      </c>
    </row>
    <row r="108" spans="1:11" x14ac:dyDescent="0.25">
      <c r="A108" s="8">
        <v>44533</v>
      </c>
      <c r="B108">
        <v>5558.99</v>
      </c>
      <c r="C108">
        <f t="shared" si="4"/>
        <v>2.6270663406235961E-4</v>
      </c>
      <c r="D108" s="35">
        <v>9237.9</v>
      </c>
      <c r="E108" s="45">
        <f t="shared" si="7"/>
        <v>1.2972060178077838E-2</v>
      </c>
      <c r="F108">
        <v>4213000</v>
      </c>
      <c r="G108">
        <v>769.3</v>
      </c>
      <c r="H108" s="45">
        <f t="shared" si="5"/>
        <v>2.9301578806529172E-2</v>
      </c>
      <c r="I108">
        <v>5840300</v>
      </c>
      <c r="J108" s="38" t="s">
        <v>146</v>
      </c>
      <c r="K108" s="45">
        <f t="shared" si="6"/>
        <v>-8.4440753045404993E-3</v>
      </c>
    </row>
    <row r="109" spans="1:11" x14ac:dyDescent="0.25">
      <c r="A109" s="8">
        <v>44536</v>
      </c>
      <c r="B109">
        <v>5505.73</v>
      </c>
      <c r="C109">
        <f t="shared" si="4"/>
        <v>-9.5808771017756866E-3</v>
      </c>
      <c r="D109" s="35">
        <v>9155.6</v>
      </c>
      <c r="E109" s="45">
        <f t="shared" si="7"/>
        <v>-8.9089511685555012E-3</v>
      </c>
      <c r="F109">
        <v>4992300</v>
      </c>
      <c r="G109">
        <v>740.3</v>
      </c>
      <c r="H109" s="45">
        <f t="shared" si="5"/>
        <v>-3.7696607305342522E-2</v>
      </c>
      <c r="I109">
        <v>4676800</v>
      </c>
      <c r="J109" s="38" t="s">
        <v>147</v>
      </c>
      <c r="K109" s="45">
        <f t="shared" si="6"/>
        <v>-9.423425938852481E-3</v>
      </c>
    </row>
    <row r="110" spans="1:11" x14ac:dyDescent="0.25">
      <c r="A110" s="8">
        <v>44537</v>
      </c>
      <c r="B110">
        <v>5515.68</v>
      </c>
      <c r="C110">
        <f t="shared" si="4"/>
        <v>1.8072081268061257E-3</v>
      </c>
      <c r="D110" s="35">
        <v>9003.9</v>
      </c>
      <c r="E110" s="45">
        <f t="shared" si="7"/>
        <v>-1.6569094324784928E-2</v>
      </c>
      <c r="F110">
        <v>5175700</v>
      </c>
      <c r="G110">
        <v>771.2</v>
      </c>
      <c r="H110" s="45">
        <f t="shared" si="5"/>
        <v>4.1739835201945352E-2</v>
      </c>
      <c r="I110">
        <v>3405600</v>
      </c>
      <c r="J110" s="38" t="s">
        <v>148</v>
      </c>
      <c r="K110" s="45">
        <f t="shared" si="6"/>
        <v>3.5374533154816534E-2</v>
      </c>
    </row>
    <row r="111" spans="1:11" x14ac:dyDescent="0.25">
      <c r="A111" s="8">
        <v>44538</v>
      </c>
      <c r="B111">
        <v>5451.02</v>
      </c>
      <c r="C111">
        <f t="shared" si="4"/>
        <v>-1.1722942592753749E-2</v>
      </c>
      <c r="D111" s="35">
        <v>9142.1</v>
      </c>
      <c r="E111" s="45">
        <f t="shared" si="7"/>
        <v>1.5348904363664762E-2</v>
      </c>
      <c r="F111">
        <v>8420700</v>
      </c>
      <c r="G111">
        <v>783.4</v>
      </c>
      <c r="H111" s="45">
        <f t="shared" si="5"/>
        <v>1.581950207468874E-2</v>
      </c>
      <c r="I111">
        <v>3206800</v>
      </c>
      <c r="J111" s="38" t="s">
        <v>149</v>
      </c>
      <c r="K111" s="45">
        <f t="shared" si="6"/>
        <v>2.5522357585244571E-2</v>
      </c>
    </row>
    <row r="112" spans="1:11" x14ac:dyDescent="0.25">
      <c r="A112" s="8">
        <v>44539</v>
      </c>
      <c r="B112">
        <v>5460.91</v>
      </c>
      <c r="C112">
        <f t="shared" si="4"/>
        <v>1.8143393346565784E-3</v>
      </c>
      <c r="D112" s="35">
        <v>9291.9</v>
      </c>
      <c r="E112" s="45">
        <f t="shared" si="7"/>
        <v>1.6385731943426407E-2</v>
      </c>
      <c r="F112">
        <v>5784500</v>
      </c>
      <c r="G112">
        <v>782.5</v>
      </c>
      <c r="H112" s="45">
        <f t="shared" si="5"/>
        <v>-1.148838396732188E-3</v>
      </c>
      <c r="I112">
        <v>3894500</v>
      </c>
      <c r="J112" s="38" t="s">
        <v>150</v>
      </c>
      <c r="K112" s="45">
        <f t="shared" si="6"/>
        <v>2.1237058667373798E-3</v>
      </c>
    </row>
    <row r="113" spans="1:11" x14ac:dyDescent="0.25">
      <c r="A113" s="8">
        <v>44540</v>
      </c>
      <c r="B113">
        <v>5499.99</v>
      </c>
      <c r="C113">
        <f t="shared" si="4"/>
        <v>7.1563164381027722E-3</v>
      </c>
      <c r="D113" s="35">
        <v>9320.25</v>
      </c>
      <c r="E113" s="45">
        <f t="shared" si="7"/>
        <v>3.0510444580764684E-3</v>
      </c>
      <c r="F113">
        <v>3931800</v>
      </c>
      <c r="G113">
        <v>783.45</v>
      </c>
      <c r="H113" s="45">
        <f t="shared" si="5"/>
        <v>1.2140575079873095E-3</v>
      </c>
      <c r="I113">
        <v>3098600</v>
      </c>
      <c r="J113" s="38" t="s">
        <v>151</v>
      </c>
      <c r="K113" s="45">
        <f t="shared" si="6"/>
        <v>3.9735099337747659E-3</v>
      </c>
    </row>
    <row r="114" spans="1:11" x14ac:dyDescent="0.25">
      <c r="A114" s="8">
        <v>44543</v>
      </c>
      <c r="B114">
        <v>5526.42</v>
      </c>
      <c r="C114">
        <f t="shared" si="4"/>
        <v>4.8054632826606269E-3</v>
      </c>
      <c r="D114" s="35">
        <v>9332.4500000000007</v>
      </c>
      <c r="E114" s="45">
        <f t="shared" si="7"/>
        <v>1.3089777634720523E-3</v>
      </c>
      <c r="F114">
        <v>3423700</v>
      </c>
      <c r="G114">
        <v>790.55</v>
      </c>
      <c r="H114" s="45">
        <f t="shared" si="5"/>
        <v>9.0624800561618368E-3</v>
      </c>
      <c r="I114">
        <v>2050000</v>
      </c>
      <c r="J114" s="38" t="s">
        <v>152</v>
      </c>
      <c r="K114" s="45">
        <f t="shared" si="6"/>
        <v>-5.2770448548812299E-3</v>
      </c>
    </row>
    <row r="115" spans="1:11" x14ac:dyDescent="0.25">
      <c r="A115" s="8">
        <v>44544</v>
      </c>
      <c r="B115">
        <v>5552.29</v>
      </c>
      <c r="C115">
        <f t="shared" si="4"/>
        <v>4.6811498221270842E-3</v>
      </c>
      <c r="D115" s="35">
        <v>9266.85</v>
      </c>
      <c r="E115" s="45">
        <f t="shared" si="7"/>
        <v>-7.029236695615837E-3</v>
      </c>
      <c r="F115">
        <v>2131000</v>
      </c>
      <c r="G115">
        <v>785.55</v>
      </c>
      <c r="H115" s="45">
        <f t="shared" si="5"/>
        <v>-6.3247106444880297E-3</v>
      </c>
      <c r="I115">
        <v>2083900</v>
      </c>
      <c r="J115" s="38" t="s">
        <v>153</v>
      </c>
      <c r="K115" s="45">
        <f t="shared" si="6"/>
        <v>6.1671087533157198E-3</v>
      </c>
    </row>
    <row r="116" spans="1:11" x14ac:dyDescent="0.25">
      <c r="A116" s="8">
        <v>44545</v>
      </c>
      <c r="B116">
        <v>5594.9</v>
      </c>
      <c r="C116">
        <f t="shared" si="4"/>
        <v>7.6743109599821668E-3</v>
      </c>
      <c r="D116" s="35">
        <v>9252.2000000000007</v>
      </c>
      <c r="E116" s="45">
        <f t="shared" si="7"/>
        <v>-1.5809039749212772E-3</v>
      </c>
      <c r="F116">
        <v>2647300</v>
      </c>
      <c r="G116">
        <v>784.8</v>
      </c>
      <c r="H116" s="45">
        <f t="shared" si="5"/>
        <v>-9.5474508306281347E-4</v>
      </c>
      <c r="I116">
        <v>2372400</v>
      </c>
      <c r="J116" s="38" t="s">
        <v>154</v>
      </c>
      <c r="K116" s="45">
        <f t="shared" si="6"/>
        <v>-8.4360376985433971E-3</v>
      </c>
    </row>
    <row r="117" spans="1:11" x14ac:dyDescent="0.25">
      <c r="A117" s="8">
        <v>44546</v>
      </c>
      <c r="B117">
        <v>5569.62</v>
      </c>
      <c r="C117">
        <f t="shared" si="4"/>
        <v>-4.5184006863393522E-3</v>
      </c>
      <c r="D117" s="35">
        <v>9194.5</v>
      </c>
      <c r="E117" s="45">
        <f t="shared" si="7"/>
        <v>-6.2363545967446532E-3</v>
      </c>
      <c r="F117">
        <v>4073100</v>
      </c>
      <c r="G117">
        <v>782.55</v>
      </c>
      <c r="H117" s="45">
        <f t="shared" si="5"/>
        <v>-2.8669724770642446E-3</v>
      </c>
      <c r="I117">
        <v>2593100</v>
      </c>
      <c r="J117" s="38" t="s">
        <v>155</v>
      </c>
      <c r="K117" s="45">
        <f t="shared" si="6"/>
        <v>-1.4755732801595256E-2</v>
      </c>
    </row>
    <row r="118" spans="1:11" x14ac:dyDescent="0.25">
      <c r="A118" s="8">
        <v>44547</v>
      </c>
      <c r="B118">
        <v>5610.48</v>
      </c>
      <c r="C118">
        <f t="shared" si="4"/>
        <v>7.336227606192125E-3</v>
      </c>
      <c r="D118" s="35">
        <v>9191.7999999999993</v>
      </c>
      <c r="E118" s="45">
        <f t="shared" si="7"/>
        <v>-2.9365381478063668E-4</v>
      </c>
      <c r="F118">
        <v>3975800</v>
      </c>
      <c r="G118">
        <v>778.45</v>
      </c>
      <c r="H118" s="45">
        <f t="shared" si="5"/>
        <v>-5.2392818350264214E-3</v>
      </c>
      <c r="I118">
        <v>2459500</v>
      </c>
      <c r="J118" s="38" t="s">
        <v>156</v>
      </c>
      <c r="K118" s="45">
        <f t="shared" si="6"/>
        <v>-1.7337920798758732E-2</v>
      </c>
    </row>
    <row r="119" spans="1:11" x14ac:dyDescent="0.25">
      <c r="A119" s="8">
        <v>44550</v>
      </c>
      <c r="B119">
        <v>5616.36</v>
      </c>
      <c r="C119">
        <f t="shared" si="4"/>
        <v>1.0480386704880829E-3</v>
      </c>
      <c r="D119" s="35">
        <v>9030.35</v>
      </c>
      <c r="E119" s="45">
        <f t="shared" si="7"/>
        <v>-1.7564568419678239E-2</v>
      </c>
      <c r="F119">
        <v>1993100</v>
      </c>
      <c r="G119">
        <v>763.9</v>
      </c>
      <c r="H119" s="45">
        <f t="shared" si="5"/>
        <v>-1.8690988502794048E-2</v>
      </c>
      <c r="I119">
        <v>1400700</v>
      </c>
      <c r="J119" s="38" t="s">
        <v>113</v>
      </c>
      <c r="K119" s="45">
        <f t="shared" si="6"/>
        <v>-2.5195661128655678E-2</v>
      </c>
    </row>
    <row r="120" spans="1:11" x14ac:dyDescent="0.25">
      <c r="A120" s="8">
        <v>44551</v>
      </c>
      <c r="B120">
        <v>5652.01</v>
      </c>
      <c r="C120">
        <f t="shared" si="4"/>
        <v>6.3475275801410103E-3</v>
      </c>
      <c r="D120" s="35">
        <v>8807.7000000000007</v>
      </c>
      <c r="E120" s="45">
        <f t="shared" si="7"/>
        <v>-2.4655744240256405E-2</v>
      </c>
      <c r="F120">
        <v>3236300</v>
      </c>
      <c r="G120">
        <v>756.4</v>
      </c>
      <c r="H120" s="45">
        <f t="shared" si="5"/>
        <v>-9.8180390103416171E-3</v>
      </c>
      <c r="I120">
        <v>2948100</v>
      </c>
      <c r="J120" s="38" t="s">
        <v>157</v>
      </c>
      <c r="K120" s="45">
        <f t="shared" si="6"/>
        <v>1.4648918937953281E-2</v>
      </c>
    </row>
    <row r="121" spans="1:11" x14ac:dyDescent="0.25">
      <c r="A121" s="8">
        <v>44552</v>
      </c>
      <c r="B121">
        <v>5657.8</v>
      </c>
      <c r="C121">
        <f t="shared" si="4"/>
        <v>1.024414323399947E-3</v>
      </c>
      <c r="D121" s="35">
        <v>8905</v>
      </c>
      <c r="E121" s="45">
        <f t="shared" si="7"/>
        <v>1.1047151923884613E-2</v>
      </c>
      <c r="F121">
        <v>2896800</v>
      </c>
      <c r="G121">
        <v>758.75</v>
      </c>
      <c r="H121" s="45">
        <f t="shared" si="5"/>
        <v>3.1068217874141713E-3</v>
      </c>
      <c r="I121">
        <v>4610900</v>
      </c>
      <c r="J121" s="38" t="s">
        <v>158</v>
      </c>
      <c r="K121" s="45">
        <f t="shared" si="6"/>
        <v>1.7283265079475196E-2</v>
      </c>
    </row>
    <row r="122" spans="1:11" x14ac:dyDescent="0.25">
      <c r="A122" s="8">
        <v>44553</v>
      </c>
      <c r="B122">
        <v>5645.14</v>
      </c>
      <c r="C122">
        <f t="shared" si="4"/>
        <v>-2.2376188624553262E-3</v>
      </c>
      <c r="D122" s="35">
        <v>9011.65</v>
      </c>
      <c r="E122" s="45">
        <f t="shared" si="7"/>
        <v>1.1976417742840972E-2</v>
      </c>
      <c r="F122">
        <v>2728200</v>
      </c>
      <c r="G122">
        <v>752.15</v>
      </c>
      <c r="H122" s="45">
        <f t="shared" si="5"/>
        <v>-8.6985172981878245E-3</v>
      </c>
      <c r="I122">
        <v>2412600</v>
      </c>
      <c r="J122" s="38" t="s">
        <v>159</v>
      </c>
      <c r="K122" s="45">
        <f t="shared" si="6"/>
        <v>-2.0469432314410563E-3</v>
      </c>
    </row>
    <row r="123" spans="1:11" x14ac:dyDescent="0.25">
      <c r="A123" s="8">
        <v>44554</v>
      </c>
      <c r="B123">
        <v>5656.87</v>
      </c>
      <c r="C123">
        <f t="shared" si="4"/>
        <v>2.0778935509127017E-3</v>
      </c>
      <c r="D123" s="35">
        <v>9080.5</v>
      </c>
      <c r="E123" s="45">
        <f t="shared" si="7"/>
        <v>7.640110301665004E-3</v>
      </c>
      <c r="F123">
        <v>2184900</v>
      </c>
      <c r="G123">
        <v>758.55</v>
      </c>
      <c r="H123" s="45">
        <f t="shared" si="5"/>
        <v>8.5089410356975481E-3</v>
      </c>
      <c r="I123">
        <v>3813700</v>
      </c>
      <c r="J123" s="38" t="s">
        <v>160</v>
      </c>
      <c r="K123" s="45">
        <f t="shared" si="6"/>
        <v>-5.7431970463557303E-3</v>
      </c>
    </row>
    <row r="124" spans="1:11" x14ac:dyDescent="0.25">
      <c r="A124" s="8">
        <v>44557</v>
      </c>
      <c r="B124">
        <v>5594.93</v>
      </c>
      <c r="C124">
        <f t="shared" si="4"/>
        <v>-1.0949518019682247E-2</v>
      </c>
      <c r="D124" s="35">
        <v>9028.2999999999993</v>
      </c>
      <c r="E124" s="45">
        <f t="shared" si="7"/>
        <v>-5.7485821265349513E-3</v>
      </c>
      <c r="F124">
        <v>3588300</v>
      </c>
      <c r="G124">
        <v>766.95</v>
      </c>
      <c r="H124" s="45">
        <f t="shared" si="5"/>
        <v>1.1073759145738604E-2</v>
      </c>
      <c r="I124">
        <v>3091400</v>
      </c>
      <c r="J124" s="38" t="s">
        <v>161</v>
      </c>
      <c r="K124" s="45">
        <f t="shared" si="6"/>
        <v>1.2240407096685502E-2</v>
      </c>
    </row>
    <row r="125" spans="1:11" x14ac:dyDescent="0.25">
      <c r="A125" s="8">
        <v>44558</v>
      </c>
      <c r="B125">
        <v>5585.64</v>
      </c>
      <c r="C125">
        <f t="shared" si="4"/>
        <v>-1.6604318552689845E-3</v>
      </c>
      <c r="D125" s="35">
        <v>9069</v>
      </c>
      <c r="E125" s="45">
        <f t="shared" si="7"/>
        <v>4.5080469191320915E-3</v>
      </c>
      <c r="F125">
        <v>1958500</v>
      </c>
      <c r="G125">
        <v>786.85</v>
      </c>
      <c r="H125" s="45">
        <f t="shared" si="5"/>
        <v>2.5946932655322996E-2</v>
      </c>
      <c r="I125">
        <v>2521300</v>
      </c>
      <c r="J125" s="38" t="s">
        <v>162</v>
      </c>
      <c r="K125" s="45">
        <f t="shared" si="6"/>
        <v>-2.7173913043487818E-4</v>
      </c>
    </row>
    <row r="126" spans="1:11" x14ac:dyDescent="0.25">
      <c r="A126" s="8">
        <v>44559</v>
      </c>
      <c r="B126">
        <v>5597.49</v>
      </c>
      <c r="C126">
        <f t="shared" si="4"/>
        <v>2.1215115904353876E-3</v>
      </c>
      <c r="D126" s="35">
        <v>9151.2000000000007</v>
      </c>
      <c r="E126" s="45">
        <f t="shared" si="7"/>
        <v>9.0638438637116181E-3</v>
      </c>
      <c r="F126">
        <v>2855700</v>
      </c>
      <c r="G126">
        <v>782.15</v>
      </c>
      <c r="H126" s="45">
        <f t="shared" si="5"/>
        <v>-5.9731842155430481E-3</v>
      </c>
      <c r="I126">
        <v>2730200</v>
      </c>
      <c r="J126" s="38" t="s">
        <v>163</v>
      </c>
      <c r="K126" s="45">
        <f t="shared" si="6"/>
        <v>-1.3590649633044016E-4</v>
      </c>
    </row>
    <row r="127" spans="1:11" x14ac:dyDescent="0.25">
      <c r="A127" s="8">
        <v>44560</v>
      </c>
      <c r="B127">
        <v>5605.73</v>
      </c>
      <c r="C127">
        <f t="shared" si="4"/>
        <v>1.4720883824714814E-3</v>
      </c>
      <c r="D127" s="35">
        <v>9142.4500000000007</v>
      </c>
      <c r="E127" s="45">
        <f t="shared" si="7"/>
        <v>-9.56158755135883E-4</v>
      </c>
      <c r="F127">
        <v>3873100</v>
      </c>
      <c r="G127">
        <v>788.05</v>
      </c>
      <c r="H127" s="45">
        <f t="shared" si="5"/>
        <v>7.5433101067570174E-3</v>
      </c>
      <c r="I127">
        <v>3191100</v>
      </c>
      <c r="J127" s="38" t="s">
        <v>163</v>
      </c>
      <c r="K127" s="45">
        <f t="shared" si="6"/>
        <v>0</v>
      </c>
    </row>
    <row r="128" spans="1:11" x14ac:dyDescent="0.25">
      <c r="A128" s="8">
        <v>44561</v>
      </c>
      <c r="B128">
        <v>5639.15</v>
      </c>
      <c r="C128">
        <f t="shared" si="4"/>
        <v>5.9617569879391041E-3</v>
      </c>
      <c r="D128" s="35">
        <v>9124.5499999999993</v>
      </c>
      <c r="E128" s="45">
        <f t="shared" si="7"/>
        <v>-1.9578996877206434E-3</v>
      </c>
      <c r="F128">
        <v>3138500</v>
      </c>
      <c r="G128">
        <v>791.75</v>
      </c>
      <c r="H128" s="45">
        <f t="shared" si="5"/>
        <v>4.6951335575153852E-3</v>
      </c>
      <c r="I128">
        <v>2124100</v>
      </c>
      <c r="J128" s="38" t="s">
        <v>164</v>
      </c>
      <c r="K128" s="45">
        <f t="shared" si="6"/>
        <v>6.0486611390511147E-3</v>
      </c>
    </row>
    <row r="129" spans="1:11" x14ac:dyDescent="0.25">
      <c r="A129" s="8">
        <v>44564</v>
      </c>
      <c r="B129">
        <v>5660.16</v>
      </c>
      <c r="C129">
        <f t="shared" si="4"/>
        <v>3.7257388081537446E-3</v>
      </c>
      <c r="D129" s="35">
        <v>9218.35</v>
      </c>
      <c r="E129" s="45">
        <f t="shared" si="7"/>
        <v>1.0279959011677331E-2</v>
      </c>
      <c r="F129">
        <v>1889300</v>
      </c>
      <c r="G129">
        <v>790.25</v>
      </c>
      <c r="H129" s="45">
        <f t="shared" si="5"/>
        <v>-1.8945374171139839E-3</v>
      </c>
      <c r="I129">
        <v>2351100</v>
      </c>
      <c r="J129" s="38" t="s">
        <v>165</v>
      </c>
      <c r="K129" s="45">
        <f t="shared" si="6"/>
        <v>3.3168952239410965E-2</v>
      </c>
    </row>
    <row r="130" spans="1:11" x14ac:dyDescent="0.25">
      <c r="A130" s="8">
        <v>44565</v>
      </c>
      <c r="B130">
        <v>5732.27</v>
      </c>
      <c r="C130">
        <f t="shared" si="4"/>
        <v>1.2739922546359139E-2</v>
      </c>
      <c r="D130" s="35">
        <v>9348</v>
      </c>
      <c r="E130" s="45">
        <f t="shared" si="7"/>
        <v>1.4064339062847431E-2</v>
      </c>
      <c r="F130">
        <v>2837500</v>
      </c>
      <c r="G130">
        <v>787.45</v>
      </c>
      <c r="H130" s="45">
        <f t="shared" si="5"/>
        <v>-3.5431825371716741E-3</v>
      </c>
      <c r="I130">
        <v>2903100</v>
      </c>
      <c r="J130" s="38" t="s">
        <v>166</v>
      </c>
      <c r="K130" s="45">
        <f t="shared" si="6"/>
        <v>1.0657774290571354E-2</v>
      </c>
    </row>
    <row r="131" spans="1:11" x14ac:dyDescent="0.25">
      <c r="A131" s="8">
        <v>44566</v>
      </c>
      <c r="B131">
        <v>5759.8</v>
      </c>
      <c r="C131">
        <f t="shared" si="4"/>
        <v>4.8026349072880503E-3</v>
      </c>
      <c r="D131" s="35">
        <v>9422.4500000000007</v>
      </c>
      <c r="E131" s="45">
        <f t="shared" si="7"/>
        <v>7.9642704321780666E-3</v>
      </c>
      <c r="F131">
        <v>3110300</v>
      </c>
      <c r="G131">
        <v>778.4</v>
      </c>
      <c r="H131" s="45">
        <f t="shared" si="5"/>
        <v>-1.149279319321872E-2</v>
      </c>
      <c r="I131">
        <v>4196800</v>
      </c>
      <c r="J131" s="38" t="s">
        <v>167</v>
      </c>
      <c r="K131" s="45">
        <f t="shared" si="6"/>
        <v>1.9667464579155025E-2</v>
      </c>
    </row>
    <row r="132" spans="1:11" x14ac:dyDescent="0.25">
      <c r="A132" s="8">
        <v>44567</v>
      </c>
      <c r="B132">
        <v>5768.55</v>
      </c>
      <c r="C132">
        <f t="shared" ref="C132:C195" si="8">B132/B131-1</f>
        <v>1.5191499704851896E-3</v>
      </c>
      <c r="D132" s="35">
        <v>9477.2000000000007</v>
      </c>
      <c r="E132" s="45">
        <f t="shared" si="7"/>
        <v>5.8105906637870852E-3</v>
      </c>
      <c r="F132">
        <v>2366500</v>
      </c>
      <c r="G132">
        <v>773.65</v>
      </c>
      <c r="H132" s="45">
        <f t="shared" ref="H132:H195" si="9">G132/G131-1</f>
        <v>-6.1022610483042472E-3</v>
      </c>
      <c r="I132">
        <v>8025100</v>
      </c>
      <c r="J132" s="38" t="s">
        <v>168</v>
      </c>
      <c r="K132" s="45">
        <f t="shared" ref="K132:K195" si="10">J132/J131-1</f>
        <v>-3.8068650466340781E-3</v>
      </c>
    </row>
    <row r="133" spans="1:11" x14ac:dyDescent="0.25">
      <c r="A133" s="8">
        <v>44568</v>
      </c>
      <c r="B133">
        <v>5747.68</v>
      </c>
      <c r="C133">
        <f t="shared" si="8"/>
        <v>-3.6178935781088217E-3</v>
      </c>
      <c r="D133" s="35">
        <v>9405.4</v>
      </c>
      <c r="E133" s="45">
        <f t="shared" ref="E133:E196" si="11">D133/D132-1</f>
        <v>-7.5760773224160527E-3</v>
      </c>
      <c r="F133">
        <v>3455800</v>
      </c>
      <c r="G133">
        <v>768.65</v>
      </c>
      <c r="H133" s="45">
        <f t="shared" si="9"/>
        <v>-6.4628708072125285E-3</v>
      </c>
      <c r="I133">
        <v>3960000</v>
      </c>
      <c r="J133" s="38" t="s">
        <v>169</v>
      </c>
      <c r="K133" s="45">
        <f t="shared" si="10"/>
        <v>1.0445194573594163E-2</v>
      </c>
    </row>
    <row r="134" spans="1:11" x14ac:dyDescent="0.25">
      <c r="A134" s="8">
        <v>44571</v>
      </c>
      <c r="B134">
        <v>5805.6</v>
      </c>
      <c r="C134">
        <f t="shared" si="8"/>
        <v>1.0077109372825133E-2</v>
      </c>
      <c r="D134" s="35">
        <v>9442.65</v>
      </c>
      <c r="E134" s="45">
        <f t="shared" si="11"/>
        <v>3.9604907818913127E-3</v>
      </c>
      <c r="F134">
        <v>2278600</v>
      </c>
      <c r="G134">
        <v>784.3</v>
      </c>
      <c r="H134" s="45">
        <f t="shared" si="9"/>
        <v>2.0360372080921119E-2</v>
      </c>
      <c r="I134">
        <v>3266100</v>
      </c>
      <c r="J134" s="38" t="s">
        <v>170</v>
      </c>
      <c r="K134" s="45">
        <f t="shared" si="10"/>
        <v>2.2061140876142415E-2</v>
      </c>
    </row>
    <row r="135" spans="1:11" x14ac:dyDescent="0.25">
      <c r="A135" s="8">
        <v>44572</v>
      </c>
      <c r="B135">
        <v>5766.18</v>
      </c>
      <c r="C135">
        <f t="shared" si="8"/>
        <v>-6.7899958660603277E-3</v>
      </c>
      <c r="D135" s="35">
        <v>9532.6</v>
      </c>
      <c r="E135" s="45">
        <f t="shared" si="11"/>
        <v>9.5259275732977322E-3</v>
      </c>
      <c r="F135">
        <v>1730000</v>
      </c>
      <c r="G135">
        <v>783.95</v>
      </c>
      <c r="H135" s="45">
        <f t="shared" si="9"/>
        <v>-4.4625780951157434E-4</v>
      </c>
      <c r="I135">
        <v>3597200</v>
      </c>
      <c r="J135" s="38" t="s">
        <v>171</v>
      </c>
      <c r="K135" s="45">
        <f t="shared" si="10"/>
        <v>-1.2334258402713072E-4</v>
      </c>
    </row>
    <row r="136" spans="1:11" x14ac:dyDescent="0.25">
      <c r="A136" s="8">
        <v>44573</v>
      </c>
      <c r="B136">
        <v>5708.23</v>
      </c>
      <c r="C136">
        <f t="shared" si="8"/>
        <v>-1.0049981096670657E-2</v>
      </c>
      <c r="D136" s="35">
        <v>9554.6</v>
      </c>
      <c r="E136" s="45">
        <f t="shared" si="11"/>
        <v>2.3078698361411742E-3</v>
      </c>
      <c r="F136">
        <v>3038800</v>
      </c>
      <c r="G136">
        <v>791.25</v>
      </c>
      <c r="H136" s="45">
        <f t="shared" si="9"/>
        <v>9.3118183557623357E-3</v>
      </c>
      <c r="I136">
        <v>3411900</v>
      </c>
      <c r="J136" s="38" t="s">
        <v>172</v>
      </c>
      <c r="K136" s="45">
        <f t="shared" si="10"/>
        <v>1.6159871707888795E-2</v>
      </c>
    </row>
    <row r="137" spans="1:11" x14ac:dyDescent="0.25">
      <c r="A137" s="8">
        <v>44574</v>
      </c>
      <c r="B137">
        <v>5734.51</v>
      </c>
      <c r="C137">
        <f t="shared" si="8"/>
        <v>4.60387896072878E-3</v>
      </c>
      <c r="D137" s="35">
        <v>9640.75</v>
      </c>
      <c r="E137" s="45">
        <f t="shared" si="11"/>
        <v>9.0165993343520601E-3</v>
      </c>
      <c r="F137">
        <v>3593900</v>
      </c>
      <c r="G137">
        <v>800</v>
      </c>
      <c r="H137" s="45">
        <f t="shared" si="9"/>
        <v>1.1058451816745585E-2</v>
      </c>
      <c r="I137">
        <v>2906000</v>
      </c>
      <c r="J137" s="38" t="s">
        <v>173</v>
      </c>
      <c r="K137" s="45">
        <f t="shared" si="10"/>
        <v>1.153262518968079E-3</v>
      </c>
    </row>
    <row r="138" spans="1:11" x14ac:dyDescent="0.25">
      <c r="A138" s="8">
        <v>44575</v>
      </c>
      <c r="B138">
        <v>5749.26</v>
      </c>
      <c r="C138">
        <f t="shared" si="8"/>
        <v>2.572146530392283E-3</v>
      </c>
      <c r="D138" s="35">
        <v>9672.75</v>
      </c>
      <c r="E138" s="45">
        <f t="shared" si="11"/>
        <v>3.3192438347637854E-3</v>
      </c>
      <c r="F138">
        <v>3199500</v>
      </c>
      <c r="G138">
        <v>820.4</v>
      </c>
      <c r="H138" s="45">
        <f t="shared" si="9"/>
        <v>2.5500000000000078E-2</v>
      </c>
      <c r="I138">
        <v>2969800</v>
      </c>
      <c r="J138" s="38" t="s">
        <v>174</v>
      </c>
      <c r="K138" s="45">
        <f t="shared" si="10"/>
        <v>-5.6990420759064353E-3</v>
      </c>
    </row>
    <row r="139" spans="1:11" x14ac:dyDescent="0.25">
      <c r="A139" s="8">
        <v>44578</v>
      </c>
      <c r="B139">
        <v>5730.44</v>
      </c>
      <c r="C139">
        <f t="shared" si="8"/>
        <v>-3.2734647589429677E-3</v>
      </c>
      <c r="D139" s="35">
        <v>9673.9</v>
      </c>
      <c r="E139" s="45">
        <f t="shared" si="11"/>
        <v>1.1889069809511987E-4</v>
      </c>
      <c r="F139">
        <v>2855900</v>
      </c>
      <c r="G139">
        <v>823.45</v>
      </c>
      <c r="H139" s="45">
        <f t="shared" si="9"/>
        <v>3.7176986835689707E-3</v>
      </c>
      <c r="I139">
        <v>3985900</v>
      </c>
      <c r="J139" s="38" t="s">
        <v>175</v>
      </c>
      <c r="K139" s="45">
        <f t="shared" si="10"/>
        <v>-8.5365853658536661E-4</v>
      </c>
    </row>
    <row r="140" spans="1:11" x14ac:dyDescent="0.25">
      <c r="A140" s="8">
        <v>44579</v>
      </c>
      <c r="B140">
        <v>5800.18</v>
      </c>
      <c r="C140">
        <f t="shared" si="8"/>
        <v>1.2170095141036397E-2</v>
      </c>
      <c r="D140" s="35">
        <v>9702.0499999999993</v>
      </c>
      <c r="E140" s="45">
        <f t="shared" si="11"/>
        <v>2.9098915638987588E-3</v>
      </c>
      <c r="F140">
        <v>3256900</v>
      </c>
      <c r="G140">
        <v>819.6</v>
      </c>
      <c r="H140" s="45">
        <f t="shared" si="9"/>
        <v>-4.6754508470460143E-3</v>
      </c>
      <c r="I140">
        <v>3314900</v>
      </c>
      <c r="J140" s="38" t="s">
        <v>176</v>
      </c>
      <c r="K140" s="45">
        <f t="shared" si="10"/>
        <v>4.6381056999877934E-3</v>
      </c>
    </row>
    <row r="141" spans="1:11" x14ac:dyDescent="0.25">
      <c r="A141" s="8">
        <v>44580</v>
      </c>
      <c r="B141">
        <v>5787.09</v>
      </c>
      <c r="C141">
        <f t="shared" si="8"/>
        <v>-2.2568265122806519E-3</v>
      </c>
      <c r="D141" s="35">
        <v>9579.5</v>
      </c>
      <c r="E141" s="45">
        <f t="shared" si="11"/>
        <v>-1.2631351106209388E-2</v>
      </c>
      <c r="F141">
        <v>3240800</v>
      </c>
      <c r="G141">
        <v>787.65</v>
      </c>
      <c r="H141" s="45">
        <f t="shared" si="9"/>
        <v>-3.8982430453879946E-2</v>
      </c>
      <c r="I141">
        <v>2440000</v>
      </c>
      <c r="J141" s="38" t="s">
        <v>177</v>
      </c>
      <c r="K141" s="45">
        <f t="shared" si="10"/>
        <v>-1.7616328514153845E-2</v>
      </c>
    </row>
    <row r="142" spans="1:11" x14ac:dyDescent="0.25">
      <c r="A142" s="8">
        <v>44581</v>
      </c>
      <c r="B142">
        <v>5855.97</v>
      </c>
      <c r="C142">
        <f t="shared" si="8"/>
        <v>1.1902355069646431E-2</v>
      </c>
      <c r="D142" s="35">
        <v>9509.85</v>
      </c>
      <c r="E142" s="45">
        <f t="shared" si="11"/>
        <v>-7.2707343807087987E-3</v>
      </c>
      <c r="F142">
        <v>2633200</v>
      </c>
      <c r="G142">
        <v>804.25</v>
      </c>
      <c r="H142" s="45">
        <f t="shared" si="9"/>
        <v>2.1075350726845743E-2</v>
      </c>
      <c r="I142">
        <v>3397700</v>
      </c>
      <c r="J142" s="38" t="s">
        <v>178</v>
      </c>
      <c r="K142" s="45">
        <f t="shared" si="10"/>
        <v>2.0405639376699369E-3</v>
      </c>
    </row>
    <row r="143" spans="1:11" x14ac:dyDescent="0.25">
      <c r="A143" s="8">
        <v>44582</v>
      </c>
      <c r="B143">
        <v>5839.97</v>
      </c>
      <c r="C143">
        <f t="shared" si="8"/>
        <v>-2.7322544343635347E-3</v>
      </c>
      <c r="D143" s="35">
        <v>9435.9</v>
      </c>
      <c r="E143" s="45">
        <f t="shared" si="11"/>
        <v>-7.7761478887680147E-3</v>
      </c>
      <c r="F143">
        <v>3892900</v>
      </c>
      <c r="G143">
        <v>777.95</v>
      </c>
      <c r="H143" s="45">
        <f t="shared" si="9"/>
        <v>-3.2701274479328468E-2</v>
      </c>
      <c r="I143">
        <v>3662900</v>
      </c>
      <c r="J143" s="38" t="s">
        <v>179</v>
      </c>
      <c r="K143" s="45">
        <f t="shared" si="10"/>
        <v>-7.0965751311323766E-3</v>
      </c>
    </row>
    <row r="144" spans="1:11" x14ac:dyDescent="0.25">
      <c r="A144" s="8">
        <v>44585</v>
      </c>
      <c r="B144">
        <v>5771.1</v>
      </c>
      <c r="C144">
        <f t="shared" si="8"/>
        <v>-1.1792868798983558E-2</v>
      </c>
      <c r="D144" s="35">
        <v>9330.85</v>
      </c>
      <c r="E144" s="45">
        <f t="shared" si="11"/>
        <v>-1.1133013279072457E-2</v>
      </c>
      <c r="F144">
        <v>3061700</v>
      </c>
      <c r="G144">
        <v>717</v>
      </c>
      <c r="H144" s="45">
        <f t="shared" si="9"/>
        <v>-7.8346937463847355E-2</v>
      </c>
      <c r="I144">
        <v>2824000</v>
      </c>
      <c r="J144" s="38" t="s">
        <v>180</v>
      </c>
      <c r="K144" s="45">
        <f t="shared" si="10"/>
        <v>-7.5201988812926279E-3</v>
      </c>
    </row>
    <row r="145" spans="1:11" x14ac:dyDescent="0.25">
      <c r="A145" s="8">
        <v>44586</v>
      </c>
      <c r="B145">
        <v>5794.22</v>
      </c>
      <c r="C145">
        <f t="shared" si="8"/>
        <v>4.006168668018173E-3</v>
      </c>
      <c r="D145" s="35">
        <v>9055.15</v>
      </c>
      <c r="E145" s="45">
        <f t="shared" si="11"/>
        <v>-2.9547147365995619E-2</v>
      </c>
      <c r="F145">
        <v>2841900</v>
      </c>
      <c r="G145">
        <v>722.65</v>
      </c>
      <c r="H145" s="45">
        <f t="shared" si="9"/>
        <v>7.8800557880056576E-3</v>
      </c>
      <c r="I145">
        <v>2438100</v>
      </c>
      <c r="J145" s="38" t="s">
        <v>181</v>
      </c>
      <c r="K145" s="45">
        <f t="shared" si="10"/>
        <v>4.0077650447740698E-3</v>
      </c>
    </row>
    <row r="146" spans="1:11" x14ac:dyDescent="0.25">
      <c r="A146" s="8">
        <v>44588</v>
      </c>
      <c r="B146">
        <v>5712.62</v>
      </c>
      <c r="C146">
        <f t="shared" si="8"/>
        <v>-1.408299995512774E-2</v>
      </c>
      <c r="D146" s="35">
        <v>9128.5499999999993</v>
      </c>
      <c r="E146" s="45">
        <f t="shared" si="11"/>
        <v>8.1058844966674926E-3</v>
      </c>
      <c r="F146">
        <v>3249100</v>
      </c>
      <c r="G146">
        <v>700.65</v>
      </c>
      <c r="H146" s="45">
        <f t="shared" si="9"/>
        <v>-3.0443506538434972E-2</v>
      </c>
      <c r="I146">
        <v>3803200</v>
      </c>
      <c r="J146" s="38" t="s">
        <v>182</v>
      </c>
      <c r="K146" s="45">
        <f t="shared" si="10"/>
        <v>-8.7319902700679908E-3</v>
      </c>
    </row>
    <row r="147" spans="1:11" x14ac:dyDescent="0.25">
      <c r="A147" s="8">
        <v>44589</v>
      </c>
      <c r="B147">
        <v>5679.63</v>
      </c>
      <c r="C147">
        <f t="shared" si="8"/>
        <v>-5.7749333930839919E-3</v>
      </c>
      <c r="D147" s="35">
        <v>9031.25</v>
      </c>
      <c r="E147" s="45">
        <f t="shared" si="11"/>
        <v>-1.0658866961346436E-2</v>
      </c>
      <c r="F147">
        <v>3788700</v>
      </c>
      <c r="G147">
        <v>720.9</v>
      </c>
      <c r="H147" s="45">
        <f t="shared" si="9"/>
        <v>2.8901734104046284E-2</v>
      </c>
      <c r="I147">
        <v>2731600</v>
      </c>
      <c r="J147" s="38" t="s">
        <v>183</v>
      </c>
      <c r="K147" s="45">
        <f t="shared" si="10"/>
        <v>-1.6988611338325077E-2</v>
      </c>
    </row>
    <row r="148" spans="1:11" x14ac:dyDescent="0.25">
      <c r="A148" s="8">
        <v>44592</v>
      </c>
      <c r="B148">
        <v>5644.14</v>
      </c>
      <c r="C148">
        <f t="shared" si="8"/>
        <v>-6.2486464787318008E-3</v>
      </c>
      <c r="D148" s="35">
        <v>9054.7000000000007</v>
      </c>
      <c r="E148" s="45">
        <f t="shared" si="11"/>
        <v>2.5965397923877198E-3</v>
      </c>
      <c r="F148">
        <v>2308200</v>
      </c>
      <c r="G148">
        <v>721.2</v>
      </c>
      <c r="H148" s="45">
        <f t="shared" si="9"/>
        <v>4.1614648356236295E-4</v>
      </c>
      <c r="I148">
        <v>2624000</v>
      </c>
      <c r="J148" s="38" t="s">
        <v>184</v>
      </c>
      <c r="K148" s="45">
        <f t="shared" si="10"/>
        <v>9.7932535364526618E-3</v>
      </c>
    </row>
    <row r="149" spans="1:11" x14ac:dyDescent="0.25">
      <c r="A149" s="8">
        <v>44593</v>
      </c>
      <c r="B149">
        <v>5685.35</v>
      </c>
      <c r="C149">
        <f t="shared" si="8"/>
        <v>7.3013780664548111E-3</v>
      </c>
      <c r="D149" s="35">
        <v>9179.15</v>
      </c>
      <c r="E149" s="45">
        <f t="shared" si="11"/>
        <v>1.3744243321148097E-2</v>
      </c>
      <c r="F149">
        <v>2184100</v>
      </c>
      <c r="G149">
        <v>727.35</v>
      </c>
      <c r="H149" s="45">
        <f t="shared" si="9"/>
        <v>8.527454242928334E-3</v>
      </c>
      <c r="I149">
        <v>3155600</v>
      </c>
      <c r="J149" s="38" t="s">
        <v>185</v>
      </c>
      <c r="K149" s="45">
        <f t="shared" si="10"/>
        <v>2.7256592292089321E-2</v>
      </c>
    </row>
    <row r="150" spans="1:11" x14ac:dyDescent="0.25">
      <c r="A150" s="8">
        <v>44594</v>
      </c>
      <c r="B150">
        <v>5644.03</v>
      </c>
      <c r="C150">
        <f t="shared" si="8"/>
        <v>-7.2678023340692066E-3</v>
      </c>
      <c r="D150" s="35">
        <v>9305.6</v>
      </c>
      <c r="E150" s="45">
        <f t="shared" si="11"/>
        <v>1.3775785339601221E-2</v>
      </c>
      <c r="F150">
        <v>3033800</v>
      </c>
      <c r="G150">
        <v>746.55</v>
      </c>
      <c r="H150" s="45">
        <f t="shared" si="9"/>
        <v>2.6397195297999554E-2</v>
      </c>
      <c r="I150">
        <v>3484500</v>
      </c>
      <c r="J150" s="38" t="s">
        <v>186</v>
      </c>
      <c r="K150" s="45">
        <f t="shared" si="10"/>
        <v>4.2576823398741137E-3</v>
      </c>
    </row>
    <row r="151" spans="1:11" x14ac:dyDescent="0.25">
      <c r="A151" s="8">
        <v>44595</v>
      </c>
      <c r="B151">
        <v>5768.32</v>
      </c>
      <c r="C151">
        <f t="shared" si="8"/>
        <v>2.2021498822649699E-2</v>
      </c>
      <c r="D151" s="35">
        <v>9411.9500000000007</v>
      </c>
      <c r="E151" s="45">
        <f t="shared" si="11"/>
        <v>1.1428602132049548E-2</v>
      </c>
      <c r="F151">
        <v>2681700</v>
      </c>
      <c r="G151">
        <v>725.15</v>
      </c>
      <c r="H151" s="45">
        <f t="shared" si="9"/>
        <v>-2.8665193222155216E-2</v>
      </c>
      <c r="I151">
        <v>3603300</v>
      </c>
      <c r="J151" s="38" t="s">
        <v>187</v>
      </c>
      <c r="K151" s="45">
        <f t="shared" si="10"/>
        <v>-5.8986175115206541E-3</v>
      </c>
    </row>
    <row r="152" spans="1:11" x14ac:dyDescent="0.25">
      <c r="A152" s="8">
        <v>44596</v>
      </c>
      <c r="B152">
        <v>5779.96</v>
      </c>
      <c r="C152">
        <f t="shared" si="8"/>
        <v>2.0179185620770035E-3</v>
      </c>
      <c r="D152" s="35">
        <v>9307.4500000000007</v>
      </c>
      <c r="E152" s="45">
        <f t="shared" si="11"/>
        <v>-1.110290641153E-2</v>
      </c>
      <c r="F152">
        <v>2009800</v>
      </c>
      <c r="G152">
        <v>733.4</v>
      </c>
      <c r="H152" s="45">
        <f t="shared" si="9"/>
        <v>1.1376956491760293E-2</v>
      </c>
      <c r="I152">
        <v>3297700</v>
      </c>
      <c r="J152" s="38" t="s">
        <v>188</v>
      </c>
      <c r="K152" s="45">
        <f t="shared" si="10"/>
        <v>-4.8210643426664923E-3</v>
      </c>
    </row>
    <row r="153" spans="1:11" x14ac:dyDescent="0.25">
      <c r="A153" s="8">
        <v>44599</v>
      </c>
      <c r="B153">
        <v>5831.78</v>
      </c>
      <c r="C153">
        <f t="shared" si="8"/>
        <v>8.9654599685811132E-3</v>
      </c>
      <c r="D153" s="35">
        <v>9280.15</v>
      </c>
      <c r="E153" s="45">
        <f t="shared" si="11"/>
        <v>-2.933134209692323E-3</v>
      </c>
      <c r="F153">
        <v>2673500</v>
      </c>
      <c r="G153">
        <v>715.45</v>
      </c>
      <c r="H153" s="45">
        <f t="shared" si="9"/>
        <v>-2.4475047722934185E-2</v>
      </c>
      <c r="I153">
        <v>4340800</v>
      </c>
      <c r="J153" s="38" t="s">
        <v>189</v>
      </c>
      <c r="K153" s="45">
        <f t="shared" si="10"/>
        <v>-2.3166262965033213E-2</v>
      </c>
    </row>
    <row r="154" spans="1:11" x14ac:dyDescent="0.25">
      <c r="A154" s="8">
        <v>44600</v>
      </c>
      <c r="B154">
        <v>5858.02</v>
      </c>
      <c r="C154">
        <f t="shared" si="8"/>
        <v>4.4994838625600497E-3</v>
      </c>
      <c r="D154" s="35">
        <v>9141.7000000000007</v>
      </c>
      <c r="E154" s="45">
        <f t="shared" si="11"/>
        <v>-1.4918939887825E-2</v>
      </c>
      <c r="F154">
        <v>2704300</v>
      </c>
      <c r="G154">
        <v>737.5</v>
      </c>
      <c r="H154" s="45">
        <f t="shared" si="9"/>
        <v>3.0819763785030263E-2</v>
      </c>
      <c r="I154">
        <v>2529300</v>
      </c>
      <c r="J154" s="38" t="s">
        <v>190</v>
      </c>
      <c r="K154" s="45">
        <f t="shared" si="10"/>
        <v>7.7568667344862785E-3</v>
      </c>
    </row>
    <row r="155" spans="1:11" x14ac:dyDescent="0.25">
      <c r="A155" s="8">
        <v>44601</v>
      </c>
      <c r="B155">
        <v>5876.56</v>
      </c>
      <c r="C155">
        <f t="shared" si="8"/>
        <v>3.1648918917996927E-3</v>
      </c>
      <c r="D155" s="35">
        <v>9147.65</v>
      </c>
      <c r="E155" s="45">
        <f t="shared" si="11"/>
        <v>6.5086362492738914E-4</v>
      </c>
      <c r="F155">
        <v>2685100</v>
      </c>
      <c r="G155">
        <v>734.7</v>
      </c>
      <c r="H155" s="45">
        <f t="shared" si="9"/>
        <v>-3.79661016949151E-3</v>
      </c>
      <c r="I155">
        <v>3646400</v>
      </c>
      <c r="J155" s="38" t="s">
        <v>191</v>
      </c>
      <c r="K155" s="45">
        <f t="shared" si="10"/>
        <v>1.2996845425867543E-2</v>
      </c>
    </row>
    <row r="156" spans="1:11" x14ac:dyDescent="0.25">
      <c r="A156" s="8">
        <v>44602</v>
      </c>
      <c r="B156">
        <v>5855.34</v>
      </c>
      <c r="C156">
        <f t="shared" si="8"/>
        <v>-3.6109560695373188E-3</v>
      </c>
      <c r="D156" s="35">
        <v>9251.2000000000007</v>
      </c>
      <c r="E156" s="45">
        <f t="shared" si="11"/>
        <v>1.1319847173864472E-2</v>
      </c>
      <c r="F156">
        <v>3593100</v>
      </c>
      <c r="G156">
        <v>737.75</v>
      </c>
      <c r="H156" s="45">
        <f t="shared" si="9"/>
        <v>4.1513542942697157E-3</v>
      </c>
      <c r="I156">
        <v>2826600</v>
      </c>
      <c r="J156" s="38" t="s">
        <v>192</v>
      </c>
      <c r="K156" s="45">
        <f t="shared" si="10"/>
        <v>3.3632286995515237E-3</v>
      </c>
    </row>
    <row r="157" spans="1:11" x14ac:dyDescent="0.25">
      <c r="A157" s="8">
        <v>44603</v>
      </c>
      <c r="B157">
        <v>5886.89</v>
      </c>
      <c r="C157">
        <f t="shared" si="8"/>
        <v>5.3882438936083688E-3</v>
      </c>
      <c r="D157" s="35">
        <v>9315.9</v>
      </c>
      <c r="E157" s="45">
        <f t="shared" si="11"/>
        <v>6.9936873054305959E-3</v>
      </c>
      <c r="F157">
        <v>5186100</v>
      </c>
      <c r="G157">
        <v>729.05</v>
      </c>
      <c r="H157" s="45">
        <f t="shared" si="9"/>
        <v>-1.1792612673670044E-2</v>
      </c>
      <c r="I157">
        <v>3342200</v>
      </c>
      <c r="J157" s="38" t="s">
        <v>193</v>
      </c>
      <c r="K157" s="45">
        <f t="shared" si="10"/>
        <v>-1.8249534450651805E-2</v>
      </c>
    </row>
    <row r="158" spans="1:11" x14ac:dyDescent="0.25">
      <c r="A158" s="8">
        <v>44606</v>
      </c>
      <c r="B158">
        <v>5897</v>
      </c>
      <c r="C158">
        <f t="shared" si="8"/>
        <v>1.7173753883628073E-3</v>
      </c>
      <c r="D158" s="35">
        <v>9183.9</v>
      </c>
      <c r="E158" s="45">
        <f t="shared" si="11"/>
        <v>-1.4169323414806922E-2</v>
      </c>
      <c r="F158">
        <v>4017200</v>
      </c>
      <c r="G158">
        <v>723.55</v>
      </c>
      <c r="H158" s="45">
        <f t="shared" si="9"/>
        <v>-7.5440641931280306E-3</v>
      </c>
      <c r="I158">
        <v>2056400</v>
      </c>
      <c r="J158" s="38" t="s">
        <v>194</v>
      </c>
      <c r="K158" s="45">
        <f t="shared" si="10"/>
        <v>-4.6914516944865814E-2</v>
      </c>
    </row>
    <row r="159" spans="1:11" x14ac:dyDescent="0.25">
      <c r="A159" s="8">
        <v>44607</v>
      </c>
      <c r="B159">
        <v>5940.75</v>
      </c>
      <c r="C159">
        <f t="shared" si="8"/>
        <v>7.4190266237068592E-3</v>
      </c>
      <c r="D159" s="35">
        <v>8889.1</v>
      </c>
      <c r="E159" s="45">
        <f t="shared" si="11"/>
        <v>-3.2099652653012289E-2</v>
      </c>
      <c r="F159">
        <v>3229500</v>
      </c>
      <c r="G159">
        <v>721.3</v>
      </c>
      <c r="H159" s="45">
        <f t="shared" si="9"/>
        <v>-3.1096676110842214E-3</v>
      </c>
      <c r="I159">
        <v>2515300</v>
      </c>
      <c r="J159" s="38" t="s">
        <v>195</v>
      </c>
      <c r="K159" s="45">
        <f t="shared" si="10"/>
        <v>2.9653708372031184E-2</v>
      </c>
    </row>
    <row r="160" spans="1:11" x14ac:dyDescent="0.25">
      <c r="A160" s="8">
        <v>44608</v>
      </c>
      <c r="B160">
        <v>5960.28</v>
      </c>
      <c r="C160">
        <f t="shared" si="8"/>
        <v>3.28746370407762E-3</v>
      </c>
      <c r="D160" s="35">
        <v>9148.7000000000007</v>
      </c>
      <c r="E160" s="45">
        <f t="shared" si="11"/>
        <v>2.9204306397723201E-2</v>
      </c>
      <c r="F160">
        <v>3017200</v>
      </c>
      <c r="G160">
        <v>712.25</v>
      </c>
      <c r="H160" s="45">
        <f t="shared" si="9"/>
        <v>-1.254679051712182E-2</v>
      </c>
      <c r="I160">
        <v>2572700</v>
      </c>
      <c r="J160" s="38" t="s">
        <v>135</v>
      </c>
      <c r="K160" s="45">
        <f t="shared" si="10"/>
        <v>-1.5462921203530655E-2</v>
      </c>
    </row>
    <row r="161" spans="1:11" x14ac:dyDescent="0.25">
      <c r="A161" s="8">
        <v>44609</v>
      </c>
      <c r="B161">
        <v>5935.61</v>
      </c>
      <c r="C161">
        <f t="shared" si="8"/>
        <v>-4.1390672921406413E-3</v>
      </c>
      <c r="D161" s="35">
        <v>9131.7000000000007</v>
      </c>
      <c r="E161" s="45">
        <f t="shared" si="11"/>
        <v>-1.8581875020494687E-3</v>
      </c>
      <c r="F161">
        <v>3241300</v>
      </c>
      <c r="G161">
        <v>703.7</v>
      </c>
      <c r="H161" s="45">
        <f t="shared" si="9"/>
        <v>-1.2004212004211978E-2</v>
      </c>
      <c r="I161">
        <v>2795800</v>
      </c>
      <c r="J161" s="38" t="s">
        <v>196</v>
      </c>
      <c r="K161" s="45">
        <f t="shared" si="10"/>
        <v>-1.793076369347546E-2</v>
      </c>
    </row>
    <row r="162" spans="1:11" x14ac:dyDescent="0.25">
      <c r="A162" s="8">
        <v>44610</v>
      </c>
      <c r="B162">
        <v>5952.25</v>
      </c>
      <c r="C162">
        <f t="shared" si="8"/>
        <v>2.8034186882224255E-3</v>
      </c>
      <c r="D162" s="35">
        <v>9125.25</v>
      </c>
      <c r="E162" s="45">
        <f t="shared" si="11"/>
        <v>-7.063306941753611E-4</v>
      </c>
      <c r="F162">
        <v>3466800</v>
      </c>
      <c r="G162">
        <v>695.6</v>
      </c>
      <c r="H162" s="45">
        <f t="shared" si="9"/>
        <v>-1.1510586897825803E-2</v>
      </c>
      <c r="I162">
        <v>3012200</v>
      </c>
      <c r="J162" s="38" t="s">
        <v>197</v>
      </c>
      <c r="K162" s="45">
        <f t="shared" si="10"/>
        <v>-1.9324315319517726E-3</v>
      </c>
    </row>
    <row r="163" spans="1:11" x14ac:dyDescent="0.25">
      <c r="A163" s="8">
        <v>44613</v>
      </c>
      <c r="B163">
        <v>5907.12</v>
      </c>
      <c r="C163">
        <f t="shared" si="8"/>
        <v>-7.5820068041496658E-3</v>
      </c>
      <c r="D163" s="35">
        <v>9091.1</v>
      </c>
      <c r="E163" s="45">
        <f t="shared" si="11"/>
        <v>-3.7423632229253156E-3</v>
      </c>
      <c r="F163">
        <v>2811900</v>
      </c>
      <c r="G163">
        <v>655.45</v>
      </c>
      <c r="H163" s="45">
        <f t="shared" si="9"/>
        <v>-5.7719953996549722E-2</v>
      </c>
      <c r="I163">
        <v>2909800</v>
      </c>
      <c r="J163" s="38" t="s">
        <v>198</v>
      </c>
      <c r="K163" s="45">
        <f t="shared" si="10"/>
        <v>7.4108692749366156E-3</v>
      </c>
    </row>
    <row r="164" spans="1:11" x14ac:dyDescent="0.25">
      <c r="A164" s="8">
        <v>44614</v>
      </c>
      <c r="B164">
        <v>5930.68</v>
      </c>
      <c r="C164">
        <f t="shared" si="8"/>
        <v>3.9884072102818191E-3</v>
      </c>
      <c r="D164" s="35">
        <v>9034.0499999999993</v>
      </c>
      <c r="E164" s="45">
        <f t="shared" si="11"/>
        <v>-6.2753682172675962E-3</v>
      </c>
      <c r="F164">
        <v>2618900</v>
      </c>
      <c r="G164">
        <v>632.15</v>
      </c>
      <c r="H164" s="45">
        <f t="shared" si="9"/>
        <v>-3.5548096727439304E-2</v>
      </c>
      <c r="I164">
        <v>2973000</v>
      </c>
      <c r="J164" s="38" t="s">
        <v>199</v>
      </c>
      <c r="K164" s="45">
        <f t="shared" si="10"/>
        <v>-4.1752269865465985E-3</v>
      </c>
    </row>
    <row r="165" spans="1:11" x14ac:dyDescent="0.25">
      <c r="A165" s="8">
        <v>44615</v>
      </c>
      <c r="B165">
        <v>5937.99</v>
      </c>
      <c r="C165">
        <f t="shared" si="8"/>
        <v>1.232573667774961E-3</v>
      </c>
      <c r="D165" s="35">
        <v>8975.75</v>
      </c>
      <c r="E165" s="45">
        <f t="shared" si="11"/>
        <v>-6.4533625561070673E-3</v>
      </c>
      <c r="F165">
        <v>2734800</v>
      </c>
      <c r="G165">
        <v>650.85</v>
      </c>
      <c r="H165" s="45">
        <f t="shared" si="9"/>
        <v>2.9581586648738556E-2</v>
      </c>
      <c r="I165">
        <v>1928100</v>
      </c>
      <c r="J165" s="38" t="s">
        <v>200</v>
      </c>
      <c r="K165" s="45">
        <f t="shared" si="10"/>
        <v>-8.9178756821508554E-3</v>
      </c>
    </row>
    <row r="166" spans="1:11" x14ac:dyDescent="0.25">
      <c r="A166" s="8">
        <v>44616</v>
      </c>
      <c r="B166">
        <v>5858.13</v>
      </c>
      <c r="C166">
        <f t="shared" si="8"/>
        <v>-1.3448995367119077E-2</v>
      </c>
      <c r="D166" s="35">
        <v>8981.75</v>
      </c>
      <c r="E166" s="45">
        <f t="shared" si="11"/>
        <v>6.6846781606000327E-4</v>
      </c>
      <c r="F166">
        <v>3172100</v>
      </c>
      <c r="G166">
        <v>632.20000000000005</v>
      </c>
      <c r="H166" s="45">
        <f t="shared" si="9"/>
        <v>-2.8654835983713545E-2</v>
      </c>
      <c r="I166">
        <v>2732100</v>
      </c>
      <c r="J166" s="38" t="s">
        <v>91</v>
      </c>
      <c r="K166" s="45">
        <f t="shared" si="10"/>
        <v>-4.9959709911361894E-2</v>
      </c>
    </row>
    <row r="167" spans="1:11" x14ac:dyDescent="0.25">
      <c r="A167" s="8">
        <v>44617</v>
      </c>
      <c r="B167">
        <v>5864.33</v>
      </c>
      <c r="C167">
        <f t="shared" si="8"/>
        <v>1.05835821328637E-3</v>
      </c>
      <c r="D167" s="35">
        <v>8532.4</v>
      </c>
      <c r="E167" s="45">
        <f t="shared" si="11"/>
        <v>-5.0029225930358856E-2</v>
      </c>
      <c r="F167">
        <v>4681400</v>
      </c>
      <c r="G167">
        <v>642.5</v>
      </c>
      <c r="H167" s="45">
        <f t="shared" si="9"/>
        <v>1.6292312559316624E-2</v>
      </c>
      <c r="I167">
        <v>3506800</v>
      </c>
      <c r="J167" s="38" t="s">
        <v>201</v>
      </c>
      <c r="K167" s="45">
        <f t="shared" si="10"/>
        <v>3.2018659881255296E-2</v>
      </c>
    </row>
    <row r="168" spans="1:11" x14ac:dyDescent="0.25">
      <c r="A168" s="8">
        <v>44620</v>
      </c>
      <c r="B168">
        <v>5851.14</v>
      </c>
      <c r="C168">
        <f t="shared" si="8"/>
        <v>-2.2491912972154582E-3</v>
      </c>
      <c r="D168" s="35">
        <v>8779.15</v>
      </c>
      <c r="E168" s="45">
        <f t="shared" si="11"/>
        <v>2.8919178660165912E-2</v>
      </c>
      <c r="F168">
        <v>4000500</v>
      </c>
      <c r="G168">
        <v>665.95</v>
      </c>
      <c r="H168" s="45">
        <f t="shared" si="9"/>
        <v>3.6498054474708219E-2</v>
      </c>
      <c r="I168">
        <v>2935300</v>
      </c>
      <c r="J168" s="38" t="s">
        <v>202</v>
      </c>
      <c r="K168" s="45">
        <f t="shared" si="10"/>
        <v>1.7327580302719081E-2</v>
      </c>
    </row>
    <row r="169" spans="1:11" x14ac:dyDescent="0.25">
      <c r="A169" s="8">
        <v>44622</v>
      </c>
      <c r="B169">
        <v>5870.18</v>
      </c>
      <c r="C169">
        <f t="shared" si="8"/>
        <v>3.2540667288767366E-3</v>
      </c>
      <c r="D169" s="35">
        <v>8855.5</v>
      </c>
      <c r="E169" s="45">
        <f t="shared" si="11"/>
        <v>8.6967417118970491E-3</v>
      </c>
      <c r="F169">
        <v>2359100</v>
      </c>
      <c r="G169">
        <v>648.1</v>
      </c>
      <c r="H169" s="45">
        <f t="shared" si="9"/>
        <v>-2.6803814100157752E-2</v>
      </c>
      <c r="I169">
        <v>4383000</v>
      </c>
      <c r="J169" s="38" t="s">
        <v>203</v>
      </c>
      <c r="K169" s="45">
        <f t="shared" si="10"/>
        <v>-3.7498316951662836E-2</v>
      </c>
    </row>
    <row r="170" spans="1:11" x14ac:dyDescent="0.25">
      <c r="A170" s="8">
        <v>44623</v>
      </c>
      <c r="B170">
        <v>5945.93</v>
      </c>
      <c r="C170">
        <f t="shared" si="8"/>
        <v>1.2904203959674065E-2</v>
      </c>
      <c r="D170" s="35">
        <v>8782.35</v>
      </c>
      <c r="E170" s="45">
        <f t="shared" si="11"/>
        <v>-8.2604031392918831E-3</v>
      </c>
      <c r="F170">
        <v>2609600</v>
      </c>
      <c r="G170">
        <v>633.04999999999995</v>
      </c>
      <c r="H170" s="45">
        <f t="shared" si="9"/>
        <v>-2.3221725042431807E-2</v>
      </c>
      <c r="I170">
        <v>3189000</v>
      </c>
      <c r="J170" s="38" t="s">
        <v>204</v>
      </c>
      <c r="K170" s="45">
        <f t="shared" si="10"/>
        <v>-2.315171014898243E-2</v>
      </c>
    </row>
    <row r="171" spans="1:11" x14ac:dyDescent="0.25">
      <c r="A171" s="8">
        <v>44624</v>
      </c>
      <c r="B171">
        <v>5952.39</v>
      </c>
      <c r="C171">
        <f t="shared" si="8"/>
        <v>1.0864574591358256E-3</v>
      </c>
      <c r="D171" s="35">
        <v>8735.0499999999993</v>
      </c>
      <c r="E171" s="45">
        <f t="shared" si="11"/>
        <v>-5.3858022055601751E-3</v>
      </c>
      <c r="F171">
        <v>4135500</v>
      </c>
      <c r="G171">
        <v>612.20000000000005</v>
      </c>
      <c r="H171" s="45">
        <f t="shared" si="9"/>
        <v>-3.2935787062633115E-2</v>
      </c>
      <c r="I171">
        <v>2713800</v>
      </c>
      <c r="J171" s="38" t="s">
        <v>205</v>
      </c>
      <c r="K171" s="45">
        <f t="shared" si="10"/>
        <v>-1.4678504940569992E-2</v>
      </c>
    </row>
    <row r="172" spans="1:11" x14ac:dyDescent="0.25">
      <c r="A172" s="8">
        <v>44627</v>
      </c>
      <c r="B172">
        <v>5951.37</v>
      </c>
      <c r="C172">
        <f t="shared" si="8"/>
        <v>-1.7135973953330552E-4</v>
      </c>
      <c r="D172" s="35">
        <v>8585</v>
      </c>
      <c r="E172" s="45">
        <f t="shared" si="11"/>
        <v>-1.7177921133822882E-2</v>
      </c>
      <c r="F172">
        <v>4911700</v>
      </c>
      <c r="G172">
        <v>593.1</v>
      </c>
      <c r="H172" s="45">
        <f t="shared" si="9"/>
        <v>-3.1198954590003325E-2</v>
      </c>
      <c r="I172">
        <v>3078700</v>
      </c>
      <c r="J172" s="38" t="s">
        <v>206</v>
      </c>
      <c r="K172" s="45">
        <f t="shared" si="10"/>
        <v>-4.9851028268294351E-2</v>
      </c>
    </row>
    <row r="173" spans="1:11" x14ac:dyDescent="0.25">
      <c r="A173" s="8">
        <v>44628</v>
      </c>
      <c r="B173">
        <v>5959.01</v>
      </c>
      <c r="C173">
        <f t="shared" si="8"/>
        <v>1.2837380300669832E-3</v>
      </c>
      <c r="D173" s="35">
        <v>8379.2000000000007</v>
      </c>
      <c r="E173" s="45">
        <f t="shared" si="11"/>
        <v>-2.3972044263249725E-2</v>
      </c>
      <c r="F173">
        <v>3268900</v>
      </c>
      <c r="G173">
        <v>599.04999999999995</v>
      </c>
      <c r="H173" s="45">
        <f t="shared" si="9"/>
        <v>1.003203506997119E-2</v>
      </c>
      <c r="I173">
        <v>3652900</v>
      </c>
      <c r="J173" s="38" t="s">
        <v>207</v>
      </c>
      <c r="K173" s="45">
        <f t="shared" si="10"/>
        <v>1.7208413001912115E-2</v>
      </c>
    </row>
    <row r="174" spans="1:11" x14ac:dyDescent="0.25">
      <c r="A174" s="8">
        <v>44629</v>
      </c>
      <c r="B174">
        <v>5995.98</v>
      </c>
      <c r="C174">
        <f t="shared" si="8"/>
        <v>6.2040506728464617E-3</v>
      </c>
      <c r="D174" s="35">
        <v>8467.2999999999993</v>
      </c>
      <c r="E174" s="45">
        <f t="shared" si="11"/>
        <v>1.0514130227229135E-2</v>
      </c>
      <c r="F174">
        <v>3443338</v>
      </c>
      <c r="G174">
        <v>606.95000000000005</v>
      </c>
      <c r="H174" s="45">
        <f t="shared" si="9"/>
        <v>1.3187546949336548E-2</v>
      </c>
      <c r="I174">
        <v>2564146</v>
      </c>
      <c r="J174" s="38" t="s">
        <v>53</v>
      </c>
      <c r="K174" s="45">
        <f t="shared" si="10"/>
        <v>3.6842105263159564E-3</v>
      </c>
    </row>
    <row r="175" spans="1:11" x14ac:dyDescent="0.25">
      <c r="A175" s="8">
        <v>44630</v>
      </c>
      <c r="B175">
        <v>5975.92</v>
      </c>
      <c r="C175">
        <f t="shared" si="8"/>
        <v>-3.3455748684951825E-3</v>
      </c>
      <c r="D175" s="35">
        <v>8636.0499999999993</v>
      </c>
      <c r="E175" s="45">
        <f t="shared" si="11"/>
        <v>1.9929611564489358E-2</v>
      </c>
      <c r="F175">
        <v>12001845</v>
      </c>
      <c r="G175">
        <v>608.9</v>
      </c>
      <c r="H175" s="45">
        <f t="shared" si="9"/>
        <v>3.2127852376635513E-3</v>
      </c>
      <c r="I175">
        <v>2387573</v>
      </c>
      <c r="J175" s="38" t="s">
        <v>208</v>
      </c>
      <c r="K175" s="45">
        <f t="shared" si="10"/>
        <v>1.3708892051839117E-2</v>
      </c>
    </row>
    <row r="176" spans="1:11" x14ac:dyDescent="0.25">
      <c r="A176" s="8">
        <v>44631</v>
      </c>
      <c r="B176">
        <v>5966.58</v>
      </c>
      <c r="C176">
        <f t="shared" si="8"/>
        <v>-1.5629392629085137E-3</v>
      </c>
      <c r="D176" s="35">
        <v>8765.9500000000007</v>
      </c>
      <c r="E176" s="45">
        <f t="shared" si="11"/>
        <v>1.5041598879117268E-2</v>
      </c>
      <c r="F176">
        <v>6415900</v>
      </c>
      <c r="G176">
        <v>608.79999999999995</v>
      </c>
      <c r="H176" s="45">
        <f t="shared" si="9"/>
        <v>-1.6423057973402599E-4</v>
      </c>
      <c r="I176">
        <v>2518400</v>
      </c>
      <c r="J176" s="38" t="s">
        <v>209</v>
      </c>
      <c r="K176" s="45">
        <f t="shared" si="10"/>
        <v>1.9213715637007578E-3</v>
      </c>
    </row>
    <row r="177" spans="1:11" x14ac:dyDescent="0.25">
      <c r="A177" s="8">
        <v>44634</v>
      </c>
      <c r="B177">
        <v>5985.24</v>
      </c>
      <c r="C177">
        <f t="shared" si="8"/>
        <v>3.1274197278843285E-3</v>
      </c>
      <c r="D177" s="35">
        <v>8792</v>
      </c>
      <c r="E177" s="45">
        <f t="shared" si="11"/>
        <v>2.9717258254950973E-3</v>
      </c>
      <c r="F177">
        <v>3944100</v>
      </c>
      <c r="G177">
        <v>593.6</v>
      </c>
      <c r="H177" s="45">
        <f t="shared" si="9"/>
        <v>-2.4967148488830415E-2</v>
      </c>
      <c r="I177">
        <v>2619200</v>
      </c>
      <c r="J177" s="38" t="s">
        <v>210</v>
      </c>
      <c r="K177" s="45">
        <f t="shared" si="10"/>
        <v>2.6921374834046219E-2</v>
      </c>
    </row>
    <row r="178" spans="1:11" x14ac:dyDescent="0.25">
      <c r="A178" s="8">
        <v>44635</v>
      </c>
      <c r="B178">
        <v>5989.17</v>
      </c>
      <c r="C178">
        <f t="shared" si="8"/>
        <v>6.5661527357296912E-4</v>
      </c>
      <c r="D178" s="35">
        <v>8884.4500000000007</v>
      </c>
      <c r="E178" s="45">
        <f t="shared" si="11"/>
        <v>1.0515241128298491E-2</v>
      </c>
      <c r="F178">
        <v>2463400</v>
      </c>
      <c r="G178">
        <v>599.1</v>
      </c>
      <c r="H178" s="45">
        <f t="shared" si="9"/>
        <v>9.2654986522910932E-3</v>
      </c>
      <c r="I178">
        <v>2754000</v>
      </c>
      <c r="J178" s="38" t="s">
        <v>211</v>
      </c>
      <c r="K178" s="45">
        <f t="shared" si="10"/>
        <v>1.7237664296487765E-3</v>
      </c>
    </row>
    <row r="179" spans="1:11" x14ac:dyDescent="0.25">
      <c r="A179" s="8">
        <v>44636</v>
      </c>
      <c r="B179">
        <v>5950.68</v>
      </c>
      <c r="C179">
        <f t="shared" si="8"/>
        <v>-6.4266000130234202E-3</v>
      </c>
      <c r="D179" s="35">
        <v>8782.4500000000007</v>
      </c>
      <c r="E179" s="45">
        <f t="shared" si="11"/>
        <v>-1.1480733191137293E-2</v>
      </c>
      <c r="F179">
        <v>2581300</v>
      </c>
      <c r="G179">
        <v>600.15</v>
      </c>
      <c r="H179" s="45">
        <f t="shared" si="9"/>
        <v>1.7526289434151021E-3</v>
      </c>
      <c r="I179">
        <v>3207500</v>
      </c>
      <c r="J179" s="38" t="s">
        <v>212</v>
      </c>
      <c r="K179" s="45">
        <f t="shared" si="10"/>
        <v>1.5272101527210147E-2</v>
      </c>
    </row>
    <row r="180" spans="1:11" x14ac:dyDescent="0.25">
      <c r="A180" s="8">
        <v>44637</v>
      </c>
      <c r="B180">
        <v>5941.2</v>
      </c>
      <c r="C180">
        <f t="shared" si="8"/>
        <v>-1.5930952428966361E-3</v>
      </c>
      <c r="D180" s="35">
        <v>8952.35</v>
      </c>
      <c r="E180" s="45">
        <f t="shared" si="11"/>
        <v>1.9345399062903779E-2</v>
      </c>
      <c r="F180">
        <v>2279200</v>
      </c>
      <c r="G180">
        <v>625.9</v>
      </c>
      <c r="H180" s="45">
        <f t="shared" si="9"/>
        <v>4.2905940181621194E-2</v>
      </c>
      <c r="I180">
        <v>3016300</v>
      </c>
      <c r="J180" s="38" t="s">
        <v>213</v>
      </c>
      <c r="K180" s="45">
        <f t="shared" si="10"/>
        <v>1.7090395480225951E-2</v>
      </c>
    </row>
    <row r="181" spans="1:11" x14ac:dyDescent="0.25">
      <c r="A181" s="8">
        <v>44641</v>
      </c>
      <c r="B181">
        <v>6018.94</v>
      </c>
      <c r="C181">
        <f t="shared" si="8"/>
        <v>1.3084898673668688E-2</v>
      </c>
      <c r="D181" s="35">
        <v>9107.6</v>
      </c>
      <c r="E181" s="45">
        <f t="shared" si="11"/>
        <v>1.7341815277552852E-2</v>
      </c>
      <c r="F181">
        <v>2437700</v>
      </c>
      <c r="G181">
        <v>645.4</v>
      </c>
      <c r="H181" s="45">
        <f t="shared" si="9"/>
        <v>3.1155136603291167E-2</v>
      </c>
      <c r="I181">
        <v>2696600</v>
      </c>
      <c r="J181" s="38" t="s">
        <v>214</v>
      </c>
      <c r="K181" s="45">
        <f t="shared" si="10"/>
        <v>-1.2984307735036782E-2</v>
      </c>
    </row>
    <row r="182" spans="1:11" x14ac:dyDescent="0.25">
      <c r="A182" s="8">
        <v>44642</v>
      </c>
      <c r="B182">
        <v>6036.81</v>
      </c>
      <c r="C182">
        <f t="shared" si="8"/>
        <v>2.9689613121248737E-3</v>
      </c>
      <c r="D182" s="35">
        <v>9021.9</v>
      </c>
      <c r="E182" s="45">
        <f t="shared" si="11"/>
        <v>-9.4097237472001716E-3</v>
      </c>
      <c r="F182">
        <v>1965400</v>
      </c>
      <c r="G182">
        <v>669.75</v>
      </c>
      <c r="H182" s="45">
        <f t="shared" si="9"/>
        <v>3.772854044003715E-2</v>
      </c>
      <c r="I182">
        <v>2610300</v>
      </c>
      <c r="J182" s="38" t="s">
        <v>215</v>
      </c>
      <c r="K182" s="45">
        <f t="shared" si="10"/>
        <v>1.0481885332395358E-2</v>
      </c>
    </row>
    <row r="183" spans="1:11" x14ac:dyDescent="0.25">
      <c r="A183" s="8">
        <v>44643</v>
      </c>
      <c r="B183">
        <v>6010.73</v>
      </c>
      <c r="C183">
        <f t="shared" si="8"/>
        <v>-4.3201624699138463E-3</v>
      </c>
      <c r="D183" s="35">
        <v>9104.75</v>
      </c>
      <c r="E183" s="45">
        <f t="shared" si="11"/>
        <v>9.1832097451756134E-3</v>
      </c>
      <c r="F183">
        <v>2642700</v>
      </c>
      <c r="G183">
        <v>651.35</v>
      </c>
      <c r="H183" s="45">
        <f t="shared" si="9"/>
        <v>-2.7472937663307162E-2</v>
      </c>
      <c r="I183">
        <v>2778800</v>
      </c>
      <c r="J183" s="38" t="s">
        <v>216</v>
      </c>
      <c r="K183" s="45">
        <f t="shared" si="10"/>
        <v>1.3923698134221674E-4</v>
      </c>
    </row>
    <row r="184" spans="1:11" x14ac:dyDescent="0.25">
      <c r="A184" s="8">
        <v>44644</v>
      </c>
      <c r="B184">
        <v>5963.35</v>
      </c>
      <c r="C184">
        <f t="shared" si="8"/>
        <v>-7.8825700039760749E-3</v>
      </c>
      <c r="D184" s="35">
        <v>9087.15</v>
      </c>
      <c r="E184" s="45">
        <f t="shared" si="11"/>
        <v>-1.9330569208381165E-3</v>
      </c>
      <c r="F184">
        <v>2710300</v>
      </c>
      <c r="G184">
        <v>642.9</v>
      </c>
      <c r="H184" s="45">
        <f t="shared" si="9"/>
        <v>-1.2973055960697089E-2</v>
      </c>
      <c r="I184">
        <v>2408600</v>
      </c>
      <c r="J184" s="38" t="s">
        <v>217</v>
      </c>
      <c r="K184" s="45">
        <f t="shared" si="10"/>
        <v>-1.9629681191702497E-2</v>
      </c>
    </row>
    <row r="185" spans="1:11" x14ac:dyDescent="0.25">
      <c r="A185" s="8">
        <v>44645</v>
      </c>
      <c r="B185">
        <v>5939.05</v>
      </c>
      <c r="C185">
        <f t="shared" si="8"/>
        <v>-4.0748907912498966E-3</v>
      </c>
      <c r="D185" s="35">
        <v>9086.7999999999993</v>
      </c>
      <c r="E185" s="45">
        <f t="shared" si="11"/>
        <v>-3.851592633552503E-5</v>
      </c>
      <c r="F185">
        <v>3470500</v>
      </c>
      <c r="G185">
        <v>621.29999999999995</v>
      </c>
      <c r="H185" s="45">
        <f t="shared" si="9"/>
        <v>-3.3597760149323364E-2</v>
      </c>
      <c r="I185">
        <v>2768600</v>
      </c>
      <c r="J185" s="38" t="s">
        <v>218</v>
      </c>
      <c r="K185" s="45">
        <f t="shared" si="10"/>
        <v>-7.0292530531099739E-3</v>
      </c>
    </row>
    <row r="186" spans="1:11" x14ac:dyDescent="0.25">
      <c r="A186" s="8">
        <v>44648</v>
      </c>
      <c r="B186">
        <v>5967.13</v>
      </c>
      <c r="C186">
        <f t="shared" si="8"/>
        <v>4.7280288935098724E-3</v>
      </c>
      <c r="D186" s="35">
        <v>9058.5</v>
      </c>
      <c r="E186" s="45">
        <f t="shared" si="11"/>
        <v>-3.1144077122858826E-3</v>
      </c>
      <c r="F186">
        <v>2390900</v>
      </c>
      <c r="G186">
        <v>605.79999999999995</v>
      </c>
      <c r="H186" s="45">
        <f t="shared" si="9"/>
        <v>-2.4947690326734273E-2</v>
      </c>
      <c r="I186">
        <v>2613000</v>
      </c>
      <c r="J186" s="38" t="s">
        <v>219</v>
      </c>
      <c r="K186" s="45">
        <f t="shared" si="10"/>
        <v>1.5874150875938575E-2</v>
      </c>
    </row>
    <row r="187" spans="1:11" x14ac:dyDescent="0.25">
      <c r="A187" s="8">
        <v>44649</v>
      </c>
      <c r="B187">
        <v>5924.78</v>
      </c>
      <c r="C187">
        <f t="shared" si="8"/>
        <v>-7.0972142386709347E-3</v>
      </c>
      <c r="D187" s="35">
        <v>9079.7000000000007</v>
      </c>
      <c r="E187" s="45">
        <f t="shared" si="11"/>
        <v>2.3403433239499449E-3</v>
      </c>
      <c r="F187">
        <v>2635800</v>
      </c>
      <c r="G187">
        <v>615.65</v>
      </c>
      <c r="H187" s="45">
        <f t="shared" si="9"/>
        <v>1.625949158138007E-2</v>
      </c>
      <c r="I187">
        <v>2554800</v>
      </c>
      <c r="J187" s="38" t="s">
        <v>220</v>
      </c>
      <c r="K187" s="45">
        <f t="shared" si="10"/>
        <v>6.9683958611950203E-3</v>
      </c>
    </row>
    <row r="188" spans="1:11" x14ac:dyDescent="0.25">
      <c r="A188" s="8">
        <v>44650</v>
      </c>
      <c r="B188">
        <v>5942.32</v>
      </c>
      <c r="C188">
        <f t="shared" si="8"/>
        <v>2.960447476530792E-3</v>
      </c>
      <c r="D188" s="35">
        <v>9130.6</v>
      </c>
      <c r="E188" s="45">
        <f t="shared" si="11"/>
        <v>5.6059120896063686E-3</v>
      </c>
      <c r="F188">
        <v>1809500</v>
      </c>
      <c r="G188">
        <v>620.79999999999995</v>
      </c>
      <c r="H188" s="45">
        <f t="shared" si="9"/>
        <v>8.365142532282821E-3</v>
      </c>
      <c r="I188">
        <v>2538100</v>
      </c>
      <c r="J188" s="38" t="s">
        <v>221</v>
      </c>
      <c r="K188" s="45">
        <f t="shared" si="10"/>
        <v>2.1809031175730409E-2</v>
      </c>
    </row>
    <row r="189" spans="1:11" x14ac:dyDescent="0.25">
      <c r="A189" s="8">
        <v>44651</v>
      </c>
      <c r="B189">
        <v>6016.09</v>
      </c>
      <c r="C189">
        <f t="shared" si="8"/>
        <v>1.2414343219483426E-2</v>
      </c>
      <c r="D189" s="35">
        <v>9213.5</v>
      </c>
      <c r="E189" s="45">
        <f t="shared" si="11"/>
        <v>9.0793595163516372E-3</v>
      </c>
      <c r="F189">
        <v>1733400</v>
      </c>
      <c r="G189">
        <v>621.25</v>
      </c>
      <c r="H189" s="45">
        <f t="shared" si="9"/>
        <v>7.2487113402064374E-4</v>
      </c>
      <c r="I189">
        <v>3367300</v>
      </c>
      <c r="J189" s="38" t="s">
        <v>222</v>
      </c>
      <c r="K189" s="45">
        <f t="shared" si="10"/>
        <v>-8.2090573265836131E-4</v>
      </c>
    </row>
    <row r="190" spans="1:11" x14ac:dyDescent="0.25">
      <c r="A190" s="8">
        <v>44652</v>
      </c>
      <c r="B190">
        <v>6033.19</v>
      </c>
      <c r="C190">
        <f t="shared" si="8"/>
        <v>2.8423776904933362E-3</v>
      </c>
      <c r="D190" s="35">
        <v>9207</v>
      </c>
      <c r="E190" s="45">
        <f t="shared" si="11"/>
        <v>-7.0548651435398124E-4</v>
      </c>
      <c r="F190">
        <v>2216900</v>
      </c>
      <c r="G190">
        <v>617.54999999999995</v>
      </c>
      <c r="H190" s="45">
        <f t="shared" si="9"/>
        <v>-5.9557344064387063E-3</v>
      </c>
      <c r="I190">
        <v>3369700</v>
      </c>
      <c r="J190" s="38" t="s">
        <v>223</v>
      </c>
      <c r="K190" s="45">
        <f t="shared" si="10"/>
        <v>8.1473367109408112E-3</v>
      </c>
    </row>
    <row r="191" spans="1:11" x14ac:dyDescent="0.25">
      <c r="A191" s="8">
        <v>44655</v>
      </c>
      <c r="B191">
        <v>6068.77</v>
      </c>
      <c r="C191">
        <f t="shared" si="8"/>
        <v>5.8973776725084193E-3</v>
      </c>
      <c r="D191" s="35">
        <v>9324.35</v>
      </c>
      <c r="E191" s="45">
        <f t="shared" si="11"/>
        <v>1.2745736939285379E-2</v>
      </c>
      <c r="F191">
        <v>1359300</v>
      </c>
      <c r="G191">
        <v>632.95000000000005</v>
      </c>
      <c r="H191" s="45">
        <f t="shared" si="9"/>
        <v>2.4937252044368918E-2</v>
      </c>
      <c r="I191">
        <v>3462300</v>
      </c>
      <c r="J191" s="38" t="s">
        <v>224</v>
      </c>
      <c r="K191" s="45">
        <f t="shared" si="10"/>
        <v>1.4057724957555306E-2</v>
      </c>
    </row>
    <row r="192" spans="1:11" x14ac:dyDescent="0.25">
      <c r="A192" s="8">
        <v>44656</v>
      </c>
      <c r="B192">
        <v>6073.02</v>
      </c>
      <c r="C192">
        <f t="shared" si="8"/>
        <v>7.0030665192444275E-4</v>
      </c>
      <c r="D192" s="35">
        <v>9514.7000000000007</v>
      </c>
      <c r="E192" s="45">
        <f t="shared" si="11"/>
        <v>2.0414291612820268E-2</v>
      </c>
      <c r="F192">
        <v>937700</v>
      </c>
      <c r="G192">
        <v>644.20000000000005</v>
      </c>
      <c r="H192" s="45">
        <f t="shared" si="9"/>
        <v>1.7773915791136741E-2</v>
      </c>
      <c r="I192">
        <v>1143600</v>
      </c>
      <c r="J192" s="38" t="s">
        <v>225</v>
      </c>
      <c r="K192" s="45">
        <f t="shared" si="10"/>
        <v>-6.4291454594160857E-3</v>
      </c>
    </row>
    <row r="193" spans="1:11" x14ac:dyDescent="0.25">
      <c r="A193" s="8">
        <v>44657</v>
      </c>
      <c r="B193">
        <v>6147.35</v>
      </c>
      <c r="C193">
        <f t="shared" si="8"/>
        <v>1.2239380077786688E-2</v>
      </c>
      <c r="D193" s="35">
        <v>9504.9500000000007</v>
      </c>
      <c r="E193" s="45">
        <f t="shared" si="11"/>
        <v>-1.024730154392639E-3</v>
      </c>
      <c r="F193">
        <v>2106600</v>
      </c>
      <c r="G193">
        <v>638.65</v>
      </c>
      <c r="H193" s="45">
        <f t="shared" si="9"/>
        <v>-8.6153368519094053E-3</v>
      </c>
      <c r="I193">
        <v>2400200</v>
      </c>
      <c r="J193" s="38" t="s">
        <v>226</v>
      </c>
      <c r="K193" s="45">
        <f t="shared" si="10"/>
        <v>-2.6961445133455442E-4</v>
      </c>
    </row>
    <row r="194" spans="1:11" x14ac:dyDescent="0.25">
      <c r="A194" s="8">
        <v>44658</v>
      </c>
      <c r="B194">
        <v>6139.62</v>
      </c>
      <c r="C194">
        <f t="shared" si="8"/>
        <v>-1.2574523981878638E-3</v>
      </c>
      <c r="D194" s="35">
        <v>9458.5499999999993</v>
      </c>
      <c r="E194" s="45">
        <f t="shared" si="11"/>
        <v>-4.8816669209202912E-3</v>
      </c>
      <c r="F194">
        <v>2159200</v>
      </c>
      <c r="G194">
        <v>628.25</v>
      </c>
      <c r="H194" s="45">
        <f t="shared" si="9"/>
        <v>-1.6284349800360087E-2</v>
      </c>
      <c r="I194">
        <v>2481100</v>
      </c>
      <c r="J194" s="38" t="s">
        <v>227</v>
      </c>
      <c r="K194" s="45">
        <f t="shared" si="10"/>
        <v>9.3716289104637251E-3</v>
      </c>
    </row>
    <row r="195" spans="1:11" x14ac:dyDescent="0.25">
      <c r="A195" s="8">
        <v>44659</v>
      </c>
      <c r="B195">
        <v>6142.78</v>
      </c>
      <c r="C195">
        <f t="shared" si="8"/>
        <v>5.1468983422431336E-4</v>
      </c>
      <c r="D195" s="35">
        <v>9375.65</v>
      </c>
      <c r="E195" s="45">
        <f t="shared" si="11"/>
        <v>-8.7645569352595709E-3</v>
      </c>
      <c r="F195">
        <v>2943300</v>
      </c>
      <c r="G195">
        <v>626.85</v>
      </c>
      <c r="H195" s="45">
        <f t="shared" si="9"/>
        <v>-2.2284122562673536E-3</v>
      </c>
      <c r="I195">
        <v>2818100</v>
      </c>
      <c r="J195" s="38" t="s">
        <v>228</v>
      </c>
      <c r="K195" s="45">
        <f t="shared" si="10"/>
        <v>7.6815176006945762E-3</v>
      </c>
    </row>
    <row r="196" spans="1:11" x14ac:dyDescent="0.25">
      <c r="A196" s="8">
        <v>44662</v>
      </c>
      <c r="B196">
        <v>6153.9</v>
      </c>
      <c r="C196">
        <f t="shared" ref="C196:C259" si="12">B196/B195-1</f>
        <v>1.8102552915779668E-3</v>
      </c>
      <c r="D196" s="35">
        <v>9464.2999999999993</v>
      </c>
      <c r="E196" s="45">
        <f t="shared" si="11"/>
        <v>9.4553444294529498E-3</v>
      </c>
      <c r="F196">
        <v>3046000</v>
      </c>
      <c r="G196">
        <v>622.95000000000005</v>
      </c>
      <c r="H196" s="45">
        <f t="shared" ref="H196:H259" si="13">G196/G195-1</f>
        <v>-6.221584111031353E-3</v>
      </c>
      <c r="I196">
        <v>2824200</v>
      </c>
      <c r="J196" s="38" t="s">
        <v>229</v>
      </c>
      <c r="K196" s="45">
        <f t="shared" ref="K196:K259" si="14">J196/J195-1</f>
        <v>7.0263820760971818E-3</v>
      </c>
    </row>
    <row r="197" spans="1:11" x14ac:dyDescent="0.25">
      <c r="A197" s="8">
        <v>44663</v>
      </c>
      <c r="B197">
        <v>6122.89</v>
      </c>
      <c r="C197">
        <f t="shared" si="12"/>
        <v>-5.0390809080419485E-3</v>
      </c>
      <c r="D197" s="35">
        <v>9446.85</v>
      </c>
      <c r="E197" s="45">
        <f t="shared" ref="E197:E260" si="15">D197/D196-1</f>
        <v>-1.8437708018552712E-3</v>
      </c>
      <c r="F197">
        <v>2775500</v>
      </c>
      <c r="G197">
        <v>625.4</v>
      </c>
      <c r="H197" s="45">
        <f t="shared" si="13"/>
        <v>3.9328999117103081E-3</v>
      </c>
      <c r="I197">
        <v>1824600</v>
      </c>
      <c r="J197" s="38" t="s">
        <v>230</v>
      </c>
      <c r="K197" s="45">
        <f t="shared" si="14"/>
        <v>5.59505002632954E-3</v>
      </c>
    </row>
    <row r="198" spans="1:11" x14ac:dyDescent="0.25">
      <c r="A198" s="8">
        <v>44664</v>
      </c>
      <c r="B198">
        <v>6166.17</v>
      </c>
      <c r="C198">
        <f t="shared" si="12"/>
        <v>7.0685574949083119E-3</v>
      </c>
      <c r="D198" s="35">
        <v>9351.7000000000007</v>
      </c>
      <c r="E198" s="45">
        <f t="shared" si="15"/>
        <v>-1.0072140448932676E-2</v>
      </c>
      <c r="F198">
        <v>1894200</v>
      </c>
      <c r="G198">
        <v>635.29999999999995</v>
      </c>
      <c r="H198" s="45">
        <f t="shared" si="13"/>
        <v>1.5829868883914244E-2</v>
      </c>
      <c r="I198">
        <v>2569100</v>
      </c>
      <c r="J198" s="38" t="s">
        <v>231</v>
      </c>
      <c r="K198" s="45">
        <f t="shared" si="14"/>
        <v>-2.0946520913792677E-3</v>
      </c>
    </row>
    <row r="199" spans="1:11" x14ac:dyDescent="0.25">
      <c r="A199" s="8">
        <v>44669</v>
      </c>
      <c r="B199">
        <v>6137.17</v>
      </c>
      <c r="C199">
        <f t="shared" si="12"/>
        <v>-4.7030814914281738E-3</v>
      </c>
      <c r="D199" s="35">
        <v>9332.25</v>
      </c>
      <c r="E199" s="45">
        <f t="shared" si="15"/>
        <v>-2.0798357517884947E-3</v>
      </c>
      <c r="F199">
        <v>2726600</v>
      </c>
      <c r="G199">
        <v>627.20000000000005</v>
      </c>
      <c r="H199" s="45">
        <f t="shared" si="13"/>
        <v>-1.2749881945537389E-2</v>
      </c>
      <c r="I199">
        <v>3515600</v>
      </c>
      <c r="J199" s="38" t="s">
        <v>232</v>
      </c>
      <c r="K199" s="45">
        <f t="shared" si="14"/>
        <v>-5.8379796654641769E-3</v>
      </c>
    </row>
    <row r="200" spans="1:11" x14ac:dyDescent="0.25">
      <c r="A200" s="8">
        <v>44670</v>
      </c>
      <c r="B200">
        <v>6108.65</v>
      </c>
      <c r="C200">
        <f t="shared" si="12"/>
        <v>-4.6470930412552125E-3</v>
      </c>
      <c r="D200" s="35">
        <v>9197.35</v>
      </c>
      <c r="E200" s="45">
        <f t="shared" si="15"/>
        <v>-1.4455249270004522E-2</v>
      </c>
      <c r="F200">
        <v>3233500</v>
      </c>
      <c r="G200">
        <v>625</v>
      </c>
      <c r="H200" s="45">
        <f t="shared" si="13"/>
        <v>-3.5076530612245804E-3</v>
      </c>
      <c r="I200">
        <v>2072900</v>
      </c>
      <c r="J200" s="38" t="s">
        <v>233</v>
      </c>
      <c r="K200" s="45">
        <f t="shared" si="14"/>
        <v>1.1216679862760648E-2</v>
      </c>
    </row>
    <row r="201" spans="1:11" x14ac:dyDescent="0.25">
      <c r="A201" s="8">
        <v>44671</v>
      </c>
      <c r="B201">
        <v>6176.85</v>
      </c>
      <c r="C201">
        <f t="shared" si="12"/>
        <v>1.1164496247125122E-2</v>
      </c>
      <c r="D201" s="35">
        <v>9073.6</v>
      </c>
      <c r="E201" s="45">
        <f t="shared" si="15"/>
        <v>-1.3454962570740525E-2</v>
      </c>
      <c r="F201">
        <v>2503600</v>
      </c>
      <c r="G201">
        <v>628.5</v>
      </c>
      <c r="H201" s="45">
        <f t="shared" si="13"/>
        <v>5.6000000000000494E-3</v>
      </c>
      <c r="I201">
        <v>3869500</v>
      </c>
      <c r="J201" s="38" t="s">
        <v>234</v>
      </c>
      <c r="K201" s="45">
        <f t="shared" si="14"/>
        <v>-1.4028448388359704E-2</v>
      </c>
    </row>
    <row r="202" spans="1:11" x14ac:dyDescent="0.25">
      <c r="A202" s="8">
        <v>44672</v>
      </c>
      <c r="B202">
        <v>6196.29</v>
      </c>
      <c r="C202">
        <f t="shared" si="12"/>
        <v>3.1472352412635907E-3</v>
      </c>
      <c r="D202" s="35">
        <v>9157.9500000000007</v>
      </c>
      <c r="E202" s="45">
        <f t="shared" si="15"/>
        <v>9.2961999647329652E-3</v>
      </c>
      <c r="F202">
        <v>2779200</v>
      </c>
      <c r="G202">
        <v>597.15</v>
      </c>
      <c r="H202" s="45">
        <f t="shared" si="13"/>
        <v>-4.9880668257756611E-2</v>
      </c>
      <c r="I202">
        <v>3640500</v>
      </c>
      <c r="J202" s="38" t="s">
        <v>235</v>
      </c>
      <c r="K202" s="45">
        <f t="shared" si="14"/>
        <v>9.0000661769573664E-3</v>
      </c>
    </row>
    <row r="203" spans="1:11" x14ac:dyDescent="0.25">
      <c r="A203" s="8">
        <v>44673</v>
      </c>
      <c r="B203">
        <v>6172.02</v>
      </c>
      <c r="C203">
        <f t="shared" si="12"/>
        <v>-3.9168599274727045E-3</v>
      </c>
      <c r="D203" s="35">
        <v>9285.85</v>
      </c>
      <c r="E203" s="45">
        <f t="shared" si="15"/>
        <v>1.3966007676390335E-2</v>
      </c>
      <c r="F203">
        <v>2609600</v>
      </c>
      <c r="G203">
        <v>597.20000000000005</v>
      </c>
      <c r="H203" s="45">
        <f t="shared" si="13"/>
        <v>8.3731055848801361E-5</v>
      </c>
      <c r="I203">
        <v>4389100</v>
      </c>
      <c r="J203" s="38" t="s">
        <v>236</v>
      </c>
      <c r="K203" s="45">
        <f t="shared" si="14"/>
        <v>-1.9282481799698381E-2</v>
      </c>
    </row>
    <row r="204" spans="1:11" x14ac:dyDescent="0.25">
      <c r="A204" s="8">
        <v>44676</v>
      </c>
      <c r="B204">
        <v>6207.05</v>
      </c>
      <c r="C204">
        <f t="shared" si="12"/>
        <v>5.6756134944475622E-3</v>
      </c>
      <c r="D204" s="35">
        <v>9179.5</v>
      </c>
      <c r="E204" s="45">
        <f t="shared" si="15"/>
        <v>-1.1452909534399147E-2</v>
      </c>
      <c r="F204">
        <v>2693000</v>
      </c>
      <c r="G204">
        <v>584.6</v>
      </c>
      <c r="H204" s="45">
        <f t="shared" si="13"/>
        <v>-2.1098459477561948E-2</v>
      </c>
      <c r="I204">
        <v>4715400</v>
      </c>
      <c r="J204" s="38" t="s">
        <v>237</v>
      </c>
      <c r="K204" s="45">
        <f t="shared" si="14"/>
        <v>6.0857353039525108E-3</v>
      </c>
    </row>
    <row r="205" spans="1:11" x14ac:dyDescent="0.25">
      <c r="A205" s="8">
        <v>44677</v>
      </c>
      <c r="B205">
        <v>6215.99</v>
      </c>
      <c r="C205">
        <f t="shared" si="12"/>
        <v>1.4402977259728722E-3</v>
      </c>
      <c r="D205" s="35">
        <v>9046.5</v>
      </c>
      <c r="E205" s="45">
        <f t="shared" si="15"/>
        <v>-1.4488806579879054E-2</v>
      </c>
      <c r="F205">
        <v>3327500</v>
      </c>
      <c r="G205">
        <v>579.9</v>
      </c>
      <c r="H205" s="45">
        <f t="shared" si="13"/>
        <v>-8.0396852548751951E-3</v>
      </c>
      <c r="I205">
        <v>3243200</v>
      </c>
      <c r="J205" s="38" t="s">
        <v>238</v>
      </c>
      <c r="K205" s="45">
        <f t="shared" si="14"/>
        <v>2.0606221749535081E-3</v>
      </c>
    </row>
    <row r="206" spans="1:11" x14ac:dyDescent="0.25">
      <c r="A206" s="8">
        <v>44678</v>
      </c>
      <c r="B206">
        <v>6291.03</v>
      </c>
      <c r="C206">
        <f t="shared" si="12"/>
        <v>1.207209149306876E-2</v>
      </c>
      <c r="D206" s="35">
        <v>9191.7999999999993</v>
      </c>
      <c r="E206" s="45">
        <f t="shared" si="15"/>
        <v>1.60614602332394E-2</v>
      </c>
      <c r="F206">
        <v>4287300</v>
      </c>
      <c r="G206">
        <v>584.35</v>
      </c>
      <c r="H206" s="45">
        <f t="shared" si="13"/>
        <v>7.6737368511812232E-3</v>
      </c>
      <c r="I206">
        <v>3891500</v>
      </c>
      <c r="J206" s="38" t="s">
        <v>239</v>
      </c>
      <c r="K206" s="45">
        <f t="shared" si="14"/>
        <v>-2.2620232172470889E-2</v>
      </c>
    </row>
    <row r="207" spans="1:11" x14ac:dyDescent="0.25">
      <c r="A207" s="8">
        <v>44679</v>
      </c>
      <c r="B207">
        <v>6286.07</v>
      </c>
      <c r="C207">
        <f t="shared" si="12"/>
        <v>-7.8842415311963787E-4</v>
      </c>
      <c r="D207" s="35">
        <v>9100.0499999999993</v>
      </c>
      <c r="E207" s="45">
        <f t="shared" si="15"/>
        <v>-9.9817228399224911E-3</v>
      </c>
      <c r="F207">
        <v>3861000</v>
      </c>
      <c r="G207">
        <v>581.25</v>
      </c>
      <c r="H207" s="45">
        <f t="shared" si="13"/>
        <v>-5.3050397877983935E-3</v>
      </c>
      <c r="I207">
        <v>6526700</v>
      </c>
      <c r="J207" s="38" t="s">
        <v>240</v>
      </c>
      <c r="K207" s="45">
        <f t="shared" si="14"/>
        <v>1.4184878512284449E-2</v>
      </c>
    </row>
    <row r="208" spans="1:11" x14ac:dyDescent="0.25">
      <c r="A208" s="8">
        <v>44680</v>
      </c>
      <c r="B208">
        <v>6315.86</v>
      </c>
      <c r="C208">
        <f t="shared" si="12"/>
        <v>4.7390499946706743E-3</v>
      </c>
      <c r="D208" s="35">
        <v>9205.35</v>
      </c>
      <c r="E208" s="45">
        <f t="shared" si="15"/>
        <v>1.1571364992500222E-2</v>
      </c>
      <c r="F208">
        <v>1933100</v>
      </c>
      <c r="G208">
        <v>560.70000000000005</v>
      </c>
      <c r="H208" s="45">
        <f t="shared" si="13"/>
        <v>-3.5354838709677372E-2</v>
      </c>
      <c r="I208">
        <v>2392000</v>
      </c>
      <c r="J208" s="38" t="s">
        <v>241</v>
      </c>
      <c r="K208" s="45">
        <f t="shared" si="14"/>
        <v>-5.152914408084075E-3</v>
      </c>
    </row>
    <row r="209" spans="1:11" x14ac:dyDescent="0.25">
      <c r="A209" s="8">
        <v>44683</v>
      </c>
      <c r="B209">
        <v>6327.58</v>
      </c>
      <c r="C209">
        <f t="shared" si="12"/>
        <v>1.8556459452869767E-3</v>
      </c>
      <c r="D209" s="35">
        <v>9123.4</v>
      </c>
      <c r="E209" s="45">
        <f t="shared" si="15"/>
        <v>-8.902431738065486E-3</v>
      </c>
      <c r="F209">
        <v>1948700</v>
      </c>
      <c r="G209">
        <v>540.15</v>
      </c>
      <c r="H209" s="45">
        <f t="shared" si="13"/>
        <v>-3.6650615302300849E-2</v>
      </c>
      <c r="I209">
        <v>2695500</v>
      </c>
      <c r="J209" s="38" t="s">
        <v>242</v>
      </c>
      <c r="K209" s="45">
        <f t="shared" si="14"/>
        <v>-3.0943091618457208E-3</v>
      </c>
    </row>
    <row r="210" spans="1:11" x14ac:dyDescent="0.25">
      <c r="A210" s="8">
        <v>44685</v>
      </c>
      <c r="B210">
        <v>6332.45</v>
      </c>
      <c r="C210">
        <f t="shared" si="12"/>
        <v>7.6964653153344109E-4</v>
      </c>
      <c r="D210" s="35">
        <v>9098.9500000000007</v>
      </c>
      <c r="E210" s="45">
        <f t="shared" si="15"/>
        <v>-2.6799219589187517E-3</v>
      </c>
      <c r="F210">
        <v>598500</v>
      </c>
      <c r="G210">
        <v>520.29999999999995</v>
      </c>
      <c r="H210" s="45">
        <f t="shared" si="13"/>
        <v>-3.6749051189484461E-2</v>
      </c>
      <c r="I210">
        <v>998600</v>
      </c>
      <c r="J210" s="38" t="s">
        <v>243</v>
      </c>
      <c r="K210" s="45">
        <f t="shared" si="14"/>
        <v>-2.2604588394062097E-2</v>
      </c>
    </row>
    <row r="211" spans="1:11" x14ac:dyDescent="0.25">
      <c r="A211" s="8">
        <v>44686</v>
      </c>
      <c r="B211">
        <v>6342.3</v>
      </c>
      <c r="C211">
        <f t="shared" si="12"/>
        <v>1.5554801064359136E-3</v>
      </c>
      <c r="D211" s="35">
        <v>8885.25</v>
      </c>
      <c r="E211" s="45">
        <f t="shared" si="15"/>
        <v>-2.3486226432720358E-2</v>
      </c>
      <c r="F211">
        <v>495100</v>
      </c>
      <c r="G211">
        <v>529.5</v>
      </c>
      <c r="H211" s="45">
        <f t="shared" si="13"/>
        <v>1.76821064770325E-2</v>
      </c>
      <c r="I211">
        <v>515200</v>
      </c>
      <c r="J211" s="38" t="s">
        <v>244</v>
      </c>
      <c r="K211" s="45">
        <f t="shared" si="14"/>
        <v>6.2823610631688176E-3</v>
      </c>
    </row>
    <row r="212" spans="1:11" x14ac:dyDescent="0.25">
      <c r="A212" s="8">
        <v>44687</v>
      </c>
      <c r="B212">
        <v>6413.18</v>
      </c>
      <c r="C212">
        <f t="shared" si="12"/>
        <v>1.1175756429055772E-2</v>
      </c>
      <c r="D212" s="35">
        <v>8892.15</v>
      </c>
      <c r="E212" s="45">
        <f t="shared" si="15"/>
        <v>7.7656790748714677E-4</v>
      </c>
      <c r="F212">
        <v>1896300</v>
      </c>
      <c r="G212">
        <v>509.9</v>
      </c>
      <c r="H212" s="45">
        <f t="shared" si="13"/>
        <v>-3.7016052880075589E-2</v>
      </c>
      <c r="I212">
        <v>2417200</v>
      </c>
      <c r="J212" s="38" t="s">
        <v>245</v>
      </c>
      <c r="K212" s="45">
        <f t="shared" si="14"/>
        <v>-1.3103732162458748E-2</v>
      </c>
    </row>
    <row r="213" spans="1:11" x14ac:dyDescent="0.25">
      <c r="A213" s="8">
        <v>44690</v>
      </c>
      <c r="B213">
        <v>6424.45</v>
      </c>
      <c r="C213">
        <f t="shared" si="12"/>
        <v>1.7573185221684273E-3</v>
      </c>
      <c r="D213" s="35">
        <v>8740.9500000000007</v>
      </c>
      <c r="E213" s="45">
        <f t="shared" si="15"/>
        <v>-1.7003761744909696E-2</v>
      </c>
      <c r="F213">
        <v>1499200</v>
      </c>
      <c r="G213">
        <v>502.2</v>
      </c>
      <c r="H213" s="45">
        <f t="shared" si="13"/>
        <v>-1.5101000196116821E-2</v>
      </c>
      <c r="I213">
        <v>2230700</v>
      </c>
      <c r="J213" s="38" t="s">
        <v>219</v>
      </c>
      <c r="K213" s="45">
        <f t="shared" si="14"/>
        <v>-1.2374000695168585E-2</v>
      </c>
    </row>
    <row r="214" spans="1:11" x14ac:dyDescent="0.25">
      <c r="A214" s="8">
        <v>44691</v>
      </c>
      <c r="B214">
        <v>6440.3</v>
      </c>
      <c r="C214">
        <f t="shared" si="12"/>
        <v>2.4671372646685175E-3</v>
      </c>
      <c r="D214" s="35">
        <v>8652.9500000000007</v>
      </c>
      <c r="E214" s="45">
        <f t="shared" si="15"/>
        <v>-1.0067555586063315E-2</v>
      </c>
      <c r="F214">
        <v>1687500</v>
      </c>
      <c r="G214">
        <v>485.5</v>
      </c>
      <c r="H214" s="45">
        <f t="shared" si="13"/>
        <v>-3.3253683791318212E-2</v>
      </c>
      <c r="I214">
        <v>2236900</v>
      </c>
      <c r="J214" s="38" t="s">
        <v>246</v>
      </c>
      <c r="K214" s="45">
        <f t="shared" si="14"/>
        <v>1.3373689026534574E-3</v>
      </c>
    </row>
    <row r="215" spans="1:11" x14ac:dyDescent="0.25">
      <c r="A215" s="8">
        <v>44692</v>
      </c>
      <c r="B215">
        <v>6451.26</v>
      </c>
      <c r="C215">
        <f t="shared" si="12"/>
        <v>1.7017840783815075E-3</v>
      </c>
      <c r="D215" s="35">
        <v>8578.7999999999993</v>
      </c>
      <c r="E215" s="45">
        <f t="shared" si="15"/>
        <v>-8.5693318463646584E-3</v>
      </c>
      <c r="F215">
        <v>2458600</v>
      </c>
      <c r="G215">
        <v>479.15</v>
      </c>
      <c r="H215" s="45">
        <f t="shared" si="13"/>
        <v>-1.3079299691040158E-2</v>
      </c>
      <c r="I215">
        <v>2773700</v>
      </c>
      <c r="J215" s="38" t="s">
        <v>247</v>
      </c>
      <c r="K215" s="45">
        <f t="shared" si="14"/>
        <v>4.0770420357094661E-3</v>
      </c>
    </row>
    <row r="216" spans="1:11" x14ac:dyDescent="0.25">
      <c r="A216" s="8">
        <v>44693</v>
      </c>
      <c r="B216">
        <v>6534.58</v>
      </c>
      <c r="C216">
        <f t="shared" si="12"/>
        <v>1.2915306467263798E-2</v>
      </c>
      <c r="D216" s="35">
        <v>8544.7000000000007</v>
      </c>
      <c r="E216" s="45">
        <f t="shared" si="15"/>
        <v>-3.9749149065135825E-3</v>
      </c>
      <c r="F216">
        <v>2593700</v>
      </c>
      <c r="G216">
        <v>473.3</v>
      </c>
      <c r="H216" s="45">
        <f t="shared" si="13"/>
        <v>-1.2209120317228317E-2</v>
      </c>
      <c r="I216">
        <v>3361800</v>
      </c>
      <c r="J216" s="38" t="s">
        <v>248</v>
      </c>
      <c r="K216" s="45">
        <f t="shared" si="14"/>
        <v>-2.5763091570988661E-2</v>
      </c>
    </row>
    <row r="217" spans="1:11" x14ac:dyDescent="0.25">
      <c r="A217" s="8">
        <v>44694</v>
      </c>
      <c r="B217">
        <v>6541.15</v>
      </c>
      <c r="C217">
        <f t="shared" si="12"/>
        <v>1.005420394271761E-3</v>
      </c>
      <c r="D217" s="35">
        <v>8348.4</v>
      </c>
      <c r="E217" s="45">
        <f t="shared" si="15"/>
        <v>-2.2973305089704854E-2</v>
      </c>
      <c r="F217">
        <v>2032200</v>
      </c>
      <c r="G217">
        <v>476.45</v>
      </c>
      <c r="H217" s="45">
        <f t="shared" si="13"/>
        <v>6.6553982674835144E-3</v>
      </c>
      <c r="I217">
        <v>2780500</v>
      </c>
      <c r="J217" s="38" t="s">
        <v>249</v>
      </c>
      <c r="K217" s="45">
        <f t="shared" si="14"/>
        <v>-2.65162402989364E-2</v>
      </c>
    </row>
    <row r="218" spans="1:11" x14ac:dyDescent="0.25">
      <c r="A218" s="8">
        <v>44697</v>
      </c>
      <c r="B218">
        <v>6525.3</v>
      </c>
      <c r="C218">
        <f t="shared" si="12"/>
        <v>-2.4231213165879506E-3</v>
      </c>
      <c r="D218" s="35">
        <v>8343.1</v>
      </c>
      <c r="E218" s="45">
        <f t="shared" si="15"/>
        <v>-6.3485218724534942E-4</v>
      </c>
      <c r="F218">
        <v>2651900</v>
      </c>
      <c r="G218">
        <v>487.2</v>
      </c>
      <c r="H218" s="45">
        <f t="shared" si="13"/>
        <v>2.2562703326686862E-2</v>
      </c>
      <c r="I218">
        <v>3530600</v>
      </c>
      <c r="J218" s="38" t="s">
        <v>250</v>
      </c>
      <c r="K218" s="45">
        <f t="shared" si="14"/>
        <v>8.3413301838044518E-3</v>
      </c>
    </row>
    <row r="219" spans="1:11" x14ac:dyDescent="0.25">
      <c r="A219" s="8">
        <v>44698</v>
      </c>
      <c r="B219">
        <v>6569.32</v>
      </c>
      <c r="C219">
        <f t="shared" si="12"/>
        <v>6.7460499900386939E-3</v>
      </c>
      <c r="D219" s="35">
        <v>8399.0499999999993</v>
      </c>
      <c r="E219" s="45">
        <f t="shared" si="15"/>
        <v>6.7061404034469696E-3</v>
      </c>
      <c r="F219">
        <v>2358200</v>
      </c>
      <c r="G219">
        <v>497.75</v>
      </c>
      <c r="H219" s="45">
        <f t="shared" si="13"/>
        <v>2.1654351395730798E-2</v>
      </c>
      <c r="I219">
        <v>4724200</v>
      </c>
      <c r="J219" s="38" t="s">
        <v>96</v>
      </c>
      <c r="K219" s="45">
        <f t="shared" si="14"/>
        <v>3.9531478770131745E-2</v>
      </c>
    </row>
    <row r="220" spans="1:11" x14ac:dyDescent="0.25">
      <c r="A220" s="8">
        <v>44699</v>
      </c>
      <c r="B220">
        <v>6526.17</v>
      </c>
      <c r="C220">
        <f t="shared" si="12"/>
        <v>-6.5684119513129691E-3</v>
      </c>
      <c r="D220" s="35">
        <v>8619.5499999999993</v>
      </c>
      <c r="E220" s="45">
        <f t="shared" si="15"/>
        <v>2.6252969085789557E-2</v>
      </c>
      <c r="F220">
        <v>2199200</v>
      </c>
      <c r="G220">
        <v>489.7</v>
      </c>
      <c r="H220" s="45">
        <f t="shared" si="13"/>
        <v>-1.6172777498744351E-2</v>
      </c>
      <c r="I220">
        <v>4671900</v>
      </c>
      <c r="J220" s="38" t="s">
        <v>251</v>
      </c>
      <c r="K220" s="45">
        <f t="shared" si="14"/>
        <v>-3.7323943661971004E-3</v>
      </c>
    </row>
    <row r="221" spans="1:11" x14ac:dyDescent="0.25">
      <c r="A221" s="8">
        <v>44700</v>
      </c>
      <c r="B221">
        <v>6543.68</v>
      </c>
      <c r="C221">
        <f t="shared" si="12"/>
        <v>2.6830438067044771E-3</v>
      </c>
      <c r="D221" s="35">
        <v>8611.25</v>
      </c>
      <c r="E221" s="45">
        <f t="shared" si="15"/>
        <v>-9.62927298988836E-4</v>
      </c>
      <c r="F221">
        <v>2642900</v>
      </c>
      <c r="G221">
        <v>474.55</v>
      </c>
      <c r="H221" s="45">
        <f t="shared" si="13"/>
        <v>-3.0937308556258869E-2</v>
      </c>
      <c r="I221">
        <v>4117000</v>
      </c>
      <c r="J221" s="38" t="s">
        <v>252</v>
      </c>
      <c r="K221" s="45">
        <f t="shared" si="14"/>
        <v>-2.4104050328691673E-2</v>
      </c>
    </row>
    <row r="222" spans="1:11" x14ac:dyDescent="0.25">
      <c r="A222" s="8">
        <v>44701</v>
      </c>
      <c r="B222">
        <v>6509.45</v>
      </c>
      <c r="C222">
        <f t="shared" si="12"/>
        <v>-5.2310015159666712E-3</v>
      </c>
      <c r="D222" s="35">
        <v>8378.35</v>
      </c>
      <c r="E222" s="45">
        <f t="shared" si="15"/>
        <v>-2.7046015386848588E-2</v>
      </c>
      <c r="F222">
        <v>2568100</v>
      </c>
      <c r="G222">
        <v>473.35</v>
      </c>
      <c r="H222" s="45">
        <f t="shared" si="13"/>
        <v>-2.528711410810236E-3</v>
      </c>
      <c r="I222">
        <v>3326800</v>
      </c>
      <c r="J222" s="38" t="s">
        <v>147</v>
      </c>
      <c r="K222" s="45">
        <f t="shared" si="14"/>
        <v>2.7886426191511049E-2</v>
      </c>
    </row>
    <row r="223" spans="1:11" x14ac:dyDescent="0.25">
      <c r="A223" s="8">
        <v>44704</v>
      </c>
      <c r="B223">
        <v>6559.81</v>
      </c>
      <c r="C223">
        <f t="shared" si="12"/>
        <v>7.7364447073102749E-3</v>
      </c>
      <c r="D223" s="35">
        <v>8597.1</v>
      </c>
      <c r="E223" s="45">
        <f t="shared" si="15"/>
        <v>2.6108959401314191E-2</v>
      </c>
      <c r="F223">
        <v>2638500</v>
      </c>
      <c r="G223">
        <v>464.25</v>
      </c>
      <c r="H223" s="45">
        <f t="shared" si="13"/>
        <v>-1.922467518749349E-2</v>
      </c>
      <c r="I223">
        <v>3052100</v>
      </c>
      <c r="J223" s="38" t="s">
        <v>253</v>
      </c>
      <c r="K223" s="45">
        <f t="shared" si="14"/>
        <v>2.1140159255865765E-3</v>
      </c>
    </row>
    <row r="224" spans="1:11" x14ac:dyDescent="0.25">
      <c r="A224" s="8">
        <v>44705</v>
      </c>
      <c r="B224">
        <v>6550.04</v>
      </c>
      <c r="C224">
        <f t="shared" si="12"/>
        <v>-1.4893724056033175E-3</v>
      </c>
      <c r="D224" s="35">
        <v>8562.85</v>
      </c>
      <c r="E224" s="45">
        <f t="shared" si="15"/>
        <v>-3.9839015481965001E-3</v>
      </c>
      <c r="F224">
        <v>2205000</v>
      </c>
      <c r="G224">
        <v>440.75</v>
      </c>
      <c r="H224" s="45">
        <f t="shared" si="13"/>
        <v>-5.0619278406031198E-2</v>
      </c>
      <c r="I224">
        <v>2950300</v>
      </c>
      <c r="J224" s="38" t="s">
        <v>254</v>
      </c>
      <c r="K224" s="45">
        <f t="shared" si="14"/>
        <v>-4.0784754939877654E-3</v>
      </c>
    </row>
    <row r="225" spans="1:11" x14ac:dyDescent="0.25">
      <c r="A225" s="8">
        <v>44706</v>
      </c>
      <c r="B225">
        <v>6567.68</v>
      </c>
      <c r="C225">
        <f t="shared" si="12"/>
        <v>2.6931133244987304E-3</v>
      </c>
      <c r="D225" s="35">
        <v>8511.35</v>
      </c>
      <c r="E225" s="45">
        <f t="shared" si="15"/>
        <v>-6.0143526979918871E-3</v>
      </c>
      <c r="F225">
        <v>2491100</v>
      </c>
      <c r="G225">
        <v>428.4</v>
      </c>
      <c r="H225" s="45">
        <f t="shared" si="13"/>
        <v>-2.8020419739081204E-2</v>
      </c>
      <c r="I225">
        <v>4135300</v>
      </c>
      <c r="J225" s="38" t="s">
        <v>255</v>
      </c>
      <c r="K225" s="45">
        <f t="shared" si="14"/>
        <v>7.3430770317024496E-3</v>
      </c>
    </row>
    <row r="226" spans="1:11" x14ac:dyDescent="0.25">
      <c r="A226" s="8">
        <v>44707</v>
      </c>
      <c r="B226">
        <v>6599.48</v>
      </c>
      <c r="C226">
        <f t="shared" si="12"/>
        <v>4.8418924186317547E-3</v>
      </c>
      <c r="D226" s="35">
        <v>8426.5499999999993</v>
      </c>
      <c r="E226" s="45">
        <f t="shared" si="15"/>
        <v>-9.9631668301739529E-3</v>
      </c>
      <c r="F226">
        <v>1974900</v>
      </c>
      <c r="G226">
        <v>419.85</v>
      </c>
      <c r="H226" s="45">
        <f t="shared" si="13"/>
        <v>-1.995798319327724E-2</v>
      </c>
      <c r="I226">
        <v>3367700</v>
      </c>
      <c r="J226" s="38" t="s">
        <v>256</v>
      </c>
      <c r="K226" s="45">
        <f t="shared" si="14"/>
        <v>2.1237821546225444E-2</v>
      </c>
    </row>
    <row r="227" spans="1:11" x14ac:dyDescent="0.25">
      <c r="A227" s="8">
        <v>44708</v>
      </c>
      <c r="B227">
        <v>6658.32</v>
      </c>
      <c r="C227">
        <f t="shared" si="12"/>
        <v>8.9158539763738442E-3</v>
      </c>
      <c r="D227" s="35">
        <v>8511.5</v>
      </c>
      <c r="E227" s="45">
        <f t="shared" si="15"/>
        <v>1.0081231346162012E-2</v>
      </c>
      <c r="F227">
        <v>2032200</v>
      </c>
      <c r="G227">
        <v>427</v>
      </c>
      <c r="H227" s="45">
        <f t="shared" si="13"/>
        <v>1.7029891627962312E-2</v>
      </c>
      <c r="I227">
        <v>3591200</v>
      </c>
      <c r="J227" s="38" t="s">
        <v>257</v>
      </c>
      <c r="K227" s="45">
        <f t="shared" si="14"/>
        <v>1.5511324639670532E-2</v>
      </c>
    </row>
    <row r="228" spans="1:11" x14ac:dyDescent="0.25">
      <c r="A228" s="8">
        <v>44711</v>
      </c>
      <c r="B228">
        <v>6657.09</v>
      </c>
      <c r="C228">
        <f t="shared" si="12"/>
        <v>-1.8473128356699675E-4</v>
      </c>
      <c r="D228" s="35">
        <v>8606.15</v>
      </c>
      <c r="E228" s="45">
        <f t="shared" si="15"/>
        <v>1.1120249074781041E-2</v>
      </c>
      <c r="F228">
        <v>2424500</v>
      </c>
      <c r="G228">
        <v>446.3</v>
      </c>
      <c r="H228" s="45">
        <f t="shared" si="13"/>
        <v>4.5199063231850189E-2</v>
      </c>
      <c r="I228">
        <v>2649500</v>
      </c>
      <c r="J228" s="38" t="s">
        <v>258</v>
      </c>
      <c r="K228" s="45">
        <f t="shared" si="14"/>
        <v>1.1759935117599429E-2</v>
      </c>
    </row>
    <row r="229" spans="1:11" x14ac:dyDescent="0.25">
      <c r="A229" s="8">
        <v>44712</v>
      </c>
      <c r="B229">
        <v>6626.82</v>
      </c>
      <c r="C229">
        <f t="shared" si="12"/>
        <v>-4.5470318111968666E-3</v>
      </c>
      <c r="D229" s="35">
        <v>8779.1</v>
      </c>
      <c r="E229" s="45">
        <f t="shared" si="15"/>
        <v>2.0096094072262316E-2</v>
      </c>
      <c r="F229">
        <v>2295600</v>
      </c>
      <c r="G229">
        <v>447</v>
      </c>
      <c r="H229" s="45">
        <f t="shared" si="13"/>
        <v>1.5684517140936993E-3</v>
      </c>
      <c r="I229">
        <v>3107900</v>
      </c>
      <c r="J229" s="38" t="s">
        <v>259</v>
      </c>
      <c r="K229" s="45">
        <f t="shared" si="14"/>
        <v>5.8116232464930917E-3</v>
      </c>
    </row>
    <row r="230" spans="1:11" x14ac:dyDescent="0.25">
      <c r="A230" s="8">
        <v>44713</v>
      </c>
      <c r="B230">
        <v>6672.04</v>
      </c>
      <c r="C230">
        <f t="shared" si="12"/>
        <v>6.8237857675326197E-3</v>
      </c>
      <c r="D230" s="35">
        <v>8745.65</v>
      </c>
      <c r="E230" s="45">
        <f t="shared" si="15"/>
        <v>-3.8101855543279939E-3</v>
      </c>
      <c r="F230">
        <v>4643700</v>
      </c>
      <c r="G230">
        <v>440.7</v>
      </c>
      <c r="H230" s="45">
        <f t="shared" si="13"/>
        <v>-1.4093959731543704E-2</v>
      </c>
      <c r="I230">
        <v>2951500</v>
      </c>
      <c r="J230" s="38" t="s">
        <v>260</v>
      </c>
      <c r="K230" s="45">
        <f t="shared" si="14"/>
        <v>-2.6565716942295037E-4</v>
      </c>
    </row>
    <row r="231" spans="1:11" x14ac:dyDescent="0.25">
      <c r="A231" s="8">
        <v>44714</v>
      </c>
      <c r="B231">
        <v>6639.78</v>
      </c>
      <c r="C231">
        <f t="shared" si="12"/>
        <v>-4.8351029070569096E-3</v>
      </c>
      <c r="D231" s="35">
        <v>8710.7000000000007</v>
      </c>
      <c r="E231" s="45">
        <f t="shared" si="15"/>
        <v>-3.9962724325806054E-3</v>
      </c>
      <c r="F231">
        <v>3582500</v>
      </c>
      <c r="G231">
        <v>444.45</v>
      </c>
      <c r="H231" s="45">
        <f t="shared" si="13"/>
        <v>8.509189925119065E-3</v>
      </c>
      <c r="I231">
        <v>2722500</v>
      </c>
      <c r="J231" s="38" t="s">
        <v>261</v>
      </c>
      <c r="K231" s="45">
        <f t="shared" si="14"/>
        <v>-3.8530525476648814E-3</v>
      </c>
    </row>
    <row r="232" spans="1:11" x14ac:dyDescent="0.25">
      <c r="A232" s="8">
        <v>44715</v>
      </c>
      <c r="B232" s="3">
        <v>6555.97</v>
      </c>
      <c r="C232" s="3">
        <f t="shared" si="12"/>
        <v>-1.262240616405963E-2</v>
      </c>
      <c r="D232" s="35">
        <v>8766.4500000000007</v>
      </c>
      <c r="E232" s="45">
        <f t="shared" si="15"/>
        <v>6.4001744980310971E-3</v>
      </c>
      <c r="F232">
        <v>3718700</v>
      </c>
      <c r="G232">
        <v>460.5</v>
      </c>
      <c r="H232" s="45">
        <f t="shared" si="13"/>
        <v>3.6112048599392432E-2</v>
      </c>
      <c r="I232">
        <v>3496900</v>
      </c>
      <c r="J232" s="38" t="s">
        <v>262</v>
      </c>
      <c r="K232" s="45">
        <f t="shared" si="14"/>
        <v>-7.2690896965655893E-3</v>
      </c>
    </row>
    <row r="233" spans="1:11" x14ac:dyDescent="0.25">
      <c r="A233" s="8">
        <v>44718</v>
      </c>
      <c r="B233">
        <v>6555.71</v>
      </c>
      <c r="C233">
        <f t="shared" si="12"/>
        <v>-3.9658509724760371E-5</v>
      </c>
      <c r="D233" s="35">
        <v>8713.7999999999993</v>
      </c>
      <c r="E233" s="45">
        <f t="shared" si="15"/>
        <v>-6.0058518556543872E-3</v>
      </c>
      <c r="F233">
        <v>6472000</v>
      </c>
      <c r="G233">
        <v>456.25</v>
      </c>
      <c r="H233" s="45">
        <f t="shared" si="13"/>
        <v>-9.229098805646041E-3</v>
      </c>
      <c r="I233">
        <v>5602100</v>
      </c>
      <c r="J233" s="38" t="s">
        <v>263</v>
      </c>
      <c r="K233" s="45">
        <f t="shared" si="14"/>
        <v>3.2916834609701962E-3</v>
      </c>
    </row>
    <row r="234" spans="1:11" x14ac:dyDescent="0.25">
      <c r="A234" s="8">
        <v>44719</v>
      </c>
      <c r="B234">
        <v>6551.63</v>
      </c>
      <c r="C234">
        <f t="shared" si="12"/>
        <v>-6.2235821901823751E-4</v>
      </c>
      <c r="D234" s="35">
        <v>8703.35</v>
      </c>
      <c r="E234" s="45">
        <f t="shared" si="15"/>
        <v>-1.1992471711537167E-3</v>
      </c>
      <c r="F234">
        <v>2808600</v>
      </c>
      <c r="G234">
        <v>455.1</v>
      </c>
      <c r="H234" s="45">
        <f t="shared" si="13"/>
        <v>-2.520547945205398E-3</v>
      </c>
      <c r="I234">
        <v>4233000</v>
      </c>
      <c r="J234" s="38" t="s">
        <v>264</v>
      </c>
      <c r="K234" s="45">
        <f t="shared" si="14"/>
        <v>-1.5400066956812841E-2</v>
      </c>
    </row>
    <row r="235" spans="1:11" x14ac:dyDescent="0.25">
      <c r="A235" s="8">
        <v>44720</v>
      </c>
      <c r="B235">
        <v>6568.7</v>
      </c>
      <c r="C235">
        <f t="shared" si="12"/>
        <v>2.6054584889561028E-3</v>
      </c>
      <c r="D235" s="35">
        <v>8627.6</v>
      </c>
      <c r="E235" s="45">
        <f t="shared" si="15"/>
        <v>-8.7035451866235292E-3</v>
      </c>
      <c r="F235">
        <v>3864300</v>
      </c>
      <c r="G235">
        <v>462.65</v>
      </c>
      <c r="H235" s="45">
        <f t="shared" si="13"/>
        <v>1.6589760492199401E-2</v>
      </c>
      <c r="I235">
        <v>3719200</v>
      </c>
      <c r="J235" s="38" t="s">
        <v>265</v>
      </c>
      <c r="K235" s="45">
        <f t="shared" si="14"/>
        <v>-7.8204692281537147E-3</v>
      </c>
    </row>
    <row r="236" spans="1:11" x14ac:dyDescent="0.25">
      <c r="A236" s="8">
        <v>44721</v>
      </c>
      <c r="B236">
        <v>6574.82</v>
      </c>
      <c r="C236">
        <f t="shared" si="12"/>
        <v>9.3169120221658908E-4</v>
      </c>
      <c r="D236" s="35">
        <v>8595.6</v>
      </c>
      <c r="E236" s="45">
        <f t="shared" si="15"/>
        <v>-3.7090268440818086E-3</v>
      </c>
      <c r="F236">
        <v>2984100</v>
      </c>
      <c r="G236">
        <v>462.9</v>
      </c>
      <c r="H236" s="45">
        <f t="shared" si="13"/>
        <v>5.403652869340192E-4</v>
      </c>
      <c r="I236">
        <v>3278600</v>
      </c>
      <c r="J236" s="38" t="s">
        <v>266</v>
      </c>
      <c r="K236" s="45">
        <f t="shared" si="14"/>
        <v>4.4551062371487316E-3</v>
      </c>
    </row>
    <row r="237" spans="1:11" x14ac:dyDescent="0.25">
      <c r="A237" s="8">
        <v>44722</v>
      </c>
      <c r="B237">
        <v>6526.1</v>
      </c>
      <c r="C237">
        <f t="shared" si="12"/>
        <v>-7.4100887933052917E-3</v>
      </c>
      <c r="D237" s="35">
        <v>8657.2999999999993</v>
      </c>
      <c r="E237" s="45">
        <f t="shared" si="15"/>
        <v>7.1780911163850103E-3</v>
      </c>
      <c r="F237">
        <v>2472800</v>
      </c>
      <c r="G237">
        <v>459.5</v>
      </c>
      <c r="H237" s="45">
        <f t="shared" si="13"/>
        <v>-7.3449989198530741E-3</v>
      </c>
      <c r="I237">
        <v>4324800</v>
      </c>
      <c r="J237" s="38" t="s">
        <v>267</v>
      </c>
      <c r="K237" s="45">
        <f t="shared" si="14"/>
        <v>-1.7400204708290734E-2</v>
      </c>
    </row>
    <row r="238" spans="1:11" x14ac:dyDescent="0.25">
      <c r="A238" s="8">
        <v>44725</v>
      </c>
      <c r="B238">
        <v>6544.28</v>
      </c>
      <c r="C238">
        <f t="shared" si="12"/>
        <v>2.7857372703450345E-3</v>
      </c>
      <c r="D238" s="35">
        <v>8529.1</v>
      </c>
      <c r="E238" s="45">
        <f t="shared" si="15"/>
        <v>-1.4808312060342055E-2</v>
      </c>
      <c r="F238">
        <v>2851600</v>
      </c>
      <c r="G238">
        <v>441.7</v>
      </c>
      <c r="H238" s="45">
        <f t="shared" si="13"/>
        <v>-3.8737758433079472E-2</v>
      </c>
      <c r="I238">
        <v>3401200</v>
      </c>
      <c r="J238" s="38" t="s">
        <v>268</v>
      </c>
      <c r="K238" s="45">
        <f t="shared" si="14"/>
        <v>-4.4444444444444398E-2</v>
      </c>
    </row>
    <row r="239" spans="1:11" x14ac:dyDescent="0.25">
      <c r="A239" s="8">
        <v>44726</v>
      </c>
      <c r="B239">
        <v>6632.67</v>
      </c>
      <c r="C239">
        <f t="shared" si="12"/>
        <v>1.3506451435452149E-2</v>
      </c>
      <c r="D239" s="35">
        <v>8307.4500000000007</v>
      </c>
      <c r="E239" s="45">
        <f t="shared" si="15"/>
        <v>-2.5987501612127817E-2</v>
      </c>
      <c r="F239">
        <v>1560500</v>
      </c>
      <c r="G239">
        <v>445.95</v>
      </c>
      <c r="H239" s="45">
        <f t="shared" si="13"/>
        <v>9.6219153271450697E-3</v>
      </c>
      <c r="I239">
        <v>3010100</v>
      </c>
      <c r="J239" s="38" t="s">
        <v>269</v>
      </c>
      <c r="K239" s="45">
        <f t="shared" si="14"/>
        <v>-3.6337209302325091E-3</v>
      </c>
    </row>
    <row r="240" spans="1:11" x14ac:dyDescent="0.25">
      <c r="A240" s="8">
        <v>44727</v>
      </c>
      <c r="B240">
        <v>6641.82</v>
      </c>
      <c r="C240">
        <f t="shared" si="12"/>
        <v>1.3795349384184696E-3</v>
      </c>
      <c r="D240" s="35">
        <v>8291.1</v>
      </c>
      <c r="E240" s="45">
        <f t="shared" si="15"/>
        <v>-1.9681129588502433E-3</v>
      </c>
      <c r="F240">
        <v>1925700</v>
      </c>
      <c r="G240">
        <v>454.8</v>
      </c>
      <c r="H240" s="45">
        <f t="shared" si="13"/>
        <v>1.9845274133871493E-2</v>
      </c>
      <c r="I240">
        <v>2926300</v>
      </c>
      <c r="J240" s="38" t="s">
        <v>270</v>
      </c>
      <c r="K240" s="45">
        <f t="shared" si="14"/>
        <v>2.5528811086799053E-3</v>
      </c>
    </row>
    <row r="241" spans="1:11" x14ac:dyDescent="0.25">
      <c r="A241" s="8">
        <v>44728</v>
      </c>
      <c r="B241">
        <v>6677.04</v>
      </c>
      <c r="C241">
        <f t="shared" si="12"/>
        <v>5.3027633991888923E-3</v>
      </c>
      <c r="D241" s="35">
        <v>8281.2000000000007</v>
      </c>
      <c r="E241" s="45">
        <f t="shared" si="15"/>
        <v>-1.1940514527625234E-3</v>
      </c>
      <c r="F241">
        <v>2116900</v>
      </c>
      <c r="G241">
        <v>437.7</v>
      </c>
      <c r="H241" s="45">
        <f t="shared" si="13"/>
        <v>-3.7598944591029082E-2</v>
      </c>
      <c r="I241">
        <v>2138100</v>
      </c>
      <c r="J241" s="38" t="s">
        <v>271</v>
      </c>
      <c r="K241" s="45">
        <f t="shared" si="14"/>
        <v>-1.2731902510003668E-2</v>
      </c>
    </row>
    <row r="242" spans="1:11" x14ac:dyDescent="0.25">
      <c r="A242" s="8">
        <v>44729</v>
      </c>
      <c r="B242">
        <v>6751.05</v>
      </c>
      <c r="C242">
        <f t="shared" si="12"/>
        <v>1.1084252902483716E-2</v>
      </c>
      <c r="D242" s="35">
        <v>8105.35</v>
      </c>
      <c r="E242" s="45">
        <f t="shared" si="15"/>
        <v>-2.1234845191518192E-2</v>
      </c>
      <c r="F242">
        <v>2329400</v>
      </c>
      <c r="G242">
        <v>440.05</v>
      </c>
      <c r="H242" s="45">
        <f t="shared" si="13"/>
        <v>5.3689741832305682E-3</v>
      </c>
      <c r="I242">
        <v>2609900</v>
      </c>
      <c r="J242" s="38" t="s">
        <v>272</v>
      </c>
      <c r="K242" s="45">
        <f t="shared" si="14"/>
        <v>1.2306558585114313E-2</v>
      </c>
    </row>
    <row r="243" spans="1:11" x14ac:dyDescent="0.25">
      <c r="A243" s="8">
        <v>44732</v>
      </c>
      <c r="B243">
        <v>6716.19</v>
      </c>
      <c r="C243">
        <f t="shared" si="12"/>
        <v>-5.1636412113672536E-3</v>
      </c>
      <c r="D243" s="35">
        <v>8048.7</v>
      </c>
      <c r="E243" s="45">
        <f t="shared" si="15"/>
        <v>-6.9892108298840183E-3</v>
      </c>
      <c r="F243">
        <v>1716600</v>
      </c>
      <c r="G243">
        <v>428.75</v>
      </c>
      <c r="H243" s="45">
        <f t="shared" si="13"/>
        <v>-2.5678900124985859E-2</v>
      </c>
      <c r="I243">
        <v>2112200</v>
      </c>
      <c r="J243" s="38" t="s">
        <v>273</v>
      </c>
      <c r="K243" s="45">
        <f t="shared" si="14"/>
        <v>-1.3103297663245028E-3</v>
      </c>
    </row>
    <row r="244" spans="1:11" x14ac:dyDescent="0.25">
      <c r="A244" s="8">
        <v>44733</v>
      </c>
      <c r="B244">
        <v>6691.4</v>
      </c>
      <c r="C244">
        <f t="shared" si="12"/>
        <v>-3.6910808062309286E-3</v>
      </c>
      <c r="D244" s="35">
        <v>8040.45</v>
      </c>
      <c r="E244" s="45">
        <f t="shared" si="15"/>
        <v>-1.0250102501024871E-3</v>
      </c>
      <c r="F244">
        <v>1410400</v>
      </c>
      <c r="G244">
        <v>437.1</v>
      </c>
      <c r="H244" s="45">
        <f t="shared" si="13"/>
        <v>1.9475218658892235E-2</v>
      </c>
      <c r="I244">
        <v>1883900</v>
      </c>
      <c r="J244" s="38" t="s">
        <v>274</v>
      </c>
      <c r="K244" s="45">
        <f t="shared" si="14"/>
        <v>1.4796996865660716E-2</v>
      </c>
    </row>
    <row r="245" spans="1:11" x14ac:dyDescent="0.25">
      <c r="A245" s="8">
        <v>44734</v>
      </c>
      <c r="B245">
        <v>6770.27</v>
      </c>
      <c r="C245">
        <f t="shared" si="12"/>
        <v>1.1786771079296043E-2</v>
      </c>
      <c r="D245" s="35">
        <v>8218.5499999999993</v>
      </c>
      <c r="E245" s="45">
        <f t="shared" si="15"/>
        <v>2.2150501526655875E-2</v>
      </c>
      <c r="F245">
        <v>1897300</v>
      </c>
      <c r="G245">
        <v>423.55</v>
      </c>
      <c r="H245" s="45">
        <f t="shared" si="13"/>
        <v>-3.0999771219400674E-2</v>
      </c>
      <c r="I245">
        <v>2251300</v>
      </c>
      <c r="J245" s="38" t="s">
        <v>275</v>
      </c>
      <c r="K245" s="45">
        <f t="shared" si="14"/>
        <v>-1.3647464444763724E-2</v>
      </c>
    </row>
    <row r="246" spans="1:11" x14ac:dyDescent="0.25">
      <c r="A246" s="8">
        <v>44735</v>
      </c>
      <c r="B246">
        <v>6719.14</v>
      </c>
      <c r="C246">
        <f t="shared" si="12"/>
        <v>-7.5521360300253582E-3</v>
      </c>
      <c r="D246" s="35">
        <v>8093.45</v>
      </c>
      <c r="E246" s="45">
        <f t="shared" si="15"/>
        <v>-1.5221663188761947E-2</v>
      </c>
      <c r="F246">
        <v>1962100</v>
      </c>
      <c r="G246">
        <v>434.55</v>
      </c>
      <c r="H246" s="45">
        <f t="shared" si="13"/>
        <v>2.5970959745012401E-2</v>
      </c>
      <c r="I246">
        <v>2863800</v>
      </c>
      <c r="J246" s="38" t="s">
        <v>276</v>
      </c>
      <c r="K246" s="45">
        <f t="shared" si="14"/>
        <v>1.827847363821733E-2</v>
      </c>
    </row>
    <row r="247" spans="1:11" x14ac:dyDescent="0.25">
      <c r="A247" s="8">
        <v>44736</v>
      </c>
      <c r="B247">
        <v>6715.29</v>
      </c>
      <c r="C247">
        <f t="shared" si="12"/>
        <v>-5.7298999574351139E-4</v>
      </c>
      <c r="D247" s="35">
        <v>8173.9</v>
      </c>
      <c r="E247" s="45">
        <f t="shared" si="15"/>
        <v>9.9401367772704585E-3</v>
      </c>
      <c r="F247">
        <v>1849900</v>
      </c>
      <c r="G247">
        <v>436.05</v>
      </c>
      <c r="H247" s="45">
        <f t="shared" si="13"/>
        <v>3.4518467380049156E-3</v>
      </c>
      <c r="I247">
        <v>3147900</v>
      </c>
      <c r="J247" s="38" t="s">
        <v>277</v>
      </c>
      <c r="K247" s="45">
        <f t="shared" si="14"/>
        <v>2.0453407709361437E-2</v>
      </c>
    </row>
    <row r="248" spans="1:11" x14ac:dyDescent="0.25">
      <c r="A248" s="8">
        <v>44739</v>
      </c>
      <c r="B248">
        <v>6676.71</v>
      </c>
      <c r="C248">
        <f t="shared" si="12"/>
        <v>-5.7450981268121204E-3</v>
      </c>
      <c r="D248" s="35">
        <v>8258.6</v>
      </c>
      <c r="E248" s="45">
        <f t="shared" si="15"/>
        <v>1.0362250578059617E-2</v>
      </c>
      <c r="F248">
        <v>4460400</v>
      </c>
      <c r="G248">
        <v>434.85</v>
      </c>
      <c r="H248" s="45">
        <f t="shared" si="13"/>
        <v>-2.751977984176146E-3</v>
      </c>
      <c r="I248">
        <v>3188200</v>
      </c>
      <c r="J248" s="38" t="s">
        <v>278</v>
      </c>
      <c r="K248" s="45">
        <f t="shared" si="14"/>
        <v>5.4663956829490434E-3</v>
      </c>
    </row>
    <row r="249" spans="1:11" x14ac:dyDescent="0.25">
      <c r="A249" s="8">
        <v>44740</v>
      </c>
      <c r="B249">
        <v>6665.5</v>
      </c>
      <c r="C249">
        <f t="shared" si="12"/>
        <v>-1.6789706307447361E-3</v>
      </c>
      <c r="D249" s="35">
        <v>8329.2000000000007</v>
      </c>
      <c r="E249" s="45">
        <f t="shared" si="15"/>
        <v>8.5486644225414299E-3</v>
      </c>
      <c r="F249">
        <v>2359100</v>
      </c>
      <c r="G249">
        <v>428.75</v>
      </c>
      <c r="H249" s="45">
        <f t="shared" si="13"/>
        <v>-1.4027825687018547E-2</v>
      </c>
      <c r="I249">
        <v>2421000</v>
      </c>
      <c r="J249" s="38" t="s">
        <v>279</v>
      </c>
      <c r="K249" s="45">
        <f t="shared" si="14"/>
        <v>-9.8278385725240058E-3</v>
      </c>
    </row>
    <row r="250" spans="1:11" x14ac:dyDescent="0.25">
      <c r="A250" s="8">
        <v>44741</v>
      </c>
      <c r="B250">
        <v>6654.88</v>
      </c>
      <c r="C250">
        <f t="shared" si="12"/>
        <v>-1.5932788237941198E-3</v>
      </c>
      <c r="D250" s="35">
        <v>8340.85</v>
      </c>
      <c r="E250" s="45">
        <f t="shared" si="15"/>
        <v>1.398693752100888E-3</v>
      </c>
      <c r="F250">
        <v>2630000</v>
      </c>
      <c r="G250">
        <v>436.5</v>
      </c>
      <c r="H250" s="45">
        <f t="shared" si="13"/>
        <v>1.8075801749271037E-2</v>
      </c>
      <c r="I250">
        <v>4077700</v>
      </c>
      <c r="J250" s="38" t="s">
        <v>280</v>
      </c>
      <c r="K250" s="45">
        <f t="shared" si="14"/>
        <v>-1.0629311558496335E-2</v>
      </c>
    </row>
    <row r="251" spans="1:11" x14ac:dyDescent="0.25">
      <c r="A251" s="8">
        <v>44742</v>
      </c>
      <c r="B251">
        <v>6670.27</v>
      </c>
      <c r="C251">
        <f t="shared" si="12"/>
        <v>2.3125886567452181E-3</v>
      </c>
      <c r="D251" s="35">
        <v>8310.5499999999993</v>
      </c>
      <c r="E251" s="45">
        <f t="shared" si="15"/>
        <v>-3.6327232835983159E-3</v>
      </c>
      <c r="F251">
        <v>3911300</v>
      </c>
      <c r="G251">
        <v>428.9</v>
      </c>
      <c r="H251" s="45">
        <f t="shared" si="13"/>
        <v>-1.7411225658648388E-2</v>
      </c>
      <c r="I251">
        <v>2746100</v>
      </c>
      <c r="J251" s="38" t="s">
        <v>281</v>
      </c>
      <c r="K251" s="45">
        <f t="shared" si="14"/>
        <v>6.3322660974742817E-3</v>
      </c>
    </row>
    <row r="252" spans="1:11" x14ac:dyDescent="0.25">
      <c r="A252" s="8">
        <v>44743</v>
      </c>
      <c r="B252">
        <v>6677.66</v>
      </c>
      <c r="C252">
        <f t="shared" si="12"/>
        <v>1.1079011794123961E-3</v>
      </c>
      <c r="D252" s="35">
        <v>8290.7999999999993</v>
      </c>
      <c r="E252" s="45">
        <f t="shared" si="15"/>
        <v>-2.3764973437377934E-3</v>
      </c>
      <c r="F252">
        <v>2033400</v>
      </c>
      <c r="G252">
        <v>413.55</v>
      </c>
      <c r="H252" s="45">
        <f t="shared" si="13"/>
        <v>-3.5789228258335193E-2</v>
      </c>
      <c r="I252">
        <v>2755800</v>
      </c>
      <c r="J252" s="38" t="s">
        <v>282</v>
      </c>
      <c r="K252" s="45">
        <f t="shared" si="14"/>
        <v>-4.6662895927602754E-3</v>
      </c>
    </row>
    <row r="253" spans="1:11" x14ac:dyDescent="0.25">
      <c r="A253" s="8">
        <v>44746</v>
      </c>
      <c r="B253">
        <v>6692.37</v>
      </c>
      <c r="C253">
        <f t="shared" si="12"/>
        <v>2.2028674715395269E-3</v>
      </c>
      <c r="D253" s="35">
        <v>8294.9</v>
      </c>
      <c r="E253" s="45">
        <f t="shared" si="15"/>
        <v>4.9452405075500749E-4</v>
      </c>
      <c r="F253">
        <v>4228400</v>
      </c>
      <c r="G253">
        <v>434.9</v>
      </c>
      <c r="H253" s="45">
        <f t="shared" si="13"/>
        <v>5.1626163704509676E-2</v>
      </c>
      <c r="I253">
        <v>4060900</v>
      </c>
      <c r="J253" s="38" t="s">
        <v>213</v>
      </c>
      <c r="K253" s="45">
        <f t="shared" si="14"/>
        <v>2.301463276033533E-2</v>
      </c>
    </row>
    <row r="254" spans="1:11" x14ac:dyDescent="0.25">
      <c r="A254" s="8">
        <v>44747</v>
      </c>
      <c r="B254">
        <v>6766.56</v>
      </c>
      <c r="C254">
        <f t="shared" si="12"/>
        <v>1.1085758856727912E-2</v>
      </c>
      <c r="D254" s="35">
        <v>8344.1</v>
      </c>
      <c r="E254" s="45">
        <f t="shared" si="15"/>
        <v>5.9313554111564137E-3</v>
      </c>
      <c r="F254">
        <v>2591000</v>
      </c>
      <c r="G254">
        <v>423.6</v>
      </c>
      <c r="H254" s="45">
        <f t="shared" si="13"/>
        <v>-2.5982984594159486E-2</v>
      </c>
      <c r="I254">
        <v>2911000</v>
      </c>
      <c r="J254" s="38" t="s">
        <v>283</v>
      </c>
      <c r="K254" s="45">
        <f t="shared" si="14"/>
        <v>-9.0265240938758318E-4</v>
      </c>
    </row>
    <row r="255" spans="1:11" x14ac:dyDescent="0.25">
      <c r="A255" s="8">
        <v>44748</v>
      </c>
      <c r="B255">
        <v>6717.13</v>
      </c>
      <c r="C255">
        <f t="shared" si="12"/>
        <v>-7.3050412617342575E-3</v>
      </c>
      <c r="D255" s="35">
        <v>8333.65</v>
      </c>
      <c r="E255" s="45">
        <f t="shared" si="15"/>
        <v>-1.2523819225561672E-3</v>
      </c>
      <c r="F255">
        <v>2970400</v>
      </c>
      <c r="G255">
        <v>418.2</v>
      </c>
      <c r="H255" s="45">
        <f t="shared" si="13"/>
        <v>-1.2747875354107707E-2</v>
      </c>
      <c r="I255">
        <v>4318500</v>
      </c>
      <c r="J255" s="38" t="s">
        <v>284</v>
      </c>
      <c r="K255" s="45">
        <f t="shared" si="14"/>
        <v>9.0346792688860145E-3</v>
      </c>
    </row>
    <row r="256" spans="1:11" x14ac:dyDescent="0.25">
      <c r="A256" s="8">
        <v>44749</v>
      </c>
      <c r="B256">
        <v>6718.33</v>
      </c>
      <c r="C256">
        <f t="shared" si="12"/>
        <v>1.7864772603770618E-4</v>
      </c>
      <c r="D256" s="35">
        <v>8442.65</v>
      </c>
      <c r="E256" s="45">
        <f t="shared" si="15"/>
        <v>1.3079502978886826E-2</v>
      </c>
      <c r="F256">
        <v>2277700</v>
      </c>
      <c r="G256">
        <v>426.5</v>
      </c>
      <c r="H256" s="45">
        <f t="shared" si="13"/>
        <v>1.9846963175514043E-2</v>
      </c>
      <c r="I256">
        <v>3161500</v>
      </c>
      <c r="J256" s="38" t="s">
        <v>285</v>
      </c>
      <c r="K256" s="45">
        <f t="shared" si="14"/>
        <v>2.2108960672222455E-2</v>
      </c>
    </row>
    <row r="257" spans="1:11" x14ac:dyDescent="0.25">
      <c r="A257" s="8">
        <v>44750</v>
      </c>
      <c r="B257">
        <v>6742.75</v>
      </c>
      <c r="C257">
        <f t="shared" si="12"/>
        <v>3.6348318704202409E-3</v>
      </c>
      <c r="D257" s="35">
        <v>8522.5</v>
      </c>
      <c r="E257" s="45">
        <f t="shared" si="15"/>
        <v>9.4579308629398895E-3</v>
      </c>
      <c r="F257">
        <v>1842700</v>
      </c>
      <c r="G257">
        <v>432.2</v>
      </c>
      <c r="H257" s="45">
        <f t="shared" si="13"/>
        <v>1.3364595545134694E-2</v>
      </c>
      <c r="I257">
        <v>2365800</v>
      </c>
      <c r="J257" s="38" t="s">
        <v>286</v>
      </c>
      <c r="K257" s="45">
        <f t="shared" si="14"/>
        <v>1.8463611859838247E-2</v>
      </c>
    </row>
    <row r="258" spans="1:11" x14ac:dyDescent="0.25">
      <c r="A258" s="8">
        <v>44753</v>
      </c>
      <c r="B258">
        <v>6780.03</v>
      </c>
      <c r="C258">
        <f t="shared" si="12"/>
        <v>5.5289014126282954E-3</v>
      </c>
      <c r="D258" s="35">
        <v>8564</v>
      </c>
      <c r="E258" s="45">
        <f t="shared" si="15"/>
        <v>4.8694631856849302E-3</v>
      </c>
      <c r="F258">
        <v>3441900</v>
      </c>
      <c r="G258">
        <v>432.65</v>
      </c>
      <c r="H258" s="45">
        <f t="shared" si="13"/>
        <v>1.0411846367421873E-3</v>
      </c>
      <c r="I258">
        <v>3947800</v>
      </c>
      <c r="J258" s="38" t="s">
        <v>287</v>
      </c>
      <c r="K258" s="45">
        <f t="shared" si="14"/>
        <v>1.8261214767764988E-2</v>
      </c>
    </row>
    <row r="259" spans="1:11" x14ac:dyDescent="0.25">
      <c r="A259" s="8">
        <v>44754</v>
      </c>
      <c r="B259">
        <v>6741.38</v>
      </c>
      <c r="C259">
        <f t="shared" si="12"/>
        <v>-5.7005647467636145E-3</v>
      </c>
      <c r="D259" s="35">
        <v>8593.4</v>
      </c>
      <c r="E259" s="45">
        <f t="shared" si="15"/>
        <v>3.4329752452124662E-3</v>
      </c>
      <c r="F259">
        <v>2368000</v>
      </c>
      <c r="G259">
        <v>441.35</v>
      </c>
      <c r="H259" s="45">
        <f t="shared" si="13"/>
        <v>2.0108632844100471E-2</v>
      </c>
      <c r="I259">
        <v>2815900</v>
      </c>
      <c r="J259" s="38" t="s">
        <v>288</v>
      </c>
      <c r="K259" s="45">
        <f t="shared" si="14"/>
        <v>-1.2475633528265084E-2</v>
      </c>
    </row>
    <row r="260" spans="1:11" x14ac:dyDescent="0.25">
      <c r="A260" s="8">
        <v>44755</v>
      </c>
      <c r="B260">
        <v>6698.07</v>
      </c>
      <c r="C260">
        <f t="shared" ref="C260:C323" si="16">B260/B259-1</f>
        <v>-6.4245006215345457E-3</v>
      </c>
      <c r="D260" s="35">
        <v>8524.2999999999993</v>
      </c>
      <c r="E260" s="45">
        <f t="shared" si="15"/>
        <v>-8.041054762957689E-3</v>
      </c>
      <c r="F260">
        <v>2598200</v>
      </c>
      <c r="G260">
        <v>451.1</v>
      </c>
      <c r="H260" s="45">
        <f t="shared" ref="H260:H323" si="17">G260/G259-1</f>
        <v>2.2091310751104487E-2</v>
      </c>
      <c r="I260">
        <v>2758600</v>
      </c>
      <c r="J260" s="38" t="s">
        <v>289</v>
      </c>
      <c r="K260" s="45">
        <f t="shared" ref="K260:K323" si="18">J260/J259-1</f>
        <v>-8.8169495986313295E-3</v>
      </c>
    </row>
    <row r="261" spans="1:11" x14ac:dyDescent="0.25">
      <c r="A261" s="8">
        <v>44756</v>
      </c>
      <c r="B261">
        <v>6591.72</v>
      </c>
      <c r="C261">
        <f t="shared" si="16"/>
        <v>-1.5877708056201145E-2</v>
      </c>
      <c r="D261" s="35">
        <v>8487.35</v>
      </c>
      <c r="E261" s="45">
        <f t="shared" ref="E261:E324" si="19">D261/D260-1</f>
        <v>-4.3346667761574587E-3</v>
      </c>
      <c r="F261">
        <v>3255700</v>
      </c>
      <c r="G261">
        <v>444.35</v>
      </c>
      <c r="H261" s="45">
        <f t="shared" si="17"/>
        <v>-1.4963422744402544E-2</v>
      </c>
      <c r="I261">
        <v>9464700</v>
      </c>
      <c r="J261" s="38" t="s">
        <v>290</v>
      </c>
      <c r="K261" s="45">
        <f t="shared" si="18"/>
        <v>-1.0621348911312722E-3</v>
      </c>
    </row>
    <row r="262" spans="1:11" x14ac:dyDescent="0.25">
      <c r="A262" s="8">
        <v>44757</v>
      </c>
      <c r="B262">
        <v>6480.55</v>
      </c>
      <c r="C262">
        <f t="shared" si="16"/>
        <v>-1.6865097425254771E-2</v>
      </c>
      <c r="D262" s="35">
        <v>8475.4500000000007</v>
      </c>
      <c r="E262" s="45">
        <f t="shared" si="19"/>
        <v>-1.402086634815336E-3</v>
      </c>
      <c r="F262">
        <v>3738700</v>
      </c>
      <c r="G262">
        <v>446</v>
      </c>
      <c r="H262" s="45">
        <f t="shared" si="17"/>
        <v>3.7132890739282054E-3</v>
      </c>
      <c r="I262">
        <v>5496700</v>
      </c>
      <c r="J262" s="38" t="s">
        <v>291</v>
      </c>
      <c r="K262" s="45">
        <f t="shared" si="18"/>
        <v>-1.5948963317383713E-3</v>
      </c>
    </row>
    <row r="263" spans="1:11" x14ac:dyDescent="0.25">
      <c r="A263" s="8">
        <v>44760</v>
      </c>
      <c r="B263">
        <v>6545.96</v>
      </c>
      <c r="C263">
        <f t="shared" si="16"/>
        <v>1.0093279119827825E-2</v>
      </c>
      <c r="D263" s="35">
        <v>8531.35</v>
      </c>
      <c r="E263" s="45">
        <f t="shared" si="19"/>
        <v>6.5955200018876781E-3</v>
      </c>
      <c r="F263">
        <v>3314000</v>
      </c>
      <c r="G263">
        <v>454.55</v>
      </c>
      <c r="H263" s="45">
        <f t="shared" si="17"/>
        <v>1.917040358744404E-2</v>
      </c>
      <c r="I263">
        <v>3693500</v>
      </c>
      <c r="J263" s="38" t="s">
        <v>292</v>
      </c>
      <c r="K263" s="45">
        <f t="shared" si="18"/>
        <v>2.7689030883919052E-2</v>
      </c>
    </row>
    <row r="264" spans="1:11" x14ac:dyDescent="0.25">
      <c r="A264" s="8">
        <v>44761</v>
      </c>
      <c r="B264">
        <v>6445.12</v>
      </c>
      <c r="C264">
        <f t="shared" si="16"/>
        <v>-1.5404921508839098E-2</v>
      </c>
      <c r="D264" s="35">
        <v>8651.9500000000007</v>
      </c>
      <c r="E264" s="45">
        <f t="shared" si="19"/>
        <v>1.4136098038411316E-2</v>
      </c>
      <c r="F264">
        <v>2203000</v>
      </c>
      <c r="G264">
        <v>456.65</v>
      </c>
      <c r="H264" s="45">
        <f t="shared" si="17"/>
        <v>4.6199538004618734E-3</v>
      </c>
      <c r="I264">
        <v>3879300</v>
      </c>
      <c r="J264" s="38" t="s">
        <v>293</v>
      </c>
      <c r="K264" s="45">
        <f t="shared" si="18"/>
        <v>1.1204663212435184E-2</v>
      </c>
    </row>
    <row r="265" spans="1:11" x14ac:dyDescent="0.25">
      <c r="A265" s="8">
        <v>44762</v>
      </c>
      <c r="B265">
        <v>6489.71</v>
      </c>
      <c r="C265">
        <f t="shared" si="16"/>
        <v>6.9184126905317278E-3</v>
      </c>
      <c r="D265" s="35">
        <v>8689.65</v>
      </c>
      <c r="E265" s="45">
        <f t="shared" si="19"/>
        <v>4.3573991990244476E-3</v>
      </c>
      <c r="F265">
        <v>2198900</v>
      </c>
      <c r="G265">
        <v>462.9</v>
      </c>
      <c r="H265" s="45">
        <f t="shared" si="17"/>
        <v>1.3686630898937846E-2</v>
      </c>
      <c r="I265">
        <v>3378200</v>
      </c>
      <c r="J265" s="38" t="s">
        <v>294</v>
      </c>
      <c r="K265" s="45">
        <f t="shared" si="18"/>
        <v>3.1384102991098839E-3</v>
      </c>
    </row>
    <row r="266" spans="1:11" x14ac:dyDescent="0.25">
      <c r="A266" s="8">
        <v>44763</v>
      </c>
      <c r="B266">
        <v>6567.72</v>
      </c>
      <c r="C266">
        <f t="shared" si="16"/>
        <v>1.2020567945254967E-2</v>
      </c>
      <c r="D266" s="35">
        <v>8763.85</v>
      </c>
      <c r="E266" s="45">
        <f t="shared" si="19"/>
        <v>8.5388939715640433E-3</v>
      </c>
      <c r="F266">
        <v>2097000</v>
      </c>
      <c r="G266">
        <v>466.65</v>
      </c>
      <c r="H266" s="45">
        <f t="shared" si="17"/>
        <v>8.1011017498380244E-3</v>
      </c>
      <c r="I266">
        <v>3022600</v>
      </c>
      <c r="J266" s="38" t="s">
        <v>295</v>
      </c>
      <c r="K266" s="45">
        <f t="shared" si="18"/>
        <v>3.703230749585007E-3</v>
      </c>
    </row>
    <row r="267" spans="1:11" x14ac:dyDescent="0.25">
      <c r="A267" s="8">
        <v>44764</v>
      </c>
      <c r="B267">
        <v>6561.17</v>
      </c>
      <c r="C267">
        <f t="shared" si="16"/>
        <v>-9.9730195562541812E-4</v>
      </c>
      <c r="D267" s="35">
        <v>8829.1</v>
      </c>
      <c r="E267" s="45">
        <f t="shared" si="19"/>
        <v>7.4453579191793295E-3</v>
      </c>
      <c r="F267">
        <v>2231300</v>
      </c>
      <c r="G267">
        <v>474.55</v>
      </c>
      <c r="H267" s="45">
        <f t="shared" si="17"/>
        <v>1.6929176042001615E-2</v>
      </c>
      <c r="I267">
        <v>3100300</v>
      </c>
      <c r="J267" s="38" t="s">
        <v>296</v>
      </c>
      <c r="K267" s="45">
        <f t="shared" si="18"/>
        <v>1.7875318066157719E-2</v>
      </c>
    </row>
    <row r="268" spans="1:11" x14ac:dyDescent="0.25">
      <c r="A268" s="8">
        <v>44767</v>
      </c>
      <c r="B268">
        <v>6501.53</v>
      </c>
      <c r="C268">
        <f t="shared" si="16"/>
        <v>-9.0898422080208929E-3</v>
      </c>
      <c r="D268" s="35">
        <v>8869.2000000000007</v>
      </c>
      <c r="E268" s="45">
        <f t="shared" si="19"/>
        <v>4.5417992773895133E-3</v>
      </c>
      <c r="F268">
        <v>2860300</v>
      </c>
      <c r="G268">
        <v>465.7</v>
      </c>
      <c r="H268" s="45">
        <f t="shared" si="17"/>
        <v>-1.864924665472556E-2</v>
      </c>
      <c r="I268">
        <v>3907200</v>
      </c>
      <c r="J268" s="38" t="s">
        <v>297</v>
      </c>
      <c r="K268" s="45">
        <f t="shared" si="18"/>
        <v>1.0624335979001476E-3</v>
      </c>
    </row>
    <row r="269" spans="1:11" x14ac:dyDescent="0.25">
      <c r="A269" s="8">
        <v>44768</v>
      </c>
      <c r="B269">
        <v>6404.27</v>
      </c>
      <c r="C269">
        <f t="shared" si="16"/>
        <v>-1.4959555673818237E-2</v>
      </c>
      <c r="D269" s="35">
        <v>8832.6</v>
      </c>
      <c r="E269" s="45">
        <f t="shared" si="19"/>
        <v>-4.1266405087269087E-3</v>
      </c>
      <c r="F269">
        <v>2080700</v>
      </c>
      <c r="G269">
        <v>461.35</v>
      </c>
      <c r="H269" s="45">
        <f t="shared" si="17"/>
        <v>-9.3407773244577053E-3</v>
      </c>
      <c r="I269">
        <v>3663600</v>
      </c>
      <c r="J269" s="38" t="s">
        <v>298</v>
      </c>
      <c r="K269" s="45">
        <f t="shared" si="18"/>
        <v>-5.7435385191659805E-3</v>
      </c>
    </row>
    <row r="270" spans="1:11" x14ac:dyDescent="0.25">
      <c r="A270" s="8">
        <v>44769</v>
      </c>
      <c r="B270">
        <v>6418.32</v>
      </c>
      <c r="C270">
        <f t="shared" si="16"/>
        <v>2.1938487915094118E-3</v>
      </c>
      <c r="D270" s="35">
        <v>8745.85</v>
      </c>
      <c r="E270" s="45">
        <f t="shared" si="19"/>
        <v>-9.8215700926114202E-3</v>
      </c>
      <c r="F270">
        <v>1899100</v>
      </c>
      <c r="G270">
        <v>466.65</v>
      </c>
      <c r="H270" s="45">
        <f t="shared" si="17"/>
        <v>1.1488024276579578E-2</v>
      </c>
      <c r="I270">
        <v>3873700</v>
      </c>
      <c r="J270" s="38" t="s">
        <v>299</v>
      </c>
      <c r="K270" s="45">
        <f t="shared" si="18"/>
        <v>5.2743940725856753E-3</v>
      </c>
    </row>
    <row r="271" spans="1:11" x14ac:dyDescent="0.25">
      <c r="A271" s="8">
        <v>44770</v>
      </c>
      <c r="B271">
        <v>6375.67</v>
      </c>
      <c r="C271">
        <f t="shared" si="16"/>
        <v>-6.6450410699372409E-3</v>
      </c>
      <c r="D271" s="35">
        <v>8829.6</v>
      </c>
      <c r="E271" s="45">
        <f t="shared" si="19"/>
        <v>9.5759703173505795E-3</v>
      </c>
      <c r="F271">
        <v>2214400</v>
      </c>
      <c r="G271">
        <v>473.1</v>
      </c>
      <c r="H271" s="45">
        <f t="shared" si="17"/>
        <v>1.3821922211507687E-2</v>
      </c>
      <c r="I271">
        <v>3125100</v>
      </c>
      <c r="J271" s="38" t="s">
        <v>300</v>
      </c>
      <c r="K271" s="45">
        <f t="shared" si="18"/>
        <v>1.7613991255465367E-2</v>
      </c>
    </row>
    <row r="272" spans="1:11" x14ac:dyDescent="0.25">
      <c r="A272" s="8">
        <v>44771</v>
      </c>
      <c r="B272">
        <v>6464.42</v>
      </c>
      <c r="C272">
        <f t="shared" si="16"/>
        <v>1.3920105651641368E-2</v>
      </c>
      <c r="D272" s="35">
        <v>8966.1</v>
      </c>
      <c r="E272" s="45">
        <f t="shared" si="19"/>
        <v>1.5459363957597283E-2</v>
      </c>
      <c r="F272">
        <v>2405000</v>
      </c>
      <c r="G272">
        <v>480.55</v>
      </c>
      <c r="H272" s="45">
        <f t="shared" si="17"/>
        <v>1.5747199323610239E-2</v>
      </c>
      <c r="I272">
        <v>2949300</v>
      </c>
      <c r="J272" s="38" t="s">
        <v>301</v>
      </c>
      <c r="K272" s="45">
        <f t="shared" si="18"/>
        <v>4.9103854652590151E-3</v>
      </c>
    </row>
    <row r="273" spans="1:11" x14ac:dyDescent="0.25">
      <c r="A273" s="8">
        <v>44774</v>
      </c>
      <c r="B273">
        <v>6469.57</v>
      </c>
      <c r="C273">
        <f t="shared" si="16"/>
        <v>7.9666853329452003E-4</v>
      </c>
      <c r="D273" s="35">
        <v>9087.65</v>
      </c>
      <c r="E273" s="45">
        <f t="shared" si="19"/>
        <v>1.3556618819776656E-2</v>
      </c>
      <c r="F273">
        <v>2172100</v>
      </c>
      <c r="G273">
        <v>492.1</v>
      </c>
      <c r="H273" s="45">
        <f t="shared" si="17"/>
        <v>2.4034959941733547E-2</v>
      </c>
      <c r="I273">
        <v>2691500</v>
      </c>
      <c r="J273" s="38" t="s">
        <v>302</v>
      </c>
      <c r="K273" s="45">
        <f t="shared" si="18"/>
        <v>5.8636696799412302E-3</v>
      </c>
    </row>
    <row r="274" spans="1:11" x14ac:dyDescent="0.25">
      <c r="A274" s="8">
        <v>44775</v>
      </c>
      <c r="B274">
        <v>6553.56</v>
      </c>
      <c r="C274">
        <f t="shared" si="16"/>
        <v>1.2982315671675293E-2</v>
      </c>
      <c r="D274" s="35">
        <v>9197.65</v>
      </c>
      <c r="E274" s="45">
        <f t="shared" si="19"/>
        <v>1.2104339405677011E-2</v>
      </c>
      <c r="F274">
        <v>1954800</v>
      </c>
      <c r="G274">
        <v>487.15</v>
      </c>
      <c r="H274" s="45">
        <f t="shared" si="17"/>
        <v>-1.0058931111562752E-2</v>
      </c>
      <c r="I274">
        <v>2651800</v>
      </c>
      <c r="J274" s="38" t="s">
        <v>303</v>
      </c>
      <c r="K274" s="45">
        <f t="shared" si="18"/>
        <v>-6.8617925674033797E-3</v>
      </c>
    </row>
    <row r="275" spans="1:11" x14ac:dyDescent="0.25">
      <c r="A275" s="8">
        <v>44776</v>
      </c>
      <c r="B275">
        <v>6586.63</v>
      </c>
      <c r="C275">
        <f t="shared" si="16"/>
        <v>5.0461123419942577E-3</v>
      </c>
      <c r="D275" s="35">
        <v>9210.65</v>
      </c>
      <c r="E275" s="45">
        <f t="shared" si="19"/>
        <v>1.413404510934857E-3</v>
      </c>
      <c r="F275">
        <v>2178300</v>
      </c>
      <c r="G275">
        <v>477.5</v>
      </c>
      <c r="H275" s="45">
        <f t="shared" si="17"/>
        <v>-1.9809093708303305E-2</v>
      </c>
      <c r="I275">
        <v>3215800</v>
      </c>
      <c r="J275" s="38" t="s">
        <v>304</v>
      </c>
      <c r="K275" s="45">
        <f t="shared" si="18"/>
        <v>8.6212167532864203E-3</v>
      </c>
    </row>
    <row r="276" spans="1:11" x14ac:dyDescent="0.25">
      <c r="A276" s="8">
        <v>44777</v>
      </c>
      <c r="B276">
        <v>6599.06</v>
      </c>
      <c r="C276">
        <f t="shared" si="16"/>
        <v>1.887156254412492E-3</v>
      </c>
      <c r="D276" s="35">
        <v>9214.2999999999993</v>
      </c>
      <c r="E276" s="45">
        <f t="shared" si="19"/>
        <v>3.9628039280614757E-4</v>
      </c>
      <c r="F276">
        <v>1756200</v>
      </c>
      <c r="G276">
        <v>497.7</v>
      </c>
      <c r="H276" s="45">
        <f t="shared" si="17"/>
        <v>4.2303664921465867E-2</v>
      </c>
      <c r="I276">
        <v>3750000</v>
      </c>
      <c r="J276" s="38" t="s">
        <v>305</v>
      </c>
      <c r="K276" s="45">
        <f t="shared" si="18"/>
        <v>-5.5164888457807093E-3</v>
      </c>
    </row>
    <row r="277" spans="1:11" x14ac:dyDescent="0.25">
      <c r="A277" s="8">
        <v>44778</v>
      </c>
      <c r="B277">
        <v>6644.34</v>
      </c>
      <c r="C277">
        <f t="shared" si="16"/>
        <v>6.8615833164116236E-3</v>
      </c>
      <c r="D277" s="35">
        <v>9224.7000000000007</v>
      </c>
      <c r="E277" s="45">
        <f t="shared" si="19"/>
        <v>1.1286804206507295E-3</v>
      </c>
      <c r="F277">
        <v>2629700</v>
      </c>
      <c r="G277">
        <v>488.8</v>
      </c>
      <c r="H277" s="45">
        <f t="shared" si="17"/>
        <v>-1.788225838858748E-2</v>
      </c>
      <c r="I277">
        <v>3196900</v>
      </c>
      <c r="J277" s="38" t="s">
        <v>306</v>
      </c>
      <c r="K277" s="45">
        <f t="shared" si="18"/>
        <v>2.1883572081682567E-2</v>
      </c>
    </row>
    <row r="278" spans="1:11" x14ac:dyDescent="0.25">
      <c r="A278" s="8">
        <v>44781</v>
      </c>
      <c r="B278">
        <v>6680.33</v>
      </c>
      <c r="C278">
        <f t="shared" si="16"/>
        <v>5.4166403284598985E-3</v>
      </c>
      <c r="D278" s="35">
        <v>9228.7000000000007</v>
      </c>
      <c r="E278" s="45">
        <f t="shared" si="19"/>
        <v>4.3361843745604034E-4</v>
      </c>
      <c r="F278">
        <v>2523300</v>
      </c>
      <c r="G278">
        <v>485.25</v>
      </c>
      <c r="H278" s="45">
        <f t="shared" si="17"/>
        <v>-7.2626841243862428E-3</v>
      </c>
      <c r="I278">
        <v>2894100</v>
      </c>
      <c r="J278" s="38" t="s">
        <v>307</v>
      </c>
      <c r="K278" s="45">
        <f t="shared" si="18"/>
        <v>-1.4912908613695652E-3</v>
      </c>
    </row>
    <row r="279" spans="1:11" x14ac:dyDescent="0.25">
      <c r="A279" s="8">
        <v>44783</v>
      </c>
      <c r="B279">
        <v>6715.09</v>
      </c>
      <c r="C279">
        <f t="shared" si="16"/>
        <v>5.2033357633529675E-3</v>
      </c>
      <c r="D279" s="35">
        <v>9291.6</v>
      </c>
      <c r="E279" s="45">
        <f t="shared" si="19"/>
        <v>6.8156945181878648E-3</v>
      </c>
      <c r="F279">
        <v>2752000</v>
      </c>
      <c r="G279">
        <v>489</v>
      </c>
      <c r="H279" s="45">
        <f t="shared" si="17"/>
        <v>7.7279752704790816E-3</v>
      </c>
      <c r="I279">
        <v>2897900</v>
      </c>
      <c r="J279" s="38" t="s">
        <v>308</v>
      </c>
      <c r="K279" s="45">
        <f t="shared" si="18"/>
        <v>1.4098811159567459E-2</v>
      </c>
    </row>
    <row r="280" spans="1:11" x14ac:dyDescent="0.25">
      <c r="A280" s="8">
        <v>44784</v>
      </c>
      <c r="B280">
        <v>6694.14</v>
      </c>
      <c r="C280">
        <f t="shared" si="16"/>
        <v>-3.1198390490670969E-3</v>
      </c>
      <c r="D280" s="35">
        <v>9289.7000000000007</v>
      </c>
      <c r="E280" s="45">
        <f t="shared" si="19"/>
        <v>-2.0448577209519758E-4</v>
      </c>
      <c r="F280">
        <v>1988600</v>
      </c>
      <c r="G280">
        <v>472.35</v>
      </c>
      <c r="H280" s="45">
        <f t="shared" si="17"/>
        <v>-3.4049079754601141E-2</v>
      </c>
      <c r="I280">
        <v>2317800</v>
      </c>
      <c r="J280" s="38" t="s">
        <v>309</v>
      </c>
      <c r="K280" s="45">
        <f t="shared" si="18"/>
        <v>1.2901325478645198E-2</v>
      </c>
    </row>
    <row r="281" spans="1:11" x14ac:dyDescent="0.25">
      <c r="A281" s="8">
        <v>44785</v>
      </c>
      <c r="B281">
        <v>6675.4</v>
      </c>
      <c r="C281">
        <f t="shared" si="16"/>
        <v>-2.7994634112822325E-3</v>
      </c>
      <c r="D281" s="35">
        <v>9358.9500000000007</v>
      </c>
      <c r="E281" s="45">
        <f t="shared" si="19"/>
        <v>7.4544926100950093E-3</v>
      </c>
      <c r="F281">
        <v>1540200</v>
      </c>
      <c r="G281">
        <v>477.3</v>
      </c>
      <c r="H281" s="45">
        <f t="shared" si="17"/>
        <v>1.0479517307081521E-2</v>
      </c>
      <c r="I281">
        <v>3128500</v>
      </c>
      <c r="J281" s="38" t="s">
        <v>310</v>
      </c>
      <c r="K281" s="45">
        <f t="shared" si="18"/>
        <v>1.7098988019076389E-2</v>
      </c>
    </row>
    <row r="282" spans="1:11" x14ac:dyDescent="0.25">
      <c r="A282" s="8">
        <v>44789</v>
      </c>
      <c r="B282">
        <v>6655.71</v>
      </c>
      <c r="C282">
        <f t="shared" si="16"/>
        <v>-2.9496359768702574E-3</v>
      </c>
      <c r="D282" s="35">
        <v>9387.5</v>
      </c>
      <c r="E282" s="45">
        <f t="shared" si="19"/>
        <v>3.0505558850084658E-3</v>
      </c>
      <c r="F282">
        <v>1555100</v>
      </c>
      <c r="G282">
        <v>491</v>
      </c>
      <c r="H282" s="45">
        <f t="shared" si="17"/>
        <v>2.8703121726377567E-2</v>
      </c>
      <c r="I282">
        <v>2094700</v>
      </c>
      <c r="J282" s="38" t="s">
        <v>311</v>
      </c>
      <c r="K282" s="45">
        <f t="shared" si="18"/>
        <v>5.5466605672460645E-3</v>
      </c>
    </row>
    <row r="283" spans="1:11" x14ac:dyDescent="0.25">
      <c r="A283" s="8">
        <v>44790</v>
      </c>
      <c r="B283">
        <v>6683.65</v>
      </c>
      <c r="C283">
        <f t="shared" si="16"/>
        <v>4.1978992474129839E-3</v>
      </c>
      <c r="D283" s="35">
        <v>9473.9500000000007</v>
      </c>
      <c r="E283" s="45">
        <f t="shared" si="19"/>
        <v>9.209054593874999E-3</v>
      </c>
      <c r="F283">
        <v>1659000</v>
      </c>
      <c r="G283">
        <v>532.35</v>
      </c>
      <c r="H283" s="45">
        <f t="shared" si="17"/>
        <v>8.4215885947046987E-2</v>
      </c>
      <c r="I283">
        <v>2305800</v>
      </c>
      <c r="J283" s="38" t="s">
        <v>312</v>
      </c>
      <c r="K283" s="45">
        <f t="shared" si="18"/>
        <v>4.5493318168894348E-3</v>
      </c>
    </row>
    <row r="284" spans="1:11" x14ac:dyDescent="0.25">
      <c r="A284" s="8">
        <v>44791</v>
      </c>
      <c r="B284">
        <v>6583.63</v>
      </c>
      <c r="C284">
        <f t="shared" si="16"/>
        <v>-1.4964876975903763E-2</v>
      </c>
      <c r="D284" s="35">
        <v>9538</v>
      </c>
      <c r="E284" s="45">
        <f t="shared" si="19"/>
        <v>6.7606436597194008E-3</v>
      </c>
      <c r="F284">
        <v>1894300</v>
      </c>
      <c r="G284">
        <v>530</v>
      </c>
      <c r="H284" s="45">
        <f t="shared" si="17"/>
        <v>-4.4143890297736466E-3</v>
      </c>
      <c r="I284">
        <v>3797800</v>
      </c>
      <c r="J284" s="38" t="s">
        <v>313</v>
      </c>
      <c r="K284" s="45">
        <f t="shared" si="18"/>
        <v>2.0945372204925761E-3</v>
      </c>
    </row>
    <row r="285" spans="1:11" x14ac:dyDescent="0.25">
      <c r="A285" s="8">
        <v>44792</v>
      </c>
      <c r="B285">
        <v>6551.17</v>
      </c>
      <c r="C285">
        <f t="shared" si="16"/>
        <v>-4.9304107308582035E-3</v>
      </c>
      <c r="D285" s="35">
        <v>9553.5</v>
      </c>
      <c r="E285" s="45">
        <f t="shared" si="19"/>
        <v>1.6250786328371181E-3</v>
      </c>
      <c r="F285">
        <v>1892600</v>
      </c>
      <c r="G285">
        <v>519.20000000000005</v>
      </c>
      <c r="H285" s="45">
        <f t="shared" si="17"/>
        <v>-2.0377358490565989E-2</v>
      </c>
      <c r="I285">
        <v>3677400</v>
      </c>
      <c r="J285" s="38" t="s">
        <v>314</v>
      </c>
      <c r="K285" s="45">
        <f t="shared" si="18"/>
        <v>-1.6608292848265815E-2</v>
      </c>
    </row>
    <row r="286" spans="1:11" x14ac:dyDescent="0.25">
      <c r="A286" s="8">
        <v>44795</v>
      </c>
      <c r="B286">
        <v>6569.46</v>
      </c>
      <c r="C286">
        <f t="shared" si="16"/>
        <v>2.791867712179652E-3</v>
      </c>
      <c r="D286" s="35">
        <v>9447.35</v>
      </c>
      <c r="E286" s="45">
        <f t="shared" si="19"/>
        <v>-1.1111111111111072E-2</v>
      </c>
      <c r="F286">
        <v>2790700</v>
      </c>
      <c r="G286">
        <v>500.9</v>
      </c>
      <c r="H286" s="45">
        <f t="shared" si="17"/>
        <v>-3.5246533127889168E-2</v>
      </c>
      <c r="I286">
        <v>2656500</v>
      </c>
      <c r="J286" s="38" t="s">
        <v>315</v>
      </c>
      <c r="K286" s="45">
        <f t="shared" si="18"/>
        <v>-2.0852481617647078E-2</v>
      </c>
    </row>
    <row r="287" spans="1:11" x14ac:dyDescent="0.25">
      <c r="A287" s="8">
        <v>44796</v>
      </c>
      <c r="B287">
        <v>6616.93</v>
      </c>
      <c r="C287">
        <f t="shared" si="16"/>
        <v>7.2258602685761897E-3</v>
      </c>
      <c r="D287" s="35">
        <v>9295.6</v>
      </c>
      <c r="E287" s="45">
        <f t="shared" si="19"/>
        <v>-1.606270541474597E-2</v>
      </c>
      <c r="F287">
        <v>2850400</v>
      </c>
      <c r="G287">
        <v>502.65</v>
      </c>
      <c r="H287" s="45">
        <f t="shared" si="17"/>
        <v>3.493711319624726E-3</v>
      </c>
      <c r="I287">
        <v>2727800</v>
      </c>
      <c r="J287" s="38" t="s">
        <v>316</v>
      </c>
      <c r="K287" s="45">
        <f t="shared" si="18"/>
        <v>1.3669697858609497E-2</v>
      </c>
    </row>
    <row r="288" spans="1:11" x14ac:dyDescent="0.25">
      <c r="A288" s="8">
        <v>44797</v>
      </c>
      <c r="B288">
        <v>6620.05</v>
      </c>
      <c r="C288">
        <f t="shared" si="16"/>
        <v>4.7151775823528475E-4</v>
      </c>
      <c r="D288" s="35">
        <v>9349.0499999999993</v>
      </c>
      <c r="E288" s="45">
        <f t="shared" si="19"/>
        <v>5.750032273333483E-3</v>
      </c>
      <c r="F288">
        <v>6532500</v>
      </c>
      <c r="G288">
        <v>507</v>
      </c>
      <c r="H288" s="45">
        <f t="shared" si="17"/>
        <v>8.654133094598615E-3</v>
      </c>
      <c r="I288">
        <v>2507300</v>
      </c>
      <c r="J288" s="38" t="s">
        <v>317</v>
      </c>
      <c r="K288" s="45">
        <f t="shared" si="18"/>
        <v>1.0880888991781523E-2</v>
      </c>
    </row>
    <row r="289" spans="1:11" x14ac:dyDescent="0.25">
      <c r="A289" s="8">
        <v>44798</v>
      </c>
      <c r="B289">
        <v>6527.12</v>
      </c>
      <c r="C289">
        <f t="shared" si="16"/>
        <v>-1.4037658325843472E-2</v>
      </c>
      <c r="D289" s="35">
        <v>9375.9500000000007</v>
      </c>
      <c r="E289" s="45">
        <f t="shared" si="19"/>
        <v>2.8772976933486571E-3</v>
      </c>
      <c r="F289">
        <v>5397100</v>
      </c>
      <c r="G289">
        <v>503.35</v>
      </c>
      <c r="H289" s="45">
        <f t="shared" si="17"/>
        <v>-7.1992110453648062E-3</v>
      </c>
      <c r="I289">
        <v>2479900</v>
      </c>
      <c r="J289" s="38" t="s">
        <v>318</v>
      </c>
      <c r="K289" s="45">
        <f t="shared" si="18"/>
        <v>-1.0878277796861902E-3</v>
      </c>
    </row>
    <row r="290" spans="1:11" x14ac:dyDescent="0.25">
      <c r="A290" s="8">
        <v>44799</v>
      </c>
      <c r="B290">
        <v>6546.77</v>
      </c>
      <c r="C290">
        <f t="shared" si="16"/>
        <v>3.0105161234972311E-3</v>
      </c>
      <c r="D290" s="35">
        <v>9343.75</v>
      </c>
      <c r="E290" s="45">
        <f t="shared" si="19"/>
        <v>-3.434318655709645E-3</v>
      </c>
      <c r="F290">
        <v>2879500</v>
      </c>
      <c r="G290">
        <v>500.95</v>
      </c>
      <c r="H290" s="45">
        <f t="shared" si="17"/>
        <v>-4.7680540379457792E-3</v>
      </c>
      <c r="I290">
        <v>3679900</v>
      </c>
      <c r="J290" s="38" t="s">
        <v>319</v>
      </c>
      <c r="K290" s="45">
        <f t="shared" si="18"/>
        <v>-1.7194933226342135E-3</v>
      </c>
    </row>
    <row r="291" spans="1:11" x14ac:dyDescent="0.25">
      <c r="A291" s="8">
        <v>44802</v>
      </c>
      <c r="B291">
        <v>6633.3</v>
      </c>
      <c r="C291">
        <f t="shared" si="16"/>
        <v>1.3217204820086703E-2</v>
      </c>
      <c r="D291" s="35">
        <v>9371.5499999999993</v>
      </c>
      <c r="E291" s="45">
        <f t="shared" si="19"/>
        <v>2.975250836120269E-3</v>
      </c>
      <c r="F291">
        <v>3765500</v>
      </c>
      <c r="G291">
        <v>488.65</v>
      </c>
      <c r="H291" s="45">
        <f t="shared" si="17"/>
        <v>-2.4553348637588623E-2</v>
      </c>
      <c r="I291">
        <v>3861000</v>
      </c>
      <c r="J291" s="38" t="s">
        <v>320</v>
      </c>
      <c r="K291" s="45">
        <f t="shared" si="18"/>
        <v>-1.7224550726301913E-2</v>
      </c>
    </row>
    <row r="292" spans="1:11" x14ac:dyDescent="0.25">
      <c r="A292" s="8">
        <v>44803</v>
      </c>
      <c r="B292">
        <v>6616.88</v>
      </c>
      <c r="C292">
        <f t="shared" si="16"/>
        <v>-2.475389323564503E-3</v>
      </c>
      <c r="D292" s="35">
        <v>9258.1</v>
      </c>
      <c r="E292" s="45">
        <f t="shared" si="19"/>
        <v>-1.210578826341413E-2</v>
      </c>
      <c r="F292">
        <v>1634000</v>
      </c>
      <c r="G292">
        <v>501.55</v>
      </c>
      <c r="H292" s="45">
        <f t="shared" si="17"/>
        <v>2.6399263276373652E-2</v>
      </c>
      <c r="I292">
        <v>2098400</v>
      </c>
      <c r="J292" s="38" t="s">
        <v>321</v>
      </c>
      <c r="K292" s="45">
        <f t="shared" si="18"/>
        <v>3.674709353274519E-2</v>
      </c>
    </row>
    <row r="293" spans="1:11" x14ac:dyDescent="0.25">
      <c r="A293" s="8">
        <v>44805</v>
      </c>
      <c r="B293">
        <v>6597.7</v>
      </c>
      <c r="C293">
        <f t="shared" si="16"/>
        <v>-2.898647096516882E-3</v>
      </c>
      <c r="D293" s="35">
        <v>9485.6</v>
      </c>
      <c r="E293" s="45">
        <f t="shared" si="19"/>
        <v>2.4573076549184059E-2</v>
      </c>
      <c r="F293">
        <v>2963200</v>
      </c>
      <c r="G293">
        <v>500.35</v>
      </c>
      <c r="H293" s="45">
        <f t="shared" si="17"/>
        <v>-2.3925829927224918E-3</v>
      </c>
      <c r="I293">
        <v>2032700</v>
      </c>
      <c r="J293" s="38" t="s">
        <v>322</v>
      </c>
      <c r="K293" s="45">
        <f t="shared" si="18"/>
        <v>-1.4594838273413679E-2</v>
      </c>
    </row>
    <row r="294" spans="1:11" x14ac:dyDescent="0.25">
      <c r="A294" s="8">
        <v>44806</v>
      </c>
      <c r="B294">
        <v>6612.7</v>
      </c>
      <c r="C294">
        <f t="shared" si="16"/>
        <v>2.2735195598466706E-3</v>
      </c>
      <c r="D294" s="35">
        <v>9401.9500000000007</v>
      </c>
      <c r="E294" s="45">
        <f t="shared" si="19"/>
        <v>-8.8186303449439007E-3</v>
      </c>
      <c r="F294">
        <v>2561500</v>
      </c>
      <c r="G294">
        <v>499.45</v>
      </c>
      <c r="H294" s="45">
        <f t="shared" si="17"/>
        <v>-1.7987408813830985E-3</v>
      </c>
      <c r="I294">
        <v>2784000</v>
      </c>
      <c r="J294" s="38" t="s">
        <v>323</v>
      </c>
      <c r="K294" s="45">
        <f t="shared" si="18"/>
        <v>-2.2302281694973614E-3</v>
      </c>
    </row>
    <row r="295" spans="1:11" x14ac:dyDescent="0.25">
      <c r="A295" s="8">
        <v>44809</v>
      </c>
      <c r="B295">
        <v>6500.21</v>
      </c>
      <c r="C295">
        <f t="shared" si="16"/>
        <v>-1.7011205710224186E-2</v>
      </c>
      <c r="D295" s="35">
        <v>9393.5</v>
      </c>
      <c r="E295" s="45">
        <f t="shared" si="19"/>
        <v>-8.9874972745018766E-4</v>
      </c>
      <c r="F295">
        <v>2490100</v>
      </c>
      <c r="G295">
        <v>499.3</v>
      </c>
      <c r="H295" s="45">
        <f t="shared" si="17"/>
        <v>-3.0033036339971453E-4</v>
      </c>
      <c r="I295">
        <v>2874300</v>
      </c>
      <c r="J295" s="38" t="s">
        <v>324</v>
      </c>
      <c r="K295" s="45">
        <f t="shared" si="18"/>
        <v>1.1519944979367258E-2</v>
      </c>
    </row>
    <row r="296" spans="1:11" x14ac:dyDescent="0.25">
      <c r="A296" s="8">
        <v>44810</v>
      </c>
      <c r="B296">
        <v>6452.23</v>
      </c>
      <c r="C296">
        <f t="shared" si="16"/>
        <v>-7.3812999887696851E-3</v>
      </c>
      <c r="D296" s="35">
        <v>9446.25</v>
      </c>
      <c r="E296" s="45">
        <f t="shared" si="19"/>
        <v>5.6155852451162946E-3</v>
      </c>
      <c r="F296">
        <v>11778000</v>
      </c>
      <c r="G296">
        <v>499.15</v>
      </c>
      <c r="H296" s="45">
        <f t="shared" si="17"/>
        <v>-3.0042058882440159E-4</v>
      </c>
      <c r="I296">
        <v>3532100</v>
      </c>
      <c r="J296" s="38" t="s">
        <v>325</v>
      </c>
      <c r="K296" s="45">
        <f t="shared" si="18"/>
        <v>1.3598504164540337E-3</v>
      </c>
    </row>
    <row r="297" spans="1:11" x14ac:dyDescent="0.25">
      <c r="A297" s="8">
        <v>44811</v>
      </c>
      <c r="B297">
        <v>6439.42</v>
      </c>
      <c r="C297">
        <f t="shared" si="16"/>
        <v>-1.9853601003063659E-3</v>
      </c>
      <c r="D297" s="35">
        <v>9458.15</v>
      </c>
      <c r="E297" s="45">
        <f t="shared" si="19"/>
        <v>1.2597591636893668E-3</v>
      </c>
      <c r="F297">
        <v>5800900</v>
      </c>
      <c r="G297">
        <v>497.05</v>
      </c>
      <c r="H297" s="45">
        <f t="shared" si="17"/>
        <v>-4.2071521586696248E-3</v>
      </c>
      <c r="I297">
        <v>4879000</v>
      </c>
      <c r="J297" s="38" t="s">
        <v>326</v>
      </c>
      <c r="K297" s="45">
        <f t="shared" si="18"/>
        <v>-8.4309398517511402E-3</v>
      </c>
    </row>
    <row r="298" spans="1:11" x14ac:dyDescent="0.25">
      <c r="A298" s="8">
        <v>44812</v>
      </c>
      <c r="B298">
        <v>6488.75</v>
      </c>
      <c r="C298">
        <f t="shared" si="16"/>
        <v>7.6606278205180178E-3</v>
      </c>
      <c r="D298" s="35">
        <v>9454.2000000000007</v>
      </c>
      <c r="E298" s="45">
        <f t="shared" si="19"/>
        <v>-4.1762924039046023E-4</v>
      </c>
      <c r="F298">
        <v>4917100</v>
      </c>
      <c r="G298">
        <v>514.25</v>
      </c>
      <c r="H298" s="45">
        <f t="shared" si="17"/>
        <v>3.460416457096871E-2</v>
      </c>
      <c r="I298">
        <v>3487200</v>
      </c>
      <c r="J298" s="38" t="s">
        <v>327</v>
      </c>
      <c r="K298" s="45">
        <f t="shared" si="18"/>
        <v>2.5793197900022768E-2</v>
      </c>
    </row>
    <row r="299" spans="1:11" x14ac:dyDescent="0.25">
      <c r="A299" s="8">
        <v>44813</v>
      </c>
      <c r="B299">
        <v>6531.24</v>
      </c>
      <c r="C299">
        <f t="shared" si="16"/>
        <v>6.548256597957991E-3</v>
      </c>
      <c r="D299" s="35">
        <v>9529.2999999999993</v>
      </c>
      <c r="E299" s="45">
        <f t="shared" si="19"/>
        <v>7.9435594762113926E-3</v>
      </c>
      <c r="F299">
        <v>3820100</v>
      </c>
      <c r="G299">
        <v>519.1</v>
      </c>
      <c r="H299" s="45">
        <f t="shared" si="17"/>
        <v>9.431210500729259E-3</v>
      </c>
      <c r="I299">
        <v>3469400</v>
      </c>
      <c r="J299" s="38" t="s">
        <v>328</v>
      </c>
      <c r="K299" s="45">
        <f t="shared" si="18"/>
        <v>2.7258566978194398E-3</v>
      </c>
    </row>
    <row r="300" spans="1:11" x14ac:dyDescent="0.25">
      <c r="A300" s="8">
        <v>44816</v>
      </c>
      <c r="B300">
        <v>6554.02</v>
      </c>
      <c r="C300">
        <f t="shared" si="16"/>
        <v>3.4878522302044246E-3</v>
      </c>
      <c r="D300" s="35">
        <v>9547.15</v>
      </c>
      <c r="E300" s="45">
        <f t="shared" si="19"/>
        <v>1.8731701174272697E-3</v>
      </c>
      <c r="F300">
        <v>3273400</v>
      </c>
      <c r="G300">
        <v>524.6</v>
      </c>
      <c r="H300" s="45">
        <f t="shared" si="17"/>
        <v>1.0595261028703451E-2</v>
      </c>
      <c r="I300">
        <v>2802400</v>
      </c>
      <c r="J300" s="38" t="s">
        <v>329</v>
      </c>
      <c r="K300" s="45">
        <f t="shared" si="18"/>
        <v>6.6019417475728925E-3</v>
      </c>
    </row>
    <row r="301" spans="1:11" x14ac:dyDescent="0.25">
      <c r="A301" s="8">
        <v>44817</v>
      </c>
      <c r="B301">
        <v>6483.09</v>
      </c>
      <c r="C301">
        <f t="shared" si="16"/>
        <v>-1.0822365510022913E-2</v>
      </c>
      <c r="D301" s="35">
        <v>9614.9</v>
      </c>
      <c r="E301" s="45">
        <f t="shared" si="19"/>
        <v>7.0963585991630218E-3</v>
      </c>
      <c r="F301">
        <v>3630000</v>
      </c>
      <c r="G301">
        <v>525.35</v>
      </c>
      <c r="H301" s="45">
        <f t="shared" si="17"/>
        <v>1.4296606938619671E-3</v>
      </c>
      <c r="I301">
        <v>3381200</v>
      </c>
      <c r="J301" s="38" t="s">
        <v>330</v>
      </c>
      <c r="K301" s="45">
        <f t="shared" si="18"/>
        <v>3.0864197530864335E-3</v>
      </c>
    </row>
    <row r="302" spans="1:11" x14ac:dyDescent="0.25">
      <c r="A302" s="8">
        <v>44818</v>
      </c>
      <c r="B302">
        <v>6364.07</v>
      </c>
      <c r="C302">
        <f t="shared" si="16"/>
        <v>-1.8358529651755662E-2</v>
      </c>
      <c r="D302" s="35">
        <v>9677.65</v>
      </c>
      <c r="E302" s="45">
        <f t="shared" si="19"/>
        <v>6.526328926977909E-3</v>
      </c>
      <c r="F302">
        <v>3276800</v>
      </c>
      <c r="G302">
        <v>521.9</v>
      </c>
      <c r="H302" s="45">
        <f t="shared" si="17"/>
        <v>-6.5670505377368737E-3</v>
      </c>
      <c r="I302">
        <v>4474000</v>
      </c>
      <c r="J302" s="38" t="s">
        <v>331</v>
      </c>
      <c r="K302" s="45">
        <f t="shared" si="18"/>
        <v>8.9010989010989139E-3</v>
      </c>
    </row>
    <row r="303" spans="1:11" x14ac:dyDescent="0.25">
      <c r="A303" s="8">
        <v>44819</v>
      </c>
      <c r="B303">
        <v>6251.82</v>
      </c>
      <c r="C303">
        <f t="shared" si="16"/>
        <v>-1.763808380486076E-2</v>
      </c>
      <c r="D303" s="35">
        <v>9651.5</v>
      </c>
      <c r="E303" s="45">
        <f t="shared" si="19"/>
        <v>-2.7021022665626449E-3</v>
      </c>
      <c r="F303">
        <v>4237900</v>
      </c>
      <c r="G303">
        <v>531.20000000000005</v>
      </c>
      <c r="H303" s="45">
        <f t="shared" si="17"/>
        <v>1.7819505652423961E-2</v>
      </c>
      <c r="I303">
        <v>3859300</v>
      </c>
      <c r="J303" s="38" t="s">
        <v>332</v>
      </c>
      <c r="K303" s="45">
        <f t="shared" si="18"/>
        <v>-5.4460298442438049E-4</v>
      </c>
    </row>
    <row r="304" spans="1:11" x14ac:dyDescent="0.25">
      <c r="A304" s="8">
        <v>44820</v>
      </c>
      <c r="B304">
        <v>6300.96</v>
      </c>
      <c r="C304">
        <f t="shared" si="16"/>
        <v>7.8601111356373377E-3</v>
      </c>
      <c r="D304" s="35">
        <v>9616.5</v>
      </c>
      <c r="E304" s="45">
        <f t="shared" si="19"/>
        <v>-3.6263793192767846E-3</v>
      </c>
      <c r="F304">
        <v>2715600</v>
      </c>
      <c r="G304">
        <v>528.6</v>
      </c>
      <c r="H304" s="45">
        <f t="shared" si="17"/>
        <v>-4.8945783132530174E-3</v>
      </c>
      <c r="I304">
        <v>3657700</v>
      </c>
      <c r="J304" s="38" t="s">
        <v>333</v>
      </c>
      <c r="K304" s="45">
        <f t="shared" si="18"/>
        <v>-9.263295553618156E-3</v>
      </c>
    </row>
    <row r="305" spans="1:11" x14ac:dyDescent="0.25">
      <c r="A305" s="8">
        <v>44823</v>
      </c>
      <c r="B305">
        <v>6311.14</v>
      </c>
      <c r="C305">
        <f t="shared" si="16"/>
        <v>1.6156268251188433E-3</v>
      </c>
      <c r="D305" s="35">
        <v>9407.2999999999993</v>
      </c>
      <c r="E305" s="45">
        <f t="shared" si="19"/>
        <v>-2.1754276503925585E-2</v>
      </c>
      <c r="F305">
        <v>2548600</v>
      </c>
      <c r="G305">
        <v>548.65</v>
      </c>
      <c r="H305" s="45">
        <f t="shared" si="17"/>
        <v>3.7930382141505792E-2</v>
      </c>
      <c r="I305">
        <v>3463800</v>
      </c>
      <c r="J305" s="38" t="s">
        <v>334</v>
      </c>
      <c r="K305" s="45">
        <f t="shared" si="18"/>
        <v>-1.0889891101088955E-2</v>
      </c>
    </row>
    <row r="306" spans="1:11" x14ac:dyDescent="0.25">
      <c r="A306" s="8">
        <v>44824</v>
      </c>
      <c r="B306">
        <v>6294.58</v>
      </c>
      <c r="C306">
        <f t="shared" si="16"/>
        <v>-2.6239316510171529E-3</v>
      </c>
      <c r="D306" s="35">
        <v>9447.1</v>
      </c>
      <c r="E306" s="45">
        <f t="shared" si="19"/>
        <v>4.2307569653354804E-3</v>
      </c>
      <c r="F306">
        <v>3771800</v>
      </c>
      <c r="G306">
        <v>550.54999999999995</v>
      </c>
      <c r="H306" s="45">
        <f t="shared" si="17"/>
        <v>3.4630456575228674E-3</v>
      </c>
      <c r="I306">
        <v>2958100</v>
      </c>
      <c r="J306" s="38" t="s">
        <v>335</v>
      </c>
      <c r="K306" s="45">
        <f t="shared" si="18"/>
        <v>1.9517348754448438E-2</v>
      </c>
    </row>
    <row r="307" spans="1:11" x14ac:dyDescent="0.25">
      <c r="A307" s="8">
        <v>44825</v>
      </c>
      <c r="B307">
        <v>6293.34</v>
      </c>
      <c r="C307">
        <f t="shared" si="16"/>
        <v>-1.969948749558359E-4</v>
      </c>
      <c r="D307" s="35">
        <v>9554.7000000000007</v>
      </c>
      <c r="E307" s="45">
        <f t="shared" si="19"/>
        <v>1.1389738649956183E-2</v>
      </c>
      <c r="F307">
        <v>3312300</v>
      </c>
      <c r="G307">
        <v>538.95000000000005</v>
      </c>
      <c r="H307" s="45">
        <f t="shared" si="17"/>
        <v>-2.1069839251657285E-2</v>
      </c>
      <c r="I307">
        <v>3308800</v>
      </c>
      <c r="J307" s="38" t="s">
        <v>336</v>
      </c>
      <c r="K307" s="45">
        <f t="shared" si="18"/>
        <v>-1.636214889555454E-3</v>
      </c>
    </row>
    <row r="308" spans="1:11" x14ac:dyDescent="0.25">
      <c r="A308" s="8">
        <v>44826</v>
      </c>
      <c r="B308">
        <v>6231.19</v>
      </c>
      <c r="C308">
        <f t="shared" si="16"/>
        <v>-9.8755191996618974E-3</v>
      </c>
      <c r="D308" s="35">
        <v>9486.0499999999993</v>
      </c>
      <c r="E308" s="45">
        <f t="shared" si="19"/>
        <v>-7.1849456288529678E-3</v>
      </c>
      <c r="F308">
        <v>2915400</v>
      </c>
      <c r="G308">
        <v>533.45000000000005</v>
      </c>
      <c r="H308" s="45">
        <f t="shared" si="17"/>
        <v>-1.020502829576031E-2</v>
      </c>
      <c r="I308">
        <v>3485600</v>
      </c>
      <c r="J308" s="38" t="s">
        <v>337</v>
      </c>
      <c r="K308" s="45">
        <f t="shared" si="18"/>
        <v>-1.2947282163343399E-2</v>
      </c>
    </row>
    <row r="309" spans="1:11" x14ac:dyDescent="0.25">
      <c r="A309" s="8">
        <v>44827</v>
      </c>
      <c r="B309">
        <v>6276.53</v>
      </c>
      <c r="C309">
        <f t="shared" si="16"/>
        <v>7.2762987487140496E-3</v>
      </c>
      <c r="D309" s="35">
        <v>9462.65</v>
      </c>
      <c r="E309" s="45">
        <f t="shared" si="19"/>
        <v>-2.466780166665794E-3</v>
      </c>
      <c r="F309">
        <v>2440900</v>
      </c>
      <c r="G309">
        <v>530.85</v>
      </c>
      <c r="H309" s="45">
        <f t="shared" si="17"/>
        <v>-4.8739338269754295E-3</v>
      </c>
      <c r="I309">
        <v>3261800</v>
      </c>
      <c r="J309" s="38" t="s">
        <v>338</v>
      </c>
      <c r="K309" s="45">
        <f t="shared" si="18"/>
        <v>-2.3411556342705309E-2</v>
      </c>
    </row>
    <row r="310" spans="1:11" x14ac:dyDescent="0.25">
      <c r="A310" s="8">
        <v>44830</v>
      </c>
      <c r="B310">
        <v>6287.16</v>
      </c>
      <c r="C310">
        <f t="shared" si="16"/>
        <v>1.6936109601961569E-3</v>
      </c>
      <c r="D310" s="35">
        <v>9290.85</v>
      </c>
      <c r="E310" s="45">
        <f t="shared" si="19"/>
        <v>-1.8155590664348686E-2</v>
      </c>
      <c r="F310">
        <v>2865800</v>
      </c>
      <c r="G310">
        <v>515.5</v>
      </c>
      <c r="H310" s="45">
        <f t="shared" si="17"/>
        <v>-2.8915889611001222E-2</v>
      </c>
      <c r="I310">
        <v>2608200</v>
      </c>
      <c r="J310" s="38" t="s">
        <v>339</v>
      </c>
      <c r="K310" s="45">
        <f t="shared" si="18"/>
        <v>-2.4029470104845574E-2</v>
      </c>
    </row>
    <row r="311" spans="1:11" x14ac:dyDescent="0.25">
      <c r="A311" s="8">
        <v>44831</v>
      </c>
      <c r="B311">
        <v>6277.12</v>
      </c>
      <c r="C311">
        <f t="shared" si="16"/>
        <v>-1.5969054390218007E-3</v>
      </c>
      <c r="D311" s="35">
        <v>9095.7000000000007</v>
      </c>
      <c r="E311" s="45">
        <f t="shared" si="19"/>
        <v>-2.1004536721613176E-2</v>
      </c>
      <c r="F311">
        <v>2231600</v>
      </c>
      <c r="G311">
        <v>513.04999999999995</v>
      </c>
      <c r="H311" s="45">
        <f t="shared" si="17"/>
        <v>-4.7526673132881614E-3</v>
      </c>
      <c r="I311">
        <v>2720500</v>
      </c>
      <c r="J311" s="38" t="s">
        <v>340</v>
      </c>
      <c r="K311" s="45">
        <f t="shared" si="18"/>
        <v>-9.8716683119447479E-3</v>
      </c>
    </row>
    <row r="312" spans="1:11" x14ac:dyDescent="0.25">
      <c r="A312" s="8">
        <v>44832</v>
      </c>
      <c r="B312">
        <v>6308.12</v>
      </c>
      <c r="C312">
        <f t="shared" si="16"/>
        <v>4.9385705546491909E-3</v>
      </c>
      <c r="D312" s="35">
        <v>9093.9</v>
      </c>
      <c r="E312" s="45">
        <f t="shared" si="19"/>
        <v>-1.9789570896144859E-4</v>
      </c>
      <c r="F312">
        <v>2562500</v>
      </c>
      <c r="G312">
        <v>511.9</v>
      </c>
      <c r="H312" s="45">
        <f t="shared" si="17"/>
        <v>-2.2414969301237653E-3</v>
      </c>
      <c r="I312">
        <v>3878400</v>
      </c>
      <c r="J312" s="38" t="s">
        <v>341</v>
      </c>
      <c r="K312" s="45">
        <f t="shared" si="18"/>
        <v>-3.5775027857603003E-3</v>
      </c>
    </row>
    <row r="313" spans="1:11" x14ac:dyDescent="0.25">
      <c r="A313" s="8">
        <v>44833</v>
      </c>
      <c r="B313">
        <v>6334.13</v>
      </c>
      <c r="C313">
        <f t="shared" si="16"/>
        <v>4.1232570084273057E-3</v>
      </c>
      <c r="D313" s="35">
        <v>9023.6</v>
      </c>
      <c r="E313" s="45">
        <f t="shared" si="19"/>
        <v>-7.7304566797522511E-3</v>
      </c>
      <c r="F313">
        <v>2998200</v>
      </c>
      <c r="G313">
        <v>506.2</v>
      </c>
      <c r="H313" s="45">
        <f t="shared" si="17"/>
        <v>-1.1134987302207411E-2</v>
      </c>
      <c r="I313">
        <v>2866800</v>
      </c>
      <c r="J313" s="38" t="s">
        <v>342</v>
      </c>
      <c r="K313" s="45">
        <f t="shared" si="18"/>
        <v>-6.5921130076516121E-3</v>
      </c>
    </row>
    <row r="314" spans="1:11" x14ac:dyDescent="0.25">
      <c r="A314" s="8">
        <v>44834</v>
      </c>
      <c r="B314">
        <v>6429.32</v>
      </c>
      <c r="C314">
        <f t="shared" si="16"/>
        <v>1.5028109622000185E-2</v>
      </c>
      <c r="D314" s="35">
        <v>9005.1</v>
      </c>
      <c r="E314" s="45">
        <f t="shared" si="19"/>
        <v>-2.0501795292344749E-3</v>
      </c>
      <c r="F314">
        <v>2879700</v>
      </c>
      <c r="G314">
        <v>523.15</v>
      </c>
      <c r="H314" s="45">
        <f t="shared" si="17"/>
        <v>3.3484788621098271E-2</v>
      </c>
      <c r="I314">
        <v>3037200</v>
      </c>
      <c r="J314" s="38" t="s">
        <v>343</v>
      </c>
      <c r="K314" s="45">
        <f t="shared" si="18"/>
        <v>2.1448038867164287E-2</v>
      </c>
    </row>
    <row r="315" spans="1:11" x14ac:dyDescent="0.25">
      <c r="A315" s="8">
        <v>44837</v>
      </c>
      <c r="B315">
        <v>6435.14</v>
      </c>
      <c r="C315">
        <f t="shared" si="16"/>
        <v>9.0522792457070622E-4</v>
      </c>
      <c r="D315" s="35">
        <v>9147.4500000000007</v>
      </c>
      <c r="E315" s="45">
        <f t="shared" si="19"/>
        <v>1.5807708964920009E-2</v>
      </c>
      <c r="F315">
        <v>2665700</v>
      </c>
      <c r="G315">
        <v>511.75</v>
      </c>
      <c r="H315" s="45">
        <f t="shared" si="17"/>
        <v>-2.1791073305935105E-2</v>
      </c>
      <c r="I315">
        <v>2822900</v>
      </c>
      <c r="J315" s="38" t="s">
        <v>344</v>
      </c>
      <c r="K315" s="45">
        <f t="shared" si="18"/>
        <v>-1.5835266821345728E-2</v>
      </c>
    </row>
    <row r="316" spans="1:11" x14ac:dyDescent="0.25">
      <c r="A316" s="8">
        <v>44838</v>
      </c>
      <c r="B316">
        <v>6492.3</v>
      </c>
      <c r="C316">
        <f t="shared" si="16"/>
        <v>8.8824796352526825E-3</v>
      </c>
      <c r="D316" s="35">
        <v>9019.5</v>
      </c>
      <c r="E316" s="45">
        <f t="shared" si="19"/>
        <v>-1.3987504714428667E-2</v>
      </c>
      <c r="F316">
        <v>3853200</v>
      </c>
      <c r="G316">
        <v>516.25</v>
      </c>
      <c r="H316" s="45">
        <f t="shared" si="17"/>
        <v>8.7933561309232466E-3</v>
      </c>
      <c r="I316">
        <v>3038600</v>
      </c>
      <c r="J316" s="38" t="s">
        <v>345</v>
      </c>
      <c r="K316" s="45">
        <f t="shared" si="18"/>
        <v>2.2750044203453612E-2</v>
      </c>
    </row>
    <row r="317" spans="1:11" x14ac:dyDescent="0.25">
      <c r="A317" s="8">
        <v>44840</v>
      </c>
      <c r="B317">
        <v>6484.72</v>
      </c>
      <c r="C317">
        <f t="shared" si="16"/>
        <v>-1.1675369283612458E-3</v>
      </c>
      <c r="D317" s="35">
        <v>9232.5499999999993</v>
      </c>
      <c r="E317" s="45">
        <f t="shared" si="19"/>
        <v>2.3621043295082744E-2</v>
      </c>
      <c r="F317">
        <v>2848600</v>
      </c>
      <c r="G317">
        <v>517.20000000000005</v>
      </c>
      <c r="H317" s="45">
        <f t="shared" si="17"/>
        <v>1.8401937046006456E-3</v>
      </c>
      <c r="I317">
        <v>1964500</v>
      </c>
      <c r="J317" s="38" t="s">
        <v>346</v>
      </c>
      <c r="K317" s="45">
        <f t="shared" si="18"/>
        <v>2.0515184694289257E-2</v>
      </c>
    </row>
    <row r="318" spans="1:11" x14ac:dyDescent="0.25">
      <c r="A318" s="8">
        <v>44841</v>
      </c>
      <c r="B318">
        <v>6487.25</v>
      </c>
      <c r="C318">
        <f t="shared" si="16"/>
        <v>3.9014791694924611E-4</v>
      </c>
      <c r="D318" s="35">
        <v>9281.25</v>
      </c>
      <c r="E318" s="45">
        <f t="shared" si="19"/>
        <v>5.2748157334647772E-3</v>
      </c>
      <c r="F318">
        <v>2078300</v>
      </c>
      <c r="G318">
        <v>518.15</v>
      </c>
      <c r="H318" s="45">
        <f t="shared" si="17"/>
        <v>1.8368136117554723E-3</v>
      </c>
      <c r="I318">
        <v>2569800</v>
      </c>
      <c r="J318" s="38" t="s">
        <v>347</v>
      </c>
      <c r="K318" s="45">
        <f t="shared" si="18"/>
        <v>-3.2751708170987159E-3</v>
      </c>
    </row>
    <row r="319" spans="1:11" x14ac:dyDescent="0.25">
      <c r="A319" s="8">
        <v>44844</v>
      </c>
      <c r="B319">
        <v>6506.34</v>
      </c>
      <c r="C319">
        <f t="shared" si="16"/>
        <v>2.9426952869089362E-3</v>
      </c>
      <c r="D319" s="35">
        <v>9268.6</v>
      </c>
      <c r="E319" s="45">
        <f t="shared" si="19"/>
        <v>-1.3629629629628992E-3</v>
      </c>
      <c r="F319">
        <v>2214900</v>
      </c>
      <c r="G319">
        <v>510.85</v>
      </c>
      <c r="H319" s="45">
        <f t="shared" si="17"/>
        <v>-1.4088584386760528E-2</v>
      </c>
      <c r="I319">
        <v>2729800</v>
      </c>
      <c r="J319" s="38" t="s">
        <v>348</v>
      </c>
      <c r="K319" s="45">
        <f t="shared" si="18"/>
        <v>-9.0646422299012208E-4</v>
      </c>
    </row>
    <row r="320" spans="1:11" x14ac:dyDescent="0.25">
      <c r="A320" s="8">
        <v>44845</v>
      </c>
      <c r="B320">
        <v>6456.71</v>
      </c>
      <c r="C320">
        <f t="shared" si="16"/>
        <v>-7.6279444357350012E-3</v>
      </c>
      <c r="D320" s="35">
        <v>9216.75</v>
      </c>
      <c r="E320" s="45">
        <f t="shared" si="19"/>
        <v>-5.5941566148069999E-3</v>
      </c>
      <c r="F320">
        <v>2273200</v>
      </c>
      <c r="G320">
        <v>502.95</v>
      </c>
      <c r="H320" s="45">
        <f t="shared" si="17"/>
        <v>-1.5464422041695292E-2</v>
      </c>
      <c r="I320">
        <v>2111000</v>
      </c>
      <c r="J320" s="38" t="s">
        <v>349</v>
      </c>
      <c r="K320" s="45">
        <f t="shared" si="18"/>
        <v>-1.2645307626878322E-2</v>
      </c>
    </row>
    <row r="321" spans="1:11" x14ac:dyDescent="0.25">
      <c r="A321" s="8">
        <v>44846</v>
      </c>
      <c r="B321">
        <v>6503.88</v>
      </c>
      <c r="C321">
        <f t="shared" si="16"/>
        <v>7.3055782279209946E-3</v>
      </c>
      <c r="D321" s="35">
        <v>9073.7999999999993</v>
      </c>
      <c r="E321" s="45">
        <f t="shared" si="19"/>
        <v>-1.5509805517129216E-2</v>
      </c>
      <c r="F321">
        <v>2854400</v>
      </c>
      <c r="G321">
        <v>497.65</v>
      </c>
      <c r="H321" s="45">
        <f t="shared" si="17"/>
        <v>-1.0537826821751639E-2</v>
      </c>
      <c r="I321">
        <v>2208900</v>
      </c>
      <c r="J321" s="38" t="s">
        <v>350</v>
      </c>
      <c r="K321" s="45">
        <f t="shared" si="18"/>
        <v>-2.5844245348035644E-3</v>
      </c>
    </row>
    <row r="322" spans="1:11" x14ac:dyDescent="0.25">
      <c r="A322" s="8">
        <v>44847</v>
      </c>
      <c r="B322">
        <v>6610.89</v>
      </c>
      <c r="C322">
        <f t="shared" si="16"/>
        <v>1.6453255595121785E-2</v>
      </c>
      <c r="D322" s="35">
        <v>9143.9</v>
      </c>
      <c r="E322" s="45">
        <f t="shared" si="19"/>
        <v>7.7255394652737674E-3</v>
      </c>
      <c r="F322">
        <v>3429800</v>
      </c>
      <c r="G322">
        <v>504.05</v>
      </c>
      <c r="H322" s="45">
        <f t="shared" si="17"/>
        <v>1.2860444087209988E-2</v>
      </c>
      <c r="I322">
        <v>2208500</v>
      </c>
      <c r="J322" s="38" t="s">
        <v>351</v>
      </c>
      <c r="K322" s="45">
        <f t="shared" si="18"/>
        <v>-1.6986238267979514E-2</v>
      </c>
    </row>
    <row r="323" spans="1:11" x14ac:dyDescent="0.25">
      <c r="A323" s="8">
        <v>44848</v>
      </c>
      <c r="B323">
        <v>6603.42</v>
      </c>
      <c r="C323">
        <f t="shared" si="16"/>
        <v>-1.129953758117308E-3</v>
      </c>
      <c r="D323" s="35">
        <v>9080.35</v>
      </c>
      <c r="E323" s="45">
        <f t="shared" si="19"/>
        <v>-6.9499885169347353E-3</v>
      </c>
      <c r="F323">
        <v>2828000</v>
      </c>
      <c r="G323">
        <v>507.95</v>
      </c>
      <c r="H323" s="45">
        <f t="shared" si="17"/>
        <v>7.7373276460668272E-3</v>
      </c>
      <c r="I323">
        <v>3042800</v>
      </c>
      <c r="J323" s="38" t="s">
        <v>352</v>
      </c>
      <c r="K323" s="45">
        <f t="shared" si="18"/>
        <v>1.9505623242736636E-2</v>
      </c>
    </row>
    <row r="324" spans="1:11" x14ac:dyDescent="0.25">
      <c r="A324" s="8">
        <v>44851</v>
      </c>
      <c r="B324">
        <v>6525.52</v>
      </c>
      <c r="C324">
        <f t="shared" ref="C324:C387" si="20">B324/B323-1</f>
        <v>-1.1796917354946368E-2</v>
      </c>
      <c r="D324" s="35">
        <v>9139.1</v>
      </c>
      <c r="E324" s="45">
        <f t="shared" si="19"/>
        <v>6.4700149223322345E-3</v>
      </c>
      <c r="F324">
        <v>2170400</v>
      </c>
      <c r="G324">
        <v>520.6</v>
      </c>
      <c r="H324" s="45">
        <f t="shared" ref="H324:H387" si="21">G324/G323-1</f>
        <v>2.4904025986809852E-2</v>
      </c>
      <c r="I324">
        <v>2600100</v>
      </c>
      <c r="J324" s="38" t="s">
        <v>353</v>
      </c>
      <c r="K324" s="45">
        <f t="shared" ref="K324:K387" si="22">J324/J323-1</f>
        <v>1.7178971559896672E-2</v>
      </c>
    </row>
    <row r="325" spans="1:11" x14ac:dyDescent="0.25">
      <c r="A325" s="8">
        <v>44852</v>
      </c>
      <c r="B325">
        <v>6556.97</v>
      </c>
      <c r="C325">
        <f t="shared" si="20"/>
        <v>4.8195392857579566E-3</v>
      </c>
      <c r="D325" s="35">
        <v>9199.35</v>
      </c>
      <c r="E325" s="45">
        <f t="shared" ref="E325:E388" si="23">D325/D324-1</f>
        <v>6.5925528771979547E-3</v>
      </c>
      <c r="F325">
        <v>2162300</v>
      </c>
      <c r="G325">
        <v>522.35</v>
      </c>
      <c r="H325" s="45">
        <f t="shared" si="21"/>
        <v>3.3615059546676651E-3</v>
      </c>
      <c r="I325">
        <v>3029700</v>
      </c>
      <c r="J325" s="38" t="s">
        <v>354</v>
      </c>
      <c r="K325" s="45">
        <f t="shared" si="22"/>
        <v>1.3217352010844952E-2</v>
      </c>
    </row>
    <row r="326" spans="1:11" x14ac:dyDescent="0.25">
      <c r="A326" s="8">
        <v>44853</v>
      </c>
      <c r="B326">
        <v>6465.21</v>
      </c>
      <c r="C326">
        <f t="shared" si="20"/>
        <v>-1.3994268694229262E-2</v>
      </c>
      <c r="D326" s="35">
        <v>9294.85</v>
      </c>
      <c r="E326" s="45">
        <f t="shared" si="23"/>
        <v>1.0381168234712135E-2</v>
      </c>
      <c r="F326">
        <v>2005300</v>
      </c>
      <c r="G326">
        <v>511.25</v>
      </c>
      <c r="H326" s="45">
        <f t="shared" si="21"/>
        <v>-2.1250119651574639E-2</v>
      </c>
      <c r="I326">
        <v>2422600</v>
      </c>
      <c r="J326" s="38" t="s">
        <v>355</v>
      </c>
      <c r="K326" s="45">
        <f t="shared" si="22"/>
        <v>-5.3517671981268E-3</v>
      </c>
    </row>
    <row r="327" spans="1:11" x14ac:dyDescent="0.25">
      <c r="A327" s="8">
        <v>44854</v>
      </c>
      <c r="B327">
        <v>6526.03</v>
      </c>
      <c r="C327">
        <f t="shared" si="20"/>
        <v>9.4072737003128015E-3</v>
      </c>
      <c r="D327" s="35">
        <v>9304.7000000000007</v>
      </c>
      <c r="E327" s="45">
        <f t="shared" si="23"/>
        <v>1.0597266228073998E-3</v>
      </c>
      <c r="F327">
        <v>2043200</v>
      </c>
      <c r="G327">
        <v>506.7</v>
      </c>
      <c r="H327" s="45">
        <f t="shared" si="21"/>
        <v>-8.8997555012224616E-3</v>
      </c>
      <c r="I327">
        <v>3368200</v>
      </c>
      <c r="J327" s="38" t="s">
        <v>356</v>
      </c>
      <c r="K327" s="45">
        <f t="shared" si="22"/>
        <v>-3.8672794529761578E-3</v>
      </c>
    </row>
    <row r="328" spans="1:11" x14ac:dyDescent="0.25">
      <c r="A328" s="8">
        <v>44855</v>
      </c>
      <c r="B328">
        <v>6535.37</v>
      </c>
      <c r="C328">
        <f t="shared" si="20"/>
        <v>1.4311917046045952E-3</v>
      </c>
      <c r="D328" s="35">
        <v>9334.9</v>
      </c>
      <c r="E328" s="45">
        <f t="shared" si="23"/>
        <v>3.2456715423387905E-3</v>
      </c>
      <c r="F328">
        <v>1691800</v>
      </c>
      <c r="G328">
        <v>502.1</v>
      </c>
      <c r="H328" s="45">
        <f t="shared" si="21"/>
        <v>-9.0783501085454077E-3</v>
      </c>
      <c r="I328">
        <v>1804500</v>
      </c>
      <c r="J328" s="38" t="s">
        <v>357</v>
      </c>
      <c r="K328" s="45">
        <f t="shared" si="22"/>
        <v>2.0818094862994352E-2</v>
      </c>
    </row>
    <row r="329" spans="1:11" x14ac:dyDescent="0.25">
      <c r="A329" s="8">
        <v>44858</v>
      </c>
      <c r="B329">
        <v>6546.01</v>
      </c>
      <c r="C329">
        <f t="shared" si="20"/>
        <v>1.6280639045684886E-3</v>
      </c>
      <c r="D329" s="35">
        <v>9317.35</v>
      </c>
      <c r="E329" s="45">
        <f t="shared" si="23"/>
        <v>-1.880041564451651E-3</v>
      </c>
      <c r="F329">
        <v>1807400</v>
      </c>
      <c r="G329">
        <v>509.95</v>
      </c>
      <c r="H329" s="45">
        <f t="shared" si="21"/>
        <v>1.5634335789683318E-2</v>
      </c>
      <c r="I329">
        <v>2825100</v>
      </c>
      <c r="J329" s="38" t="s">
        <v>358</v>
      </c>
      <c r="K329" s="45">
        <f t="shared" si="22"/>
        <v>2.1110069999448866E-2</v>
      </c>
    </row>
    <row r="330" spans="1:11" x14ac:dyDescent="0.25">
      <c r="A330" s="8">
        <v>44859</v>
      </c>
      <c r="B330">
        <v>6566.58</v>
      </c>
      <c r="C330">
        <f t="shared" si="20"/>
        <v>3.1423722236905149E-3</v>
      </c>
      <c r="D330" s="35">
        <v>9388.35</v>
      </c>
      <c r="E330" s="45">
        <f t="shared" si="23"/>
        <v>7.6201924366907647E-3</v>
      </c>
      <c r="F330">
        <v>3533500</v>
      </c>
      <c r="G330">
        <v>509.6</v>
      </c>
      <c r="H330" s="45">
        <f t="shared" si="21"/>
        <v>-6.8634179821547292E-4</v>
      </c>
      <c r="I330">
        <v>10164000</v>
      </c>
      <c r="J330" s="38" t="s">
        <v>359</v>
      </c>
      <c r="K330" s="45">
        <f t="shared" si="22"/>
        <v>-1.3494548202526158E-3</v>
      </c>
    </row>
    <row r="331" spans="1:11" x14ac:dyDescent="0.25">
      <c r="A331" s="8">
        <v>44861</v>
      </c>
      <c r="B331">
        <v>6545.16</v>
      </c>
      <c r="C331">
        <f t="shared" si="20"/>
        <v>-3.2619719854171114E-3</v>
      </c>
      <c r="D331" s="35">
        <v>9364.5</v>
      </c>
      <c r="E331" s="45">
        <f t="shared" si="23"/>
        <v>-2.5403824953267318E-3</v>
      </c>
      <c r="F331">
        <v>2608100</v>
      </c>
      <c r="G331">
        <v>517.1</v>
      </c>
      <c r="H331" s="45">
        <f t="shared" si="21"/>
        <v>1.4717425431711062E-2</v>
      </c>
      <c r="I331">
        <v>6349800</v>
      </c>
      <c r="J331" s="38" t="s">
        <v>360</v>
      </c>
      <c r="K331" s="45">
        <f t="shared" si="22"/>
        <v>-7.0266472082591847E-4</v>
      </c>
    </row>
    <row r="332" spans="1:11" x14ac:dyDescent="0.25">
      <c r="A332" s="8">
        <v>44862</v>
      </c>
      <c r="B332">
        <v>6553.81</v>
      </c>
      <c r="C332">
        <f t="shared" si="20"/>
        <v>1.3215872492040592E-3</v>
      </c>
      <c r="D332" s="35">
        <v>9418.2000000000007</v>
      </c>
      <c r="E332" s="45">
        <f t="shared" si="23"/>
        <v>5.7344225532596216E-3</v>
      </c>
      <c r="F332">
        <v>2626400</v>
      </c>
      <c r="G332">
        <v>514.54999999999995</v>
      </c>
      <c r="H332" s="45">
        <f t="shared" si="21"/>
        <v>-4.9313479017599748E-3</v>
      </c>
      <c r="I332">
        <v>6559100</v>
      </c>
      <c r="J332" s="38" t="s">
        <v>361</v>
      </c>
      <c r="K332" s="45">
        <f t="shared" si="22"/>
        <v>-1.7903504976200746E-2</v>
      </c>
    </row>
    <row r="333" spans="1:11" x14ac:dyDescent="0.25">
      <c r="A333" s="8">
        <v>44865</v>
      </c>
      <c r="B333">
        <v>6602.34</v>
      </c>
      <c r="C333">
        <f t="shared" si="20"/>
        <v>7.4048530549404301E-3</v>
      </c>
      <c r="D333" s="35">
        <v>9424.5499999999993</v>
      </c>
      <c r="E333" s="45">
        <f t="shared" si="23"/>
        <v>6.7422649763204667E-4</v>
      </c>
      <c r="F333">
        <v>3957900</v>
      </c>
      <c r="G333">
        <v>516.35</v>
      </c>
      <c r="H333" s="45">
        <f t="shared" si="21"/>
        <v>3.4982023127005935E-3</v>
      </c>
      <c r="I333">
        <v>5269600</v>
      </c>
      <c r="J333" s="38" t="s">
        <v>362</v>
      </c>
      <c r="K333" s="45">
        <f t="shared" si="22"/>
        <v>9.3627801949658362E-4</v>
      </c>
    </row>
    <row r="334" spans="1:11" x14ac:dyDescent="0.25">
      <c r="A334" s="8">
        <v>44866</v>
      </c>
      <c r="B334">
        <v>6597.56</v>
      </c>
      <c r="C334">
        <f t="shared" si="20"/>
        <v>-7.239857383897208E-4</v>
      </c>
      <c r="D334" s="35">
        <v>9544.4</v>
      </c>
      <c r="E334" s="45">
        <f t="shared" si="23"/>
        <v>1.2716787538927576E-2</v>
      </c>
      <c r="F334">
        <v>1795900</v>
      </c>
      <c r="G334">
        <v>514.15</v>
      </c>
      <c r="H334" s="45">
        <f t="shared" si="21"/>
        <v>-4.2606758981311721E-3</v>
      </c>
      <c r="I334">
        <v>5925800</v>
      </c>
      <c r="J334" s="38" t="s">
        <v>363</v>
      </c>
      <c r="K334" s="45">
        <f t="shared" si="22"/>
        <v>-1.1004732034780584E-4</v>
      </c>
    </row>
    <row r="335" spans="1:11" x14ac:dyDescent="0.25">
      <c r="A335" s="8">
        <v>44867</v>
      </c>
      <c r="B335">
        <v>6571.2</v>
      </c>
      <c r="C335">
        <f t="shared" si="20"/>
        <v>-3.9954164873075015E-3</v>
      </c>
      <c r="D335" s="35">
        <v>9618.7999999999993</v>
      </c>
      <c r="E335" s="45">
        <f t="shared" si="23"/>
        <v>7.7951468924184475E-3</v>
      </c>
      <c r="F335">
        <v>4668400</v>
      </c>
      <c r="G335">
        <v>515.1</v>
      </c>
      <c r="H335" s="45">
        <f t="shared" si="21"/>
        <v>1.8477098123117486E-3</v>
      </c>
      <c r="I335">
        <v>11565700</v>
      </c>
      <c r="J335" s="38" t="s">
        <v>364</v>
      </c>
      <c r="K335" s="45">
        <f t="shared" si="22"/>
        <v>-4.2923178516398597E-3</v>
      </c>
    </row>
    <row r="336" spans="1:11" x14ac:dyDescent="0.25">
      <c r="A336" s="8">
        <v>44868</v>
      </c>
      <c r="B336">
        <v>6571.58</v>
      </c>
      <c r="C336">
        <f t="shared" si="20"/>
        <v>5.7828098368739589E-5</v>
      </c>
      <c r="D336" s="35">
        <v>9590.0499999999993</v>
      </c>
      <c r="E336" s="45">
        <f t="shared" si="23"/>
        <v>-2.9889383291055172E-3</v>
      </c>
      <c r="F336">
        <v>3951800</v>
      </c>
      <c r="G336">
        <v>521.85</v>
      </c>
      <c r="H336" s="45">
        <f t="shared" si="21"/>
        <v>1.3104251601630645E-2</v>
      </c>
      <c r="I336">
        <v>6293000</v>
      </c>
      <c r="J336" s="38" t="s">
        <v>365</v>
      </c>
      <c r="K336" s="45">
        <f t="shared" si="22"/>
        <v>4.3660882060350126E-3</v>
      </c>
    </row>
    <row r="337" spans="1:11" x14ac:dyDescent="0.25">
      <c r="A337" s="8">
        <v>44869</v>
      </c>
      <c r="B337">
        <v>6574.52</v>
      </c>
      <c r="C337">
        <f t="shared" si="20"/>
        <v>4.473809951337504E-4</v>
      </c>
      <c r="D337" s="35">
        <v>9582.75</v>
      </c>
      <c r="E337" s="45">
        <f t="shared" si="23"/>
        <v>-7.6120562457959728E-4</v>
      </c>
      <c r="F337">
        <v>3009800</v>
      </c>
      <c r="G337">
        <v>534.6</v>
      </c>
      <c r="H337" s="45">
        <f t="shared" si="21"/>
        <v>2.4432308134521463E-2</v>
      </c>
      <c r="I337">
        <v>4690400</v>
      </c>
      <c r="J337" s="38" t="s">
        <v>366</v>
      </c>
      <c r="K337" s="45">
        <f t="shared" si="22"/>
        <v>-3.6867880922247798E-3</v>
      </c>
    </row>
    <row r="338" spans="1:11" x14ac:dyDescent="0.25">
      <c r="A338" s="8">
        <v>44872</v>
      </c>
      <c r="B338">
        <v>6602.99</v>
      </c>
      <c r="C338">
        <f t="shared" si="20"/>
        <v>4.3303541551320546E-3</v>
      </c>
      <c r="D338" s="35">
        <v>9608.9500000000007</v>
      </c>
      <c r="E338" s="45">
        <f t="shared" si="23"/>
        <v>2.7340794657066958E-3</v>
      </c>
      <c r="F338">
        <v>2790900</v>
      </c>
      <c r="G338">
        <v>548.54999999999995</v>
      </c>
      <c r="H338" s="45">
        <f t="shared" si="21"/>
        <v>2.6094276094275948E-2</v>
      </c>
      <c r="I338">
        <v>6479800</v>
      </c>
      <c r="J338" s="38" t="s">
        <v>367</v>
      </c>
      <c r="K338" s="45">
        <f t="shared" si="22"/>
        <v>1.3476195736220165E-2</v>
      </c>
    </row>
    <row r="339" spans="1:11" x14ac:dyDescent="0.25">
      <c r="A339" s="8">
        <v>44874</v>
      </c>
      <c r="B339">
        <v>6544.76</v>
      </c>
      <c r="C339">
        <f t="shared" si="20"/>
        <v>-8.8187321198426316E-3</v>
      </c>
      <c r="D339" s="35">
        <v>9659.35</v>
      </c>
      <c r="E339" s="45">
        <f t="shared" si="23"/>
        <v>5.2451100276305063E-3</v>
      </c>
      <c r="F339">
        <v>3022500</v>
      </c>
      <c r="G339">
        <v>541.25</v>
      </c>
      <c r="H339" s="45">
        <f t="shared" si="21"/>
        <v>-1.3307811503053379E-2</v>
      </c>
      <c r="I339">
        <v>6696900</v>
      </c>
      <c r="J339" s="38" t="s">
        <v>368</v>
      </c>
      <c r="K339" s="45">
        <f t="shared" si="22"/>
        <v>-7.629427792915533E-3</v>
      </c>
    </row>
    <row r="340" spans="1:11" x14ac:dyDescent="0.25">
      <c r="A340" s="8">
        <v>44875</v>
      </c>
      <c r="B340">
        <v>6542.36</v>
      </c>
      <c r="C340">
        <f t="shared" si="20"/>
        <v>-3.6670557820306371E-4</v>
      </c>
      <c r="D340" s="35">
        <v>9630.15</v>
      </c>
      <c r="E340" s="45">
        <f t="shared" si="23"/>
        <v>-3.0229777365972099E-3</v>
      </c>
      <c r="F340">
        <v>1545300</v>
      </c>
      <c r="G340">
        <v>540.75</v>
      </c>
      <c r="H340" s="45">
        <f t="shared" si="21"/>
        <v>-9.2378752886834725E-4</v>
      </c>
      <c r="I340">
        <v>4263200</v>
      </c>
      <c r="J340" s="38" t="s">
        <v>369</v>
      </c>
      <c r="K340" s="45">
        <f t="shared" si="22"/>
        <v>2.1965952773217445E-4</v>
      </c>
    </row>
    <row r="341" spans="1:11" x14ac:dyDescent="0.25">
      <c r="A341" s="8">
        <v>44876</v>
      </c>
      <c r="B341">
        <v>6497.53</v>
      </c>
      <c r="C341">
        <f t="shared" si="20"/>
        <v>-6.852267377521204E-3</v>
      </c>
      <c r="D341" s="35">
        <v>9552.4</v>
      </c>
      <c r="E341" s="45">
        <f t="shared" si="23"/>
        <v>-8.0736021764977739E-3</v>
      </c>
      <c r="F341">
        <v>2921700</v>
      </c>
      <c r="G341">
        <v>562.75</v>
      </c>
      <c r="H341" s="45">
        <f t="shared" si="21"/>
        <v>4.0684234858992196E-2</v>
      </c>
      <c r="I341">
        <v>5243300</v>
      </c>
      <c r="J341" s="38" t="s">
        <v>370</v>
      </c>
      <c r="K341" s="45">
        <f t="shared" si="22"/>
        <v>-4.5569342264193402E-3</v>
      </c>
    </row>
    <row r="342" spans="1:11" x14ac:dyDescent="0.25">
      <c r="A342" s="8">
        <v>44879</v>
      </c>
      <c r="B342">
        <v>6518.71</v>
      </c>
      <c r="C342">
        <f t="shared" si="20"/>
        <v>3.2597002245469131E-3</v>
      </c>
      <c r="D342" s="35">
        <v>9693.1</v>
      </c>
      <c r="E342" s="45">
        <f t="shared" si="23"/>
        <v>1.4729282693354717E-2</v>
      </c>
      <c r="F342">
        <v>3140600</v>
      </c>
      <c r="G342">
        <v>567.4</v>
      </c>
      <c r="H342" s="45">
        <f t="shared" si="21"/>
        <v>8.2629942247889332E-3</v>
      </c>
      <c r="I342">
        <v>4357900</v>
      </c>
      <c r="J342" s="38" t="s">
        <v>371</v>
      </c>
      <c r="K342" s="45">
        <f t="shared" si="22"/>
        <v>-1.2795764160829393E-2</v>
      </c>
    </row>
    <row r="343" spans="1:11" x14ac:dyDescent="0.25">
      <c r="A343" s="8">
        <v>44880</v>
      </c>
      <c r="B343">
        <v>6473.58</v>
      </c>
      <c r="C343">
        <f t="shared" si="20"/>
        <v>-6.9231489052281603E-3</v>
      </c>
      <c r="D343" s="35">
        <v>9691.5</v>
      </c>
      <c r="E343" s="45">
        <f t="shared" si="23"/>
        <v>-1.6506587159936803E-4</v>
      </c>
      <c r="F343">
        <v>1887700</v>
      </c>
      <c r="G343">
        <v>557.5</v>
      </c>
      <c r="H343" s="45">
        <f t="shared" si="21"/>
        <v>-1.7448008459640452E-2</v>
      </c>
      <c r="I343">
        <v>5239600</v>
      </c>
      <c r="J343" s="38" t="s">
        <v>372</v>
      </c>
      <c r="K343" s="45">
        <f t="shared" si="22"/>
        <v>1.8716129392703396E-2</v>
      </c>
    </row>
    <row r="344" spans="1:11" x14ac:dyDescent="0.25">
      <c r="A344" s="8">
        <v>44881</v>
      </c>
      <c r="B344">
        <v>6500.4</v>
      </c>
      <c r="C344">
        <f t="shared" si="20"/>
        <v>4.1429935213590507E-3</v>
      </c>
      <c r="D344" s="35">
        <v>9722.2999999999993</v>
      </c>
      <c r="E344" s="45">
        <f t="shared" si="23"/>
        <v>3.1780426146623686E-3</v>
      </c>
      <c r="F344">
        <v>1945600</v>
      </c>
      <c r="G344">
        <v>550.15</v>
      </c>
      <c r="H344" s="45">
        <f t="shared" si="21"/>
        <v>-1.3183856502242186E-2</v>
      </c>
      <c r="I344">
        <v>4057700</v>
      </c>
      <c r="J344" s="38" t="s">
        <v>373</v>
      </c>
      <c r="K344" s="45">
        <f t="shared" si="22"/>
        <v>2.0840188658550751E-3</v>
      </c>
    </row>
    <row r="345" spans="1:11" x14ac:dyDescent="0.25">
      <c r="A345" s="8">
        <v>44882</v>
      </c>
      <c r="B345">
        <v>6503.78</v>
      </c>
      <c r="C345">
        <f t="shared" si="20"/>
        <v>5.1996800196918436E-4</v>
      </c>
      <c r="D345" s="35">
        <v>9705.25</v>
      </c>
      <c r="E345" s="45">
        <f t="shared" si="23"/>
        <v>-1.7537002561122117E-3</v>
      </c>
      <c r="F345">
        <v>1544800</v>
      </c>
      <c r="G345">
        <v>545.04999999999995</v>
      </c>
      <c r="H345" s="45">
        <f t="shared" si="21"/>
        <v>-9.2701990366264031E-3</v>
      </c>
      <c r="I345">
        <v>4926100</v>
      </c>
      <c r="J345" s="38" t="s">
        <v>374</v>
      </c>
      <c r="K345" s="45">
        <f t="shared" si="22"/>
        <v>6.7863397548160176E-3</v>
      </c>
    </row>
    <row r="346" spans="1:11" x14ac:dyDescent="0.25">
      <c r="A346" s="8">
        <v>44883</v>
      </c>
      <c r="B346">
        <v>6504.6</v>
      </c>
      <c r="C346">
        <f t="shared" si="20"/>
        <v>1.2608052547902204E-4</v>
      </c>
      <c r="D346" s="35">
        <v>9662.5</v>
      </c>
      <c r="E346" s="45">
        <f t="shared" si="23"/>
        <v>-4.4048324360526081E-3</v>
      </c>
      <c r="F346">
        <v>1644300</v>
      </c>
      <c r="G346">
        <v>540.70000000000005</v>
      </c>
      <c r="H346" s="45">
        <f t="shared" si="21"/>
        <v>-7.9809191817262759E-3</v>
      </c>
      <c r="I346">
        <v>3522800</v>
      </c>
      <c r="J346" s="38" t="s">
        <v>375</v>
      </c>
      <c r="K346" s="45">
        <f t="shared" si="22"/>
        <v>5.9795607740831258E-4</v>
      </c>
    </row>
    <row r="347" spans="1:11" x14ac:dyDescent="0.25">
      <c r="A347" s="8">
        <v>44886</v>
      </c>
      <c r="B347">
        <v>6488.8</v>
      </c>
      <c r="C347">
        <f t="shared" si="20"/>
        <v>-2.4290502106202316E-3</v>
      </c>
      <c r="D347" s="35">
        <v>9634</v>
      </c>
      <c r="E347" s="45">
        <f t="shared" si="23"/>
        <v>-2.949547218628723E-3</v>
      </c>
      <c r="F347">
        <v>1934800</v>
      </c>
      <c r="G347">
        <v>530.79999999999995</v>
      </c>
      <c r="H347" s="45">
        <f t="shared" si="21"/>
        <v>-1.830959866839299E-2</v>
      </c>
      <c r="I347">
        <v>4814500</v>
      </c>
      <c r="J347" s="38" t="s">
        <v>376</v>
      </c>
      <c r="K347" s="45">
        <f t="shared" si="22"/>
        <v>1.1408703210733506E-3</v>
      </c>
    </row>
    <row r="348" spans="1:11" x14ac:dyDescent="0.25">
      <c r="A348" s="8">
        <v>44887</v>
      </c>
      <c r="B348">
        <v>6457.12</v>
      </c>
      <c r="C348">
        <f t="shared" si="20"/>
        <v>-4.8822586610776098E-3</v>
      </c>
      <c r="D348" s="35">
        <v>9565.5499999999993</v>
      </c>
      <c r="E348" s="45">
        <f t="shared" si="23"/>
        <v>-7.105044633589408E-3</v>
      </c>
      <c r="F348">
        <v>2508200</v>
      </c>
      <c r="G348">
        <v>525.75</v>
      </c>
      <c r="H348" s="45">
        <f t="shared" si="21"/>
        <v>-9.5139412207987384E-3</v>
      </c>
      <c r="I348">
        <v>5542500</v>
      </c>
      <c r="J348" s="38" t="s">
        <v>377</v>
      </c>
      <c r="K348" s="45">
        <f t="shared" si="22"/>
        <v>2.4962014326026516E-3</v>
      </c>
    </row>
    <row r="349" spans="1:11" x14ac:dyDescent="0.25">
      <c r="A349" s="8">
        <v>44888</v>
      </c>
      <c r="B349">
        <v>6456.02</v>
      </c>
      <c r="C349">
        <f t="shared" si="20"/>
        <v>-1.7035458532588255E-4</v>
      </c>
      <c r="D349" s="35">
        <v>9605.35</v>
      </c>
      <c r="E349" s="45">
        <f t="shared" si="23"/>
        <v>4.1607644097831908E-3</v>
      </c>
      <c r="F349">
        <v>2621900</v>
      </c>
      <c r="G349">
        <v>524</v>
      </c>
      <c r="H349" s="45">
        <f t="shared" si="21"/>
        <v>-3.3285782215881632E-3</v>
      </c>
      <c r="I349">
        <v>5550300</v>
      </c>
      <c r="J349" s="38" t="s">
        <v>378</v>
      </c>
      <c r="K349" s="45">
        <f t="shared" si="22"/>
        <v>4.0597596622280463E-3</v>
      </c>
    </row>
    <row r="350" spans="1:11" x14ac:dyDescent="0.25">
      <c r="A350" s="8">
        <v>44889</v>
      </c>
      <c r="B350">
        <v>6446.66</v>
      </c>
      <c r="C350">
        <f t="shared" si="20"/>
        <v>-1.4498096350383793E-3</v>
      </c>
      <c r="D350" s="35">
        <v>9620.4500000000007</v>
      </c>
      <c r="E350" s="45">
        <f t="shared" si="23"/>
        <v>1.5720405815509153E-3</v>
      </c>
      <c r="F350">
        <v>2513800</v>
      </c>
      <c r="G350">
        <v>519.20000000000005</v>
      </c>
      <c r="H350" s="45">
        <f t="shared" si="21"/>
        <v>-9.1603053435113102E-3</v>
      </c>
      <c r="I350">
        <v>4469000</v>
      </c>
      <c r="J350" s="38" t="s">
        <v>379</v>
      </c>
      <c r="K350" s="45">
        <f t="shared" si="22"/>
        <v>1.2291767750282956E-2</v>
      </c>
    </row>
    <row r="351" spans="1:11" x14ac:dyDescent="0.25">
      <c r="A351" s="8">
        <v>44890</v>
      </c>
      <c r="B351">
        <v>6473.03</v>
      </c>
      <c r="C351">
        <f t="shared" si="20"/>
        <v>4.0904902693796874E-3</v>
      </c>
      <c r="D351" s="35">
        <v>9714.15</v>
      </c>
      <c r="E351" s="45">
        <f t="shared" si="23"/>
        <v>9.7396691422957371E-3</v>
      </c>
      <c r="F351">
        <v>2697300</v>
      </c>
      <c r="G351">
        <v>523.35</v>
      </c>
      <c r="H351" s="45">
        <f t="shared" si="21"/>
        <v>7.993066255778114E-3</v>
      </c>
      <c r="I351">
        <v>5096200</v>
      </c>
      <c r="J351" s="38" t="s">
        <v>380</v>
      </c>
      <c r="K351" s="45">
        <f t="shared" si="22"/>
        <v>-9.1068860840390897E-3</v>
      </c>
    </row>
    <row r="352" spans="1:11" x14ac:dyDescent="0.25">
      <c r="A352" s="8">
        <v>44893</v>
      </c>
      <c r="B352">
        <v>6390.21</v>
      </c>
      <c r="C352">
        <f t="shared" si="20"/>
        <v>-1.2794626318740954E-2</v>
      </c>
      <c r="D352" s="35">
        <v>9737</v>
      </c>
      <c r="E352" s="45">
        <f t="shared" si="23"/>
        <v>2.3522387445118476E-3</v>
      </c>
      <c r="F352">
        <v>5071900</v>
      </c>
      <c r="G352">
        <v>528.15</v>
      </c>
      <c r="H352" s="45">
        <f t="shared" si="21"/>
        <v>9.171682430495709E-3</v>
      </c>
      <c r="I352">
        <v>7143700</v>
      </c>
      <c r="J352" s="38" t="s">
        <v>381</v>
      </c>
      <c r="K352" s="45">
        <f t="shared" si="22"/>
        <v>7.6319466838654648E-3</v>
      </c>
    </row>
    <row r="353" spans="1:11" x14ac:dyDescent="0.25">
      <c r="A353" s="8">
        <v>44894</v>
      </c>
      <c r="B353">
        <v>6390.63</v>
      </c>
      <c r="C353">
        <f t="shared" si="20"/>
        <v>6.5725539536209965E-5</v>
      </c>
      <c r="D353" s="35">
        <v>9766.35</v>
      </c>
      <c r="E353" s="45">
        <f t="shared" si="23"/>
        <v>3.0142754441819797E-3</v>
      </c>
      <c r="F353">
        <v>3770300</v>
      </c>
      <c r="G353">
        <v>523.4</v>
      </c>
      <c r="H353" s="45">
        <f t="shared" si="21"/>
        <v>-8.9936571049891167E-3</v>
      </c>
      <c r="I353">
        <v>4550300</v>
      </c>
      <c r="J353" s="38" t="s">
        <v>382</v>
      </c>
      <c r="K353" s="45">
        <f t="shared" si="22"/>
        <v>9.9743972690420346E-3</v>
      </c>
    </row>
    <row r="354" spans="1:11" x14ac:dyDescent="0.25">
      <c r="A354" s="8">
        <v>44895</v>
      </c>
      <c r="B354">
        <v>6324.1</v>
      </c>
      <c r="C354">
        <f t="shared" si="20"/>
        <v>-1.0410554202011313E-2</v>
      </c>
      <c r="D354" s="35">
        <v>9789</v>
      </c>
      <c r="E354" s="45">
        <f t="shared" si="23"/>
        <v>2.3191878234960495E-3</v>
      </c>
      <c r="F354">
        <v>3347800</v>
      </c>
      <c r="G354">
        <v>527.45000000000005</v>
      </c>
      <c r="H354" s="45">
        <f t="shared" si="21"/>
        <v>7.7378677875430402E-3</v>
      </c>
      <c r="I354">
        <v>6157400</v>
      </c>
      <c r="J354" s="38" t="s">
        <v>383</v>
      </c>
      <c r="K354" s="45">
        <f t="shared" si="22"/>
        <v>6.4959070504355676E-3</v>
      </c>
    </row>
    <row r="355" spans="1:11" x14ac:dyDescent="0.25">
      <c r="A355" s="8">
        <v>44896</v>
      </c>
      <c r="B355">
        <v>6297.64</v>
      </c>
      <c r="C355">
        <f t="shared" si="20"/>
        <v>-4.1839945604907891E-3</v>
      </c>
      <c r="D355" s="35">
        <v>9876.5499999999993</v>
      </c>
      <c r="E355" s="45">
        <f t="shared" si="23"/>
        <v>8.9437123301663313E-3</v>
      </c>
      <c r="F355">
        <v>2783000</v>
      </c>
      <c r="G355">
        <v>524.75</v>
      </c>
      <c r="H355" s="45">
        <f t="shared" si="21"/>
        <v>-5.1189686226182918E-3</v>
      </c>
      <c r="I355">
        <v>4931000</v>
      </c>
      <c r="J355" s="38" t="s">
        <v>384</v>
      </c>
      <c r="K355" s="45">
        <f t="shared" si="22"/>
        <v>-1.3327736383670796E-2</v>
      </c>
    </row>
    <row r="356" spans="1:11" x14ac:dyDescent="0.25">
      <c r="A356" s="8">
        <v>44897</v>
      </c>
      <c r="B356">
        <v>6347.6</v>
      </c>
      <c r="C356">
        <f t="shared" si="20"/>
        <v>7.9331305060308388E-3</v>
      </c>
      <c r="D356" s="35">
        <v>9910.5</v>
      </c>
      <c r="E356" s="45">
        <f t="shared" si="23"/>
        <v>3.4374351367634226E-3</v>
      </c>
      <c r="F356">
        <v>2648700</v>
      </c>
      <c r="G356">
        <v>536.35</v>
      </c>
      <c r="H356" s="45">
        <f t="shared" si="21"/>
        <v>2.210576464983327E-2</v>
      </c>
      <c r="I356">
        <v>5077900</v>
      </c>
      <c r="J356" s="38" t="s">
        <v>385</v>
      </c>
      <c r="K356" s="45">
        <f t="shared" si="22"/>
        <v>-1.0210593490746711E-2</v>
      </c>
    </row>
    <row r="357" spans="1:11" x14ac:dyDescent="0.25">
      <c r="A357" s="8">
        <v>44900</v>
      </c>
      <c r="B357">
        <v>6357.77</v>
      </c>
      <c r="C357">
        <f t="shared" si="20"/>
        <v>1.6021803516290678E-3</v>
      </c>
      <c r="D357" s="35">
        <v>9874.4500000000007</v>
      </c>
      <c r="E357" s="45">
        <f t="shared" si="23"/>
        <v>-3.6375561273396251E-3</v>
      </c>
      <c r="F357">
        <v>3681700</v>
      </c>
      <c r="G357">
        <v>530.54999999999995</v>
      </c>
      <c r="H357" s="45">
        <f t="shared" si="21"/>
        <v>-1.0813834250023469E-2</v>
      </c>
      <c r="I357">
        <v>6307700</v>
      </c>
      <c r="J357" s="38" t="s">
        <v>386</v>
      </c>
      <c r="K357" s="45">
        <f t="shared" si="22"/>
        <v>3.2237266279819821E-3</v>
      </c>
    </row>
    <row r="358" spans="1:11" x14ac:dyDescent="0.25">
      <c r="A358" s="8">
        <v>44901</v>
      </c>
      <c r="B358">
        <v>6394.07</v>
      </c>
      <c r="C358">
        <f t="shared" si="20"/>
        <v>5.709549102908662E-3</v>
      </c>
      <c r="D358" s="35">
        <v>9876.35</v>
      </c>
      <c r="E358" s="45">
        <f t="shared" si="23"/>
        <v>1.9241578011941485E-4</v>
      </c>
      <c r="F358">
        <v>9365300</v>
      </c>
      <c r="G358">
        <v>532.04999999999995</v>
      </c>
      <c r="H358" s="45">
        <f t="shared" si="21"/>
        <v>2.8272547356515965E-3</v>
      </c>
      <c r="I358">
        <v>4913700</v>
      </c>
      <c r="J358" s="38" t="s">
        <v>387</v>
      </c>
      <c r="K358" s="45">
        <f t="shared" si="22"/>
        <v>-1.1728791773778946E-2</v>
      </c>
    </row>
    <row r="359" spans="1:11" x14ac:dyDescent="0.25">
      <c r="A359" s="8">
        <v>44902</v>
      </c>
      <c r="B359">
        <v>6403.15</v>
      </c>
      <c r="C359">
        <f t="shared" si="20"/>
        <v>1.4200657796989979E-3</v>
      </c>
      <c r="D359" s="35">
        <v>9849.4500000000007</v>
      </c>
      <c r="E359" s="45">
        <f t="shared" si="23"/>
        <v>-2.7236782819562988E-3</v>
      </c>
      <c r="F359">
        <v>7318400</v>
      </c>
      <c r="G359">
        <v>524.75</v>
      </c>
      <c r="H359" s="45">
        <f t="shared" si="21"/>
        <v>-1.3720514989192689E-2</v>
      </c>
      <c r="I359">
        <v>7447700</v>
      </c>
      <c r="J359" s="38" t="s">
        <v>388</v>
      </c>
      <c r="K359" s="45">
        <f t="shared" si="22"/>
        <v>-5.419173034194591E-4</v>
      </c>
    </row>
    <row r="360" spans="1:11" x14ac:dyDescent="0.25">
      <c r="A360" s="8">
        <v>44903</v>
      </c>
      <c r="B360">
        <v>6426.4</v>
      </c>
      <c r="C360">
        <f t="shared" si="20"/>
        <v>3.6310253547082727E-3</v>
      </c>
      <c r="D360" s="35">
        <v>9811.4</v>
      </c>
      <c r="E360" s="45">
        <f t="shared" si="23"/>
        <v>-3.8631598718711357E-3</v>
      </c>
      <c r="F360">
        <v>3750200</v>
      </c>
      <c r="G360">
        <v>528.20000000000005</v>
      </c>
      <c r="H360" s="45">
        <f t="shared" si="21"/>
        <v>6.5745593139590053E-3</v>
      </c>
      <c r="I360">
        <v>6872500</v>
      </c>
      <c r="J360" s="38" t="s">
        <v>389</v>
      </c>
      <c r="K360" s="45">
        <f t="shared" si="22"/>
        <v>1.0573117171826629E-2</v>
      </c>
    </row>
    <row r="361" spans="1:11" x14ac:dyDescent="0.25">
      <c r="A361" s="8">
        <v>44904</v>
      </c>
      <c r="B361">
        <v>6402.71</v>
      </c>
      <c r="C361">
        <f t="shared" si="20"/>
        <v>-3.6863562803435279E-3</v>
      </c>
      <c r="D361" s="35">
        <v>9840.85</v>
      </c>
      <c r="E361" s="45">
        <f t="shared" si="23"/>
        <v>3.0016103716086207E-3</v>
      </c>
      <c r="F361">
        <v>2680000</v>
      </c>
      <c r="G361">
        <v>521.65</v>
      </c>
      <c r="H361" s="45">
        <f t="shared" si="21"/>
        <v>-1.2400605831124678E-2</v>
      </c>
      <c r="I361">
        <v>5597100</v>
      </c>
      <c r="J361" s="38" t="s">
        <v>390</v>
      </c>
      <c r="K361" s="45">
        <f t="shared" si="22"/>
        <v>-2.1461530207104174E-3</v>
      </c>
    </row>
    <row r="362" spans="1:11" x14ac:dyDescent="0.25">
      <c r="A362" s="8">
        <v>44907</v>
      </c>
      <c r="B362">
        <v>6385.06</v>
      </c>
      <c r="C362">
        <f t="shared" si="20"/>
        <v>-2.756645233034094E-3</v>
      </c>
      <c r="D362" s="35">
        <v>9783.65</v>
      </c>
      <c r="E362" s="45">
        <f t="shared" si="23"/>
        <v>-5.8125060335235679E-3</v>
      </c>
      <c r="F362">
        <v>3265500</v>
      </c>
      <c r="G362">
        <v>516.4</v>
      </c>
      <c r="H362" s="45">
        <f t="shared" si="21"/>
        <v>-1.006421930413115E-2</v>
      </c>
      <c r="I362">
        <v>5131000</v>
      </c>
      <c r="J362" s="38" t="s">
        <v>380</v>
      </c>
      <c r="K362" s="45">
        <f t="shared" si="22"/>
        <v>4.3015377997623894E-4</v>
      </c>
    </row>
    <row r="363" spans="1:11" x14ac:dyDescent="0.25">
      <c r="A363" s="8">
        <v>44908</v>
      </c>
      <c r="B363">
        <v>6295.1</v>
      </c>
      <c r="C363">
        <f t="shared" si="20"/>
        <v>-1.4089139334634293E-2</v>
      </c>
      <c r="D363" s="35">
        <v>9789.6</v>
      </c>
      <c r="E363" s="45">
        <f t="shared" si="23"/>
        <v>6.0815748723652696E-4</v>
      </c>
      <c r="F363">
        <v>2856500</v>
      </c>
      <c r="G363">
        <v>513.70000000000005</v>
      </c>
      <c r="H363" s="45">
        <f t="shared" si="21"/>
        <v>-5.228505034856612E-3</v>
      </c>
      <c r="I363">
        <v>3901100</v>
      </c>
      <c r="J363" s="38" t="s">
        <v>391</v>
      </c>
      <c r="K363" s="45">
        <f t="shared" si="22"/>
        <v>2.8485434805978205E-3</v>
      </c>
    </row>
    <row r="364" spans="1:11" x14ac:dyDescent="0.25">
      <c r="A364" s="8">
        <v>44909</v>
      </c>
      <c r="B364">
        <v>6225.83</v>
      </c>
      <c r="C364">
        <f t="shared" si="20"/>
        <v>-1.1003796603707761E-2</v>
      </c>
      <c r="D364" s="35">
        <v>9837.9</v>
      </c>
      <c r="E364" s="45">
        <f t="shared" si="23"/>
        <v>4.9338073057121345E-3</v>
      </c>
      <c r="F364">
        <v>3157100</v>
      </c>
      <c r="G364">
        <v>511.7</v>
      </c>
      <c r="H364" s="45">
        <f t="shared" si="21"/>
        <v>-3.8933229511388667E-3</v>
      </c>
      <c r="I364">
        <v>4928300</v>
      </c>
      <c r="J364" s="38" t="s">
        <v>392</v>
      </c>
      <c r="K364" s="45">
        <f t="shared" si="22"/>
        <v>-1.2004930596494989E-2</v>
      </c>
    </row>
    <row r="365" spans="1:11" x14ac:dyDescent="0.25">
      <c r="A365" s="8">
        <v>44910</v>
      </c>
      <c r="B365">
        <v>6227.55</v>
      </c>
      <c r="C365">
        <f t="shared" si="20"/>
        <v>2.7626838509897667E-4</v>
      </c>
      <c r="D365" s="35">
        <v>9870.85</v>
      </c>
      <c r="E365" s="45">
        <f t="shared" si="23"/>
        <v>3.3492920237043755E-3</v>
      </c>
      <c r="F365">
        <v>2643900</v>
      </c>
      <c r="G365">
        <v>508.9</v>
      </c>
      <c r="H365" s="45">
        <f t="shared" si="21"/>
        <v>-5.4719562243502606E-3</v>
      </c>
      <c r="I365">
        <v>3424800</v>
      </c>
      <c r="J365" s="38" t="s">
        <v>393</v>
      </c>
      <c r="K365" s="45">
        <f t="shared" si="22"/>
        <v>-1.4049362625440764E-2</v>
      </c>
    </row>
    <row r="366" spans="1:11" x14ac:dyDescent="0.25">
      <c r="A366" s="61">
        <v>44911</v>
      </c>
      <c r="B366">
        <v>6295.11</v>
      </c>
      <c r="C366">
        <f t="shared" si="20"/>
        <v>1.0848568056458729E-2</v>
      </c>
      <c r="D366" s="35">
        <v>9751.7000000000007</v>
      </c>
      <c r="E366" s="45">
        <f t="shared" si="23"/>
        <v>-1.2070895616892119E-2</v>
      </c>
      <c r="F366">
        <v>2778600</v>
      </c>
      <c r="G366">
        <v>511.85</v>
      </c>
      <c r="H366" s="45">
        <f t="shared" si="21"/>
        <v>5.7968166633917129E-3</v>
      </c>
      <c r="I366">
        <v>4646900</v>
      </c>
      <c r="J366" s="38" t="s">
        <v>394</v>
      </c>
      <c r="K366" s="45">
        <f t="shared" si="22"/>
        <v>-7.4823943661971315E-3</v>
      </c>
    </row>
    <row r="367" spans="1:11" x14ac:dyDescent="0.25">
      <c r="A367" s="8">
        <v>44914</v>
      </c>
      <c r="B367">
        <v>6278.6</v>
      </c>
      <c r="C367">
        <f t="shared" si="20"/>
        <v>-2.6226706125864752E-3</v>
      </c>
      <c r="D367" s="35">
        <v>9659.35</v>
      </c>
      <c r="E367" s="45">
        <f t="shared" si="23"/>
        <v>-9.4701436672580686E-3</v>
      </c>
      <c r="F367">
        <v>4047000</v>
      </c>
      <c r="G367">
        <v>519.79999999999995</v>
      </c>
      <c r="H367" s="45">
        <f t="shared" si="21"/>
        <v>1.5531894109602318E-2</v>
      </c>
      <c r="I367">
        <v>6866300</v>
      </c>
      <c r="J367" s="38" t="s">
        <v>395</v>
      </c>
      <c r="K367" s="45">
        <f t="shared" si="22"/>
        <v>4.933481152993302E-3</v>
      </c>
    </row>
    <row r="368" spans="1:11" x14ac:dyDescent="0.25">
      <c r="A368" s="8">
        <v>44915</v>
      </c>
      <c r="B368">
        <v>6217.06</v>
      </c>
      <c r="C368">
        <f t="shared" si="20"/>
        <v>-9.8015481158220119E-3</v>
      </c>
      <c r="D368" s="35">
        <v>9738.4500000000007</v>
      </c>
      <c r="E368" s="45">
        <f t="shared" si="23"/>
        <v>8.1889568138642232E-3</v>
      </c>
      <c r="F368">
        <v>4931500</v>
      </c>
      <c r="G368">
        <v>514.25</v>
      </c>
      <c r="H368" s="45">
        <f t="shared" si="21"/>
        <v>-1.0677183532127654E-2</v>
      </c>
      <c r="I368">
        <v>4684100</v>
      </c>
      <c r="J368" s="38" t="s">
        <v>396</v>
      </c>
      <c r="K368" s="45">
        <f t="shared" si="22"/>
        <v>3.5854156324122144E-3</v>
      </c>
    </row>
    <row r="369" spans="1:11" x14ac:dyDescent="0.25">
      <c r="A369" s="8">
        <v>44916</v>
      </c>
      <c r="B369">
        <v>6234.84</v>
      </c>
      <c r="C369">
        <f t="shared" si="20"/>
        <v>2.8598726729354151E-3</v>
      </c>
      <c r="D369" s="35">
        <v>9720.15</v>
      </c>
      <c r="E369" s="45">
        <f t="shared" si="23"/>
        <v>-1.879149145911474E-3</v>
      </c>
      <c r="F369">
        <v>2677300</v>
      </c>
      <c r="G369">
        <v>500.75</v>
      </c>
      <c r="H369" s="45">
        <f t="shared" si="21"/>
        <v>-2.6251823043266898E-2</v>
      </c>
      <c r="I369">
        <v>3852700</v>
      </c>
      <c r="J369" s="38" t="s">
        <v>397</v>
      </c>
      <c r="K369" s="45">
        <f t="shared" si="22"/>
        <v>-1.9182147960866258E-2</v>
      </c>
    </row>
    <row r="370" spans="1:11" x14ac:dyDescent="0.25">
      <c r="A370" s="8">
        <v>44917</v>
      </c>
      <c r="B370">
        <v>6315.95</v>
      </c>
      <c r="C370">
        <f t="shared" si="20"/>
        <v>1.3009155006383333E-2</v>
      </c>
      <c r="D370" s="35">
        <v>9605.0499999999993</v>
      </c>
      <c r="E370" s="45">
        <f t="shared" si="23"/>
        <v>-1.1841381048646404E-2</v>
      </c>
      <c r="F370">
        <v>2693100</v>
      </c>
      <c r="G370">
        <v>498</v>
      </c>
      <c r="H370" s="45">
        <f t="shared" si="21"/>
        <v>-5.4917623564653129E-3</v>
      </c>
      <c r="I370">
        <v>4768000</v>
      </c>
      <c r="J370" s="38" t="s">
        <v>398</v>
      </c>
      <c r="K370" s="45">
        <f t="shared" si="22"/>
        <v>-1.7932193891846415E-3</v>
      </c>
    </row>
    <row r="371" spans="1:11" x14ac:dyDescent="0.25">
      <c r="A371" s="8">
        <v>44918</v>
      </c>
      <c r="B371">
        <v>6320.25</v>
      </c>
      <c r="C371">
        <f t="shared" si="20"/>
        <v>6.8081602925929019E-4</v>
      </c>
      <c r="D371" s="35">
        <v>9556.4500000000007</v>
      </c>
      <c r="E371" s="45">
        <f t="shared" si="23"/>
        <v>-5.0598383142199665E-3</v>
      </c>
      <c r="F371">
        <v>3171000</v>
      </c>
      <c r="G371">
        <v>492.25</v>
      </c>
      <c r="H371" s="45">
        <f t="shared" si="21"/>
        <v>-1.1546184738955856E-2</v>
      </c>
      <c r="I371">
        <v>4866000</v>
      </c>
      <c r="J371" s="38" t="s">
        <v>399</v>
      </c>
      <c r="K371" s="45">
        <f t="shared" si="22"/>
        <v>-1.319261213720313E-2</v>
      </c>
    </row>
    <row r="372" spans="1:11" x14ac:dyDescent="0.25">
      <c r="A372" s="8">
        <v>44921</v>
      </c>
      <c r="B372">
        <v>6386.73</v>
      </c>
      <c r="C372">
        <f t="shared" si="20"/>
        <v>1.0518571259048315E-2</v>
      </c>
      <c r="D372" s="35">
        <v>9332.9</v>
      </c>
      <c r="E372" s="45">
        <f t="shared" si="23"/>
        <v>-2.3392577787776925E-2</v>
      </c>
      <c r="F372">
        <v>3123900</v>
      </c>
      <c r="G372">
        <v>499.25</v>
      </c>
      <c r="H372" s="45">
        <f t="shared" si="21"/>
        <v>1.4220416455053231E-2</v>
      </c>
      <c r="I372">
        <v>4701900</v>
      </c>
      <c r="J372" s="38" t="s">
        <v>400</v>
      </c>
      <c r="K372" s="45">
        <f t="shared" si="22"/>
        <v>1.6270337922403177E-2</v>
      </c>
    </row>
    <row r="373" spans="1:11" x14ac:dyDescent="0.25">
      <c r="A373" s="8">
        <v>44922</v>
      </c>
      <c r="B373">
        <v>6372.63</v>
      </c>
      <c r="C373">
        <f t="shared" si="20"/>
        <v>-2.207702533221112E-3</v>
      </c>
      <c r="D373" s="35">
        <v>9477.15</v>
      </c>
      <c r="E373" s="45">
        <f t="shared" si="23"/>
        <v>1.5456074746327486E-2</v>
      </c>
      <c r="F373">
        <v>2075200</v>
      </c>
      <c r="G373">
        <v>498.65</v>
      </c>
      <c r="H373" s="45">
        <f t="shared" si="21"/>
        <v>-1.2018027040561208E-3</v>
      </c>
      <c r="I373">
        <v>4283700</v>
      </c>
      <c r="J373" s="38" t="s">
        <v>401</v>
      </c>
      <c r="K373" s="45">
        <f t="shared" si="22"/>
        <v>8.3407971339004572E-3</v>
      </c>
    </row>
    <row r="374" spans="1:11" x14ac:dyDescent="0.25">
      <c r="A374" s="8">
        <v>44923</v>
      </c>
      <c r="B374">
        <v>6414.67</v>
      </c>
      <c r="C374">
        <f t="shared" si="20"/>
        <v>6.5969623216788342E-3</v>
      </c>
      <c r="D374" s="35">
        <v>9547.9</v>
      </c>
      <c r="E374" s="45">
        <f t="shared" si="23"/>
        <v>7.4653244910125593E-3</v>
      </c>
      <c r="F374">
        <v>1804700</v>
      </c>
      <c r="G374">
        <v>494.15</v>
      </c>
      <c r="H374" s="45">
        <f t="shared" si="21"/>
        <v>-9.0243657876265537E-3</v>
      </c>
      <c r="I374">
        <v>3938500</v>
      </c>
      <c r="J374" s="38" t="s">
        <v>402</v>
      </c>
      <c r="K374" s="45">
        <f t="shared" si="22"/>
        <v>-1.8875256759006698E-3</v>
      </c>
    </row>
    <row r="375" spans="1:11" x14ac:dyDescent="0.25">
      <c r="A375" s="8">
        <v>44924</v>
      </c>
      <c r="B375">
        <v>6385.44</v>
      </c>
      <c r="C375">
        <f t="shared" si="20"/>
        <v>-4.5567425915908899E-3</v>
      </c>
      <c r="D375" s="35">
        <v>9552.85</v>
      </c>
      <c r="E375" s="45">
        <f t="shared" si="23"/>
        <v>5.1843860953715293E-4</v>
      </c>
      <c r="F375">
        <v>1654300</v>
      </c>
      <c r="G375">
        <v>490.8</v>
      </c>
      <c r="H375" s="45">
        <f t="shared" si="21"/>
        <v>-6.7793180208437498E-3</v>
      </c>
      <c r="I375">
        <v>2614500</v>
      </c>
      <c r="J375" s="38" t="s">
        <v>403</v>
      </c>
      <c r="K375" s="45">
        <f t="shared" si="22"/>
        <v>1.0122921185827805E-2</v>
      </c>
    </row>
    <row r="376" spans="1:11" x14ac:dyDescent="0.25">
      <c r="A376" s="8">
        <v>44925</v>
      </c>
      <c r="B376">
        <v>6382.51</v>
      </c>
      <c r="C376">
        <f t="shared" si="20"/>
        <v>-4.5885639830600677E-4</v>
      </c>
      <c r="D376" s="35">
        <v>9587</v>
      </c>
      <c r="E376" s="45">
        <f t="shared" si="23"/>
        <v>3.5748493904959044E-3</v>
      </c>
      <c r="F376">
        <v>1372200</v>
      </c>
      <c r="G376">
        <v>497.35</v>
      </c>
      <c r="H376" s="45">
        <f t="shared" si="21"/>
        <v>1.3345558272208624E-2</v>
      </c>
      <c r="I376">
        <v>3445900</v>
      </c>
      <c r="J376" s="38" t="s">
        <v>404</v>
      </c>
      <c r="K376" s="45">
        <f t="shared" si="22"/>
        <v>-1.8941688233026777E-2</v>
      </c>
    </row>
    <row r="377" spans="1:11" x14ac:dyDescent="0.25">
      <c r="A377" s="8">
        <v>44928</v>
      </c>
      <c r="B377">
        <v>6431.79</v>
      </c>
      <c r="C377">
        <f t="shared" si="20"/>
        <v>7.7211003194668226E-3</v>
      </c>
      <c r="D377" s="35">
        <v>9554.4500000000007</v>
      </c>
      <c r="E377" s="45">
        <f t="shared" si="23"/>
        <v>-3.3952226974026667E-3</v>
      </c>
      <c r="F377">
        <v>3403200</v>
      </c>
      <c r="G377">
        <v>494.75</v>
      </c>
      <c r="H377" s="45">
        <f t="shared" si="21"/>
        <v>-5.2277068462853737E-3</v>
      </c>
      <c r="I377">
        <v>3547300</v>
      </c>
      <c r="J377" s="38" t="s">
        <v>405</v>
      </c>
      <c r="K377" s="45">
        <f t="shared" si="22"/>
        <v>1.3021271819049218E-2</v>
      </c>
    </row>
    <row r="378" spans="1:11" x14ac:dyDescent="0.25">
      <c r="A378" s="8">
        <v>44929</v>
      </c>
      <c r="B378">
        <v>6439.8</v>
      </c>
      <c r="C378">
        <f t="shared" si="20"/>
        <v>1.2453764815083535E-3</v>
      </c>
      <c r="D378" s="35">
        <v>9599.75</v>
      </c>
      <c r="E378" s="45">
        <f t="shared" si="23"/>
        <v>4.7412462255806975E-3</v>
      </c>
      <c r="F378">
        <v>1626700</v>
      </c>
      <c r="G378">
        <v>502.1</v>
      </c>
      <c r="H378" s="45">
        <f t="shared" si="21"/>
        <v>1.4855987872663068E-2</v>
      </c>
      <c r="I378">
        <v>3220300</v>
      </c>
      <c r="J378" s="38" t="s">
        <v>406</v>
      </c>
      <c r="K378" s="45">
        <f t="shared" si="22"/>
        <v>-1.2189040944097229E-3</v>
      </c>
    </row>
    <row r="379" spans="1:11" x14ac:dyDescent="0.25">
      <c r="A379" s="8">
        <v>44930</v>
      </c>
      <c r="B379">
        <v>6455.52</v>
      </c>
      <c r="C379">
        <f t="shared" si="20"/>
        <v>2.4410695984347086E-3</v>
      </c>
      <c r="D379" s="35">
        <v>9621.85</v>
      </c>
      <c r="E379" s="45">
        <f t="shared" si="23"/>
        <v>2.3021432849814616E-3</v>
      </c>
      <c r="F379">
        <v>1181700</v>
      </c>
      <c r="G379">
        <v>493.4</v>
      </c>
      <c r="H379" s="45">
        <f t="shared" si="21"/>
        <v>-1.7327225652260636E-2</v>
      </c>
      <c r="I379">
        <v>3364800</v>
      </c>
      <c r="J379" s="38" t="s">
        <v>407</v>
      </c>
      <c r="K379" s="45">
        <f t="shared" si="22"/>
        <v>-2.4962556165751826E-3</v>
      </c>
    </row>
    <row r="380" spans="1:11" x14ac:dyDescent="0.25">
      <c r="A380" s="8">
        <v>44931</v>
      </c>
      <c r="B380">
        <v>6414.54</v>
      </c>
      <c r="C380">
        <f t="shared" si="20"/>
        <v>-6.3480556175180558E-3</v>
      </c>
      <c r="D380" s="35">
        <v>9515.35</v>
      </c>
      <c r="E380" s="45">
        <f t="shared" si="23"/>
        <v>-1.1068557501935694E-2</v>
      </c>
      <c r="F380">
        <v>2086500</v>
      </c>
      <c r="G380">
        <v>500.05</v>
      </c>
      <c r="H380" s="45">
        <f t="shared" si="21"/>
        <v>1.3477908390758131E-2</v>
      </c>
      <c r="I380">
        <v>2796300</v>
      </c>
      <c r="J380" s="38" t="s">
        <v>408</v>
      </c>
      <c r="K380" s="45">
        <f t="shared" si="22"/>
        <v>-2.2188855522188855E-2</v>
      </c>
    </row>
    <row r="381" spans="1:11" x14ac:dyDescent="0.25">
      <c r="A381" s="8">
        <v>44932</v>
      </c>
      <c r="B381">
        <v>6454.22</v>
      </c>
      <c r="C381">
        <f t="shared" si="20"/>
        <v>6.1859463032423179E-3</v>
      </c>
      <c r="D381" s="35">
        <v>9510.7999999999993</v>
      </c>
      <c r="E381" s="45">
        <f t="shared" si="23"/>
        <v>-4.7817473871181182E-4</v>
      </c>
      <c r="F381">
        <v>2001600</v>
      </c>
      <c r="G381">
        <v>496.3</v>
      </c>
      <c r="H381" s="45">
        <f t="shared" si="21"/>
        <v>-7.4992500749925251E-3</v>
      </c>
      <c r="I381">
        <v>3277900</v>
      </c>
      <c r="J381" s="38" t="s">
        <v>409</v>
      </c>
      <c r="K381" s="45">
        <f t="shared" si="22"/>
        <v>-1.029403401012341E-2</v>
      </c>
    </row>
    <row r="382" spans="1:11" x14ac:dyDescent="0.25">
      <c r="A382" s="8">
        <v>44935</v>
      </c>
      <c r="B382">
        <v>6469.86</v>
      </c>
      <c r="C382">
        <f t="shared" si="20"/>
        <v>2.4232207764840474E-3</v>
      </c>
      <c r="D382" s="35">
        <v>9439.35</v>
      </c>
      <c r="E382" s="45">
        <f t="shared" si="23"/>
        <v>-7.5125120915169319E-3</v>
      </c>
      <c r="F382">
        <v>2405100</v>
      </c>
      <c r="G382">
        <v>499.55</v>
      </c>
      <c r="H382" s="45">
        <f t="shared" si="21"/>
        <v>6.5484585935926543E-3</v>
      </c>
      <c r="I382">
        <v>3833200</v>
      </c>
      <c r="J382" s="38" t="s">
        <v>410</v>
      </c>
      <c r="K382" s="45">
        <f t="shared" si="22"/>
        <v>3.735202850247088E-3</v>
      </c>
    </row>
    <row r="383" spans="1:11" x14ac:dyDescent="0.25">
      <c r="A383" s="8">
        <v>44936</v>
      </c>
      <c r="B383">
        <v>6535.05</v>
      </c>
      <c r="C383">
        <f t="shared" si="20"/>
        <v>1.0075952184436909E-2</v>
      </c>
      <c r="D383" s="35">
        <v>9557.9</v>
      </c>
      <c r="E383" s="45">
        <f t="shared" si="23"/>
        <v>1.2559127482294707E-2</v>
      </c>
      <c r="F383">
        <v>1566200</v>
      </c>
      <c r="G383">
        <v>503.65</v>
      </c>
      <c r="H383" s="45">
        <f t="shared" si="21"/>
        <v>8.2073866479830393E-3</v>
      </c>
      <c r="I383">
        <v>2796600</v>
      </c>
      <c r="J383" s="38" t="s">
        <v>411</v>
      </c>
      <c r="K383" s="45">
        <f t="shared" si="22"/>
        <v>-1.3740195797790067E-2</v>
      </c>
    </row>
    <row r="384" spans="1:11" x14ac:dyDescent="0.25">
      <c r="A384" s="8">
        <v>44937</v>
      </c>
      <c r="B384">
        <v>6510.44</v>
      </c>
      <c r="C384">
        <f t="shared" si="20"/>
        <v>-3.7658472391184361E-3</v>
      </c>
      <c r="D384" s="35">
        <v>9475.35</v>
      </c>
      <c r="E384" s="45">
        <f t="shared" si="23"/>
        <v>-8.6368344510823203E-3</v>
      </c>
      <c r="F384">
        <v>1731900</v>
      </c>
      <c r="G384">
        <v>499.8</v>
      </c>
      <c r="H384" s="45">
        <f t="shared" si="21"/>
        <v>-7.6441973592772383E-3</v>
      </c>
      <c r="I384">
        <v>3580600</v>
      </c>
      <c r="J384" s="38" t="s">
        <v>412</v>
      </c>
      <c r="K384" s="45">
        <f t="shared" si="22"/>
        <v>5.7467928252161737E-3</v>
      </c>
    </row>
    <row r="385" spans="1:11" x14ac:dyDescent="0.25">
      <c r="A385" s="8">
        <v>44938</v>
      </c>
      <c r="B385">
        <v>6555.64</v>
      </c>
      <c r="C385">
        <f t="shared" si="20"/>
        <v>6.9426951173807705E-3</v>
      </c>
      <c r="D385" s="35">
        <v>9459.2000000000007</v>
      </c>
      <c r="E385" s="45">
        <f t="shared" si="23"/>
        <v>-1.7044225279276848E-3</v>
      </c>
      <c r="F385">
        <v>2070500</v>
      </c>
      <c r="G385">
        <v>498.2</v>
      </c>
      <c r="H385" s="45">
        <f t="shared" si="21"/>
        <v>-3.2012805122049182E-3</v>
      </c>
      <c r="I385">
        <v>3656500</v>
      </c>
      <c r="J385" s="38" t="s">
        <v>413</v>
      </c>
      <c r="K385" s="45">
        <f t="shared" si="22"/>
        <v>-6.5219900727230273E-3</v>
      </c>
    </row>
    <row r="386" spans="1:11" x14ac:dyDescent="0.25">
      <c r="A386" s="8">
        <v>44939</v>
      </c>
      <c r="B386">
        <v>6534.09</v>
      </c>
      <c r="C386">
        <f t="shared" si="20"/>
        <v>-3.2872457914101538E-3</v>
      </c>
      <c r="D386" s="35">
        <v>9443.5499999999993</v>
      </c>
      <c r="E386" s="45">
        <f t="shared" si="23"/>
        <v>-1.6544739512857065E-3</v>
      </c>
      <c r="F386">
        <v>2068800</v>
      </c>
      <c r="G386">
        <v>501.6</v>
      </c>
      <c r="H386" s="45">
        <f t="shared" si="21"/>
        <v>6.8245684464072198E-3</v>
      </c>
      <c r="I386">
        <v>4507500</v>
      </c>
      <c r="J386" s="38" t="s">
        <v>414</v>
      </c>
      <c r="K386" s="45">
        <f t="shared" si="22"/>
        <v>1.4872480102248398E-2</v>
      </c>
    </row>
    <row r="387" spans="1:11" x14ac:dyDescent="0.25">
      <c r="A387" s="8">
        <v>44942</v>
      </c>
      <c r="B387">
        <v>6544.31</v>
      </c>
      <c r="C387">
        <f t="shared" si="20"/>
        <v>1.5641045654406494E-3</v>
      </c>
      <c r="D387" s="35">
        <v>9487</v>
      </c>
      <c r="E387" s="45">
        <f t="shared" si="23"/>
        <v>4.6010239793299323E-3</v>
      </c>
      <c r="F387">
        <v>1937200</v>
      </c>
      <c r="G387">
        <v>504.65</v>
      </c>
      <c r="H387" s="45">
        <f t="shared" si="21"/>
        <v>6.0805422647527418E-3</v>
      </c>
      <c r="I387">
        <v>5241600</v>
      </c>
      <c r="J387" s="38" t="s">
        <v>415</v>
      </c>
      <c r="K387" s="45">
        <f t="shared" si="22"/>
        <v>-9.3880588471005888E-3</v>
      </c>
    </row>
    <row r="388" spans="1:11" x14ac:dyDescent="0.25">
      <c r="A388" s="8">
        <v>44943</v>
      </c>
      <c r="B388">
        <v>6568.3</v>
      </c>
      <c r="C388">
        <f t="shared" ref="C388:C451" si="24">B388/B387-1</f>
        <v>3.6657798912336226E-3</v>
      </c>
      <c r="D388" s="35">
        <v>9460.35</v>
      </c>
      <c r="E388" s="45">
        <f t="shared" si="23"/>
        <v>-2.8091071993253669E-3</v>
      </c>
      <c r="F388">
        <v>2298800</v>
      </c>
      <c r="G388">
        <v>510.7</v>
      </c>
      <c r="H388" s="45">
        <f t="shared" ref="H388:H451" si="25">G388/G387-1</f>
        <v>1.1988506885960648E-2</v>
      </c>
      <c r="I388">
        <v>3656200</v>
      </c>
      <c r="J388" s="38" t="s">
        <v>416</v>
      </c>
      <c r="K388" s="45">
        <f t="shared" ref="K388:K451" si="26">J388/J387-1</f>
        <v>-1.155735336608732E-4</v>
      </c>
    </row>
    <row r="389" spans="1:11" x14ac:dyDescent="0.25">
      <c r="A389" s="8">
        <v>44944</v>
      </c>
      <c r="B389">
        <v>6581.81</v>
      </c>
      <c r="C389">
        <f t="shared" si="24"/>
        <v>2.0568488041046162E-3</v>
      </c>
      <c r="D389" s="35">
        <v>9523.7999999999993</v>
      </c>
      <c r="E389" s="45">
        <f t="shared" ref="E389:E452" si="27">D389/D388-1</f>
        <v>6.7069400180752581E-3</v>
      </c>
      <c r="F389">
        <v>2239700</v>
      </c>
      <c r="G389">
        <v>512.1</v>
      </c>
      <c r="H389" s="45">
        <f t="shared" si="25"/>
        <v>2.7413354219698594E-3</v>
      </c>
      <c r="I389">
        <v>4171500</v>
      </c>
      <c r="J389" s="38" t="s">
        <v>417</v>
      </c>
      <c r="K389" s="45">
        <f t="shared" si="26"/>
        <v>5.0280298214182562E-3</v>
      </c>
    </row>
    <row r="390" spans="1:11" x14ac:dyDescent="0.25">
      <c r="A390" s="8">
        <v>44945</v>
      </c>
      <c r="B390">
        <v>6594.21</v>
      </c>
      <c r="C390">
        <f t="shared" si="24"/>
        <v>1.8839802425167917E-3</v>
      </c>
      <c r="D390" s="35">
        <v>9571.6</v>
      </c>
      <c r="E390" s="45">
        <f t="shared" si="27"/>
        <v>5.0190050190050961E-3</v>
      </c>
      <c r="F390">
        <v>3479100</v>
      </c>
      <c r="G390">
        <v>512.35</v>
      </c>
      <c r="H390" s="45">
        <f t="shared" si="25"/>
        <v>4.8818590119115157E-4</v>
      </c>
      <c r="I390">
        <v>3989700</v>
      </c>
      <c r="J390" s="38" t="s">
        <v>418</v>
      </c>
      <c r="K390" s="45">
        <f t="shared" si="26"/>
        <v>-3.85278895917196E-3</v>
      </c>
    </row>
    <row r="391" spans="1:11" x14ac:dyDescent="0.25">
      <c r="A391" s="8">
        <v>44946</v>
      </c>
      <c r="B391">
        <v>6546.32</v>
      </c>
      <c r="C391">
        <f t="shared" si="24"/>
        <v>-7.2624317393592541E-3</v>
      </c>
      <c r="D391" s="35">
        <v>9541.65</v>
      </c>
      <c r="E391" s="45">
        <f t="shared" si="27"/>
        <v>-3.1290484349534298E-3</v>
      </c>
      <c r="F391">
        <v>2232200</v>
      </c>
      <c r="G391">
        <v>500.1</v>
      </c>
      <c r="H391" s="45">
        <f t="shared" si="25"/>
        <v>-2.3909436908363446E-2</v>
      </c>
      <c r="I391">
        <v>3681800</v>
      </c>
      <c r="J391" s="38" t="s">
        <v>419</v>
      </c>
      <c r="K391" s="45">
        <f t="shared" si="26"/>
        <v>4.8490446227558159E-3</v>
      </c>
    </row>
    <row r="392" spans="1:11" x14ac:dyDescent="0.25">
      <c r="A392" s="8">
        <v>44949</v>
      </c>
      <c r="B392">
        <v>6574.61</v>
      </c>
      <c r="C392">
        <f t="shared" si="24"/>
        <v>4.3215119334221175E-3</v>
      </c>
      <c r="D392" s="35">
        <v>9497.7999999999993</v>
      </c>
      <c r="E392" s="45">
        <f t="shared" si="27"/>
        <v>-4.5956412150938153E-3</v>
      </c>
      <c r="F392">
        <v>2357500</v>
      </c>
      <c r="G392">
        <v>502.6</v>
      </c>
      <c r="H392" s="45">
        <f t="shared" si="25"/>
        <v>4.9990001999600242E-3</v>
      </c>
      <c r="I392">
        <v>3769400</v>
      </c>
      <c r="J392" s="38" t="s">
        <v>420</v>
      </c>
      <c r="K392" s="45">
        <f t="shared" si="26"/>
        <v>1.5511001321306672E-3</v>
      </c>
    </row>
    <row r="393" spans="1:11" x14ac:dyDescent="0.25">
      <c r="A393" s="8">
        <v>44950</v>
      </c>
      <c r="B393">
        <v>6604</v>
      </c>
      <c r="C393">
        <f t="shared" si="24"/>
        <v>4.4702271313432629E-3</v>
      </c>
      <c r="D393" s="35">
        <v>9541</v>
      </c>
      <c r="E393" s="45">
        <f t="shared" si="27"/>
        <v>4.5484217397713245E-3</v>
      </c>
      <c r="F393">
        <v>4513000</v>
      </c>
      <c r="G393">
        <v>497.4</v>
      </c>
      <c r="H393" s="45">
        <f t="shared" si="25"/>
        <v>-1.0346199761241626E-2</v>
      </c>
      <c r="I393">
        <v>8065600</v>
      </c>
      <c r="J393" s="38" t="s">
        <v>421</v>
      </c>
      <c r="K393" s="45">
        <f t="shared" si="26"/>
        <v>-1.0898244808994484E-3</v>
      </c>
    </row>
    <row r="394" spans="1:11" x14ac:dyDescent="0.25">
      <c r="A394" s="8">
        <v>44951</v>
      </c>
      <c r="B394">
        <v>6565.9</v>
      </c>
      <c r="C394">
        <f t="shared" si="24"/>
        <v>-5.7692307692308598E-3</v>
      </c>
      <c r="D394" s="35">
        <v>9534.4500000000007</v>
      </c>
      <c r="E394" s="45">
        <f t="shared" si="27"/>
        <v>-6.8651084791937489E-4</v>
      </c>
      <c r="F394">
        <v>4280100</v>
      </c>
      <c r="G394">
        <v>495.15</v>
      </c>
      <c r="H394" s="45">
        <f t="shared" si="25"/>
        <v>-4.5235223160434712E-3</v>
      </c>
      <c r="I394">
        <v>10814800</v>
      </c>
      <c r="J394" s="38" t="s">
        <v>422</v>
      </c>
      <c r="K394" s="45">
        <f t="shared" si="26"/>
        <v>-1.7743324720069009E-2</v>
      </c>
    </row>
    <row r="395" spans="1:11" x14ac:dyDescent="0.25">
      <c r="A395" s="8">
        <v>44953</v>
      </c>
      <c r="B395">
        <v>6633.22</v>
      </c>
      <c r="C395">
        <f t="shared" si="24"/>
        <v>1.0252973697436829E-2</v>
      </c>
      <c r="D395" s="35">
        <v>9393.0499999999993</v>
      </c>
      <c r="E395" s="45">
        <f t="shared" si="27"/>
        <v>-1.483043070129908E-2</v>
      </c>
      <c r="F395">
        <v>4977300</v>
      </c>
      <c r="G395">
        <v>490.7</v>
      </c>
      <c r="H395" s="45">
        <f t="shared" si="25"/>
        <v>-8.987175603352493E-3</v>
      </c>
      <c r="I395">
        <v>7669000</v>
      </c>
      <c r="J395" s="38" t="s">
        <v>423</v>
      </c>
      <c r="K395" s="45">
        <f t="shared" si="26"/>
        <v>-4.4545773412837497E-2</v>
      </c>
    </row>
    <row r="396" spans="1:11" x14ac:dyDescent="0.25">
      <c r="A396" s="8">
        <v>44956</v>
      </c>
      <c r="B396">
        <v>6548.56</v>
      </c>
      <c r="C396">
        <f t="shared" si="24"/>
        <v>-1.2763032132207308E-2</v>
      </c>
      <c r="D396" s="35">
        <v>9202.15</v>
      </c>
      <c r="E396" s="45">
        <f t="shared" si="27"/>
        <v>-2.032353708326895E-2</v>
      </c>
      <c r="F396">
        <v>6184600</v>
      </c>
      <c r="G396">
        <v>488.05</v>
      </c>
      <c r="H396" s="45">
        <f t="shared" si="25"/>
        <v>-5.4004483391073554E-3</v>
      </c>
      <c r="I396">
        <v>5887600</v>
      </c>
      <c r="J396" s="38" t="s">
        <v>424</v>
      </c>
      <c r="K396" s="45">
        <f t="shared" si="26"/>
        <v>7.7092511013214793E-3</v>
      </c>
    </row>
    <row r="397" spans="1:11" x14ac:dyDescent="0.25">
      <c r="A397" s="8">
        <v>44957</v>
      </c>
      <c r="B397">
        <v>6521.43</v>
      </c>
      <c r="C397">
        <f t="shared" si="24"/>
        <v>-4.142895537339486E-3</v>
      </c>
      <c r="D397" s="35">
        <v>9189.65</v>
      </c>
      <c r="E397" s="45">
        <f t="shared" si="27"/>
        <v>-1.3583782050933246E-3</v>
      </c>
      <c r="F397">
        <v>3237000</v>
      </c>
      <c r="G397">
        <v>492.75</v>
      </c>
      <c r="H397" s="45">
        <f t="shared" si="25"/>
        <v>9.6301608441757836E-3</v>
      </c>
      <c r="I397">
        <v>4792900</v>
      </c>
      <c r="J397" s="38" t="s">
        <v>425</v>
      </c>
      <c r="K397" s="45">
        <f t="shared" si="26"/>
        <v>1.0200364298724951E-2</v>
      </c>
    </row>
    <row r="398" spans="1:11" x14ac:dyDescent="0.25">
      <c r="A398" s="8">
        <v>44958</v>
      </c>
      <c r="B398">
        <v>6531.37</v>
      </c>
      <c r="C398">
        <f t="shared" si="24"/>
        <v>1.5242055806778954E-3</v>
      </c>
      <c r="D398" s="35">
        <v>9222.0499999999993</v>
      </c>
      <c r="E398" s="45">
        <f t="shared" si="27"/>
        <v>3.5257055491775269E-3</v>
      </c>
      <c r="F398">
        <v>2511800</v>
      </c>
      <c r="G398">
        <v>483.35</v>
      </c>
      <c r="H398" s="45">
        <f t="shared" si="25"/>
        <v>-1.907661085743273E-2</v>
      </c>
      <c r="I398">
        <v>5703900</v>
      </c>
      <c r="J398" s="38" t="s">
        <v>426</v>
      </c>
      <c r="K398" s="45">
        <f t="shared" si="26"/>
        <v>1.9293184276956366E-2</v>
      </c>
    </row>
    <row r="399" spans="1:11" x14ac:dyDescent="0.25">
      <c r="A399" s="8">
        <v>44959</v>
      </c>
      <c r="B399">
        <v>6496.37</v>
      </c>
      <c r="C399">
        <f t="shared" si="24"/>
        <v>-5.3587532171657237E-3</v>
      </c>
      <c r="D399" s="35">
        <v>9172.1</v>
      </c>
      <c r="E399" s="45">
        <f t="shared" si="27"/>
        <v>-5.4163662092483467E-3</v>
      </c>
      <c r="F399">
        <v>2985400</v>
      </c>
      <c r="G399">
        <v>489.5</v>
      </c>
      <c r="H399" s="45">
        <f t="shared" si="25"/>
        <v>1.2723699182786818E-2</v>
      </c>
      <c r="I399">
        <v>5009600</v>
      </c>
      <c r="J399" s="38" t="s">
        <v>427</v>
      </c>
      <c r="K399" s="45">
        <f t="shared" si="26"/>
        <v>1.173418244000235E-2</v>
      </c>
    </row>
    <row r="400" spans="1:11" x14ac:dyDescent="0.25">
      <c r="A400" s="8">
        <v>44960</v>
      </c>
      <c r="B400">
        <v>6543.39</v>
      </c>
      <c r="C400">
        <f t="shared" si="24"/>
        <v>7.2378882360457641E-3</v>
      </c>
      <c r="D400" s="35">
        <v>9162.1</v>
      </c>
      <c r="E400" s="45">
        <f t="shared" si="27"/>
        <v>-1.0902628623761235E-3</v>
      </c>
      <c r="F400">
        <v>1950500</v>
      </c>
      <c r="G400">
        <v>489.6</v>
      </c>
      <c r="H400" s="45">
        <f t="shared" si="25"/>
        <v>2.0429009193057013E-4</v>
      </c>
      <c r="I400">
        <v>4893300</v>
      </c>
      <c r="J400" s="38" t="s">
        <v>428</v>
      </c>
      <c r="K400" s="45">
        <f t="shared" si="26"/>
        <v>6.8772584217273725E-3</v>
      </c>
    </row>
    <row r="401" spans="1:11" x14ac:dyDescent="0.25">
      <c r="A401" s="8">
        <v>44963</v>
      </c>
      <c r="B401">
        <v>6560.68</v>
      </c>
      <c r="C401">
        <f t="shared" si="24"/>
        <v>2.6423612225467963E-3</v>
      </c>
      <c r="D401" s="35">
        <v>9249.7999999999993</v>
      </c>
      <c r="E401" s="45">
        <f t="shared" si="27"/>
        <v>9.5720413442332841E-3</v>
      </c>
      <c r="F401">
        <v>2222400</v>
      </c>
      <c r="G401">
        <v>491.55</v>
      </c>
      <c r="H401" s="45">
        <f t="shared" si="25"/>
        <v>3.9828431372548323E-3</v>
      </c>
      <c r="I401">
        <v>7213600</v>
      </c>
      <c r="J401" s="38" t="s">
        <v>429</v>
      </c>
      <c r="K401" s="45">
        <f t="shared" si="26"/>
        <v>-1.1692521416994617E-2</v>
      </c>
    </row>
    <row r="402" spans="1:11" x14ac:dyDescent="0.25">
      <c r="A402" s="8">
        <v>44964</v>
      </c>
      <c r="B402">
        <v>6570.25</v>
      </c>
      <c r="C402">
        <f t="shared" si="24"/>
        <v>1.4586902577171657E-3</v>
      </c>
      <c r="D402" s="35">
        <v>9226.6</v>
      </c>
      <c r="E402" s="45">
        <f t="shared" si="27"/>
        <v>-2.5081623386450369E-3</v>
      </c>
      <c r="F402">
        <v>3593400</v>
      </c>
      <c r="G402">
        <v>485.45</v>
      </c>
      <c r="H402" s="45">
        <f t="shared" si="25"/>
        <v>-1.2409724341369222E-2</v>
      </c>
      <c r="I402">
        <v>6611400</v>
      </c>
      <c r="J402" s="38" t="s">
        <v>430</v>
      </c>
      <c r="K402" s="45">
        <f t="shared" si="26"/>
        <v>-1.1128030924212329E-3</v>
      </c>
    </row>
    <row r="403" spans="1:11" x14ac:dyDescent="0.25">
      <c r="A403" s="8">
        <v>44965</v>
      </c>
      <c r="B403">
        <v>6663.18</v>
      </c>
      <c r="C403">
        <f t="shared" si="24"/>
        <v>1.4144058445264784E-2</v>
      </c>
      <c r="D403" s="35">
        <v>9207.2999999999993</v>
      </c>
      <c r="E403" s="45">
        <f t="shared" si="27"/>
        <v>-2.0917781197842267E-3</v>
      </c>
      <c r="F403">
        <v>3081500</v>
      </c>
      <c r="G403">
        <v>480</v>
      </c>
      <c r="H403" s="45">
        <f t="shared" si="25"/>
        <v>-1.1226696879184206E-2</v>
      </c>
      <c r="I403">
        <v>4848200</v>
      </c>
      <c r="J403" s="38" t="s">
        <v>431</v>
      </c>
      <c r="K403" s="45">
        <f t="shared" si="26"/>
        <v>7.4464966285547884E-3</v>
      </c>
    </row>
    <row r="404" spans="1:11" x14ac:dyDescent="0.25">
      <c r="A404" s="8">
        <v>44966</v>
      </c>
      <c r="B404">
        <v>6677.75</v>
      </c>
      <c r="C404">
        <f t="shared" si="24"/>
        <v>2.1866436146102952E-3</v>
      </c>
      <c r="D404" s="35">
        <v>9286.7000000000007</v>
      </c>
      <c r="E404" s="45">
        <f t="shared" si="27"/>
        <v>8.6235921497075374E-3</v>
      </c>
      <c r="F404">
        <v>2835300</v>
      </c>
      <c r="G404">
        <v>475.3</v>
      </c>
      <c r="H404" s="45">
        <f t="shared" si="25"/>
        <v>-9.791666666666643E-3</v>
      </c>
      <c r="I404">
        <v>5697400</v>
      </c>
      <c r="J404" s="38" t="s">
        <v>432</v>
      </c>
      <c r="K404" s="45">
        <f t="shared" si="26"/>
        <v>1.9788150389941084E-3</v>
      </c>
    </row>
    <row r="405" spans="1:11" x14ac:dyDescent="0.25">
      <c r="A405" s="8">
        <v>44967</v>
      </c>
      <c r="B405">
        <v>6679.25</v>
      </c>
      <c r="C405">
        <f t="shared" si="24"/>
        <v>2.2462655834676326E-4</v>
      </c>
      <c r="D405" s="35">
        <v>9289</v>
      </c>
      <c r="E405" s="45">
        <f t="shared" si="27"/>
        <v>2.4766601699188762E-4</v>
      </c>
      <c r="F405">
        <v>4087000</v>
      </c>
      <c r="G405">
        <v>466.45</v>
      </c>
      <c r="H405" s="45">
        <f t="shared" si="25"/>
        <v>-1.8619819061645337E-2</v>
      </c>
      <c r="I405">
        <v>3871100</v>
      </c>
      <c r="J405" s="38" t="s">
        <v>433</v>
      </c>
      <c r="K405" s="45">
        <f t="shared" si="26"/>
        <v>-8.0738847583642359E-3</v>
      </c>
    </row>
    <row r="406" spans="1:11" x14ac:dyDescent="0.25">
      <c r="A406" s="8">
        <v>44970</v>
      </c>
      <c r="B406">
        <v>6717.43</v>
      </c>
      <c r="C406">
        <f t="shared" si="24"/>
        <v>5.7162106523935829E-3</v>
      </c>
      <c r="D406" s="35">
        <v>9274.35</v>
      </c>
      <c r="E406" s="45">
        <f t="shared" si="27"/>
        <v>-1.5771342448056558E-3</v>
      </c>
      <c r="F406">
        <v>2996200</v>
      </c>
      <c r="G406">
        <v>466.05</v>
      </c>
      <c r="H406" s="45">
        <f t="shared" si="25"/>
        <v>-8.5754100117907406E-4</v>
      </c>
      <c r="I406">
        <v>4372300</v>
      </c>
      <c r="J406" s="38" t="s">
        <v>434</v>
      </c>
      <c r="K406" s="45">
        <f t="shared" si="26"/>
        <v>-3.7477308660772701E-3</v>
      </c>
    </row>
    <row r="407" spans="1:11" x14ac:dyDescent="0.25">
      <c r="A407" s="8">
        <v>44971</v>
      </c>
      <c r="B407">
        <v>6654.22</v>
      </c>
      <c r="C407">
        <f t="shared" si="24"/>
        <v>-9.4098487070204406E-3</v>
      </c>
      <c r="D407" s="35">
        <v>9205.9500000000007</v>
      </c>
      <c r="E407" s="45">
        <f t="shared" si="27"/>
        <v>-7.3751799317471889E-3</v>
      </c>
      <c r="F407">
        <v>1592100</v>
      </c>
      <c r="G407">
        <v>461.75</v>
      </c>
      <c r="H407" s="45">
        <f t="shared" si="25"/>
        <v>-9.2264778457247232E-3</v>
      </c>
      <c r="I407">
        <v>3844800</v>
      </c>
      <c r="J407" s="38" t="s">
        <v>435</v>
      </c>
      <c r="K407" s="45">
        <f t="shared" si="26"/>
        <v>1.7222124257920468E-2</v>
      </c>
    </row>
    <row r="408" spans="1:11" x14ac:dyDescent="0.25">
      <c r="A408" s="8">
        <v>44972</v>
      </c>
      <c r="B408">
        <v>6636.42</v>
      </c>
      <c r="C408">
        <f t="shared" si="24"/>
        <v>-2.6749942141979233E-3</v>
      </c>
      <c r="D408" s="35">
        <v>9260.7000000000007</v>
      </c>
      <c r="E408" s="45">
        <f t="shared" si="27"/>
        <v>5.9472406432796721E-3</v>
      </c>
      <c r="F408">
        <v>1624600</v>
      </c>
      <c r="G408">
        <v>474</v>
      </c>
      <c r="H408" s="45">
        <f t="shared" si="25"/>
        <v>2.6529507309150047E-2</v>
      </c>
      <c r="I408">
        <v>5804700</v>
      </c>
      <c r="J408" s="38" t="s">
        <v>436</v>
      </c>
      <c r="K408" s="45">
        <f t="shared" si="26"/>
        <v>6.3561770484226177E-3</v>
      </c>
    </row>
    <row r="409" spans="1:11" x14ac:dyDescent="0.25">
      <c r="A409" s="8">
        <v>44973</v>
      </c>
      <c r="B409">
        <v>6643.17</v>
      </c>
      <c r="C409">
        <f t="shared" si="24"/>
        <v>1.0171146491633198E-3</v>
      </c>
      <c r="D409" s="35">
        <v>9306.65</v>
      </c>
      <c r="E409" s="45">
        <f t="shared" si="27"/>
        <v>4.9618279395724496E-3</v>
      </c>
      <c r="F409">
        <v>783600</v>
      </c>
      <c r="G409">
        <v>467.6</v>
      </c>
      <c r="H409" s="45">
        <f t="shared" si="25"/>
        <v>-1.3502109704641274E-2</v>
      </c>
      <c r="I409">
        <v>3895100</v>
      </c>
      <c r="J409" s="38" t="s">
        <v>437</v>
      </c>
      <c r="K409" s="45">
        <f t="shared" si="26"/>
        <v>-1.5502985760219579E-3</v>
      </c>
    </row>
    <row r="410" spans="1:11" x14ac:dyDescent="0.25">
      <c r="A410" s="8">
        <v>44974</v>
      </c>
      <c r="B410">
        <v>6609.71</v>
      </c>
      <c r="C410">
        <f t="shared" si="24"/>
        <v>-5.0367520325387272E-3</v>
      </c>
      <c r="D410" s="35">
        <v>9327.7999999999993</v>
      </c>
      <c r="E410" s="45">
        <f t="shared" si="27"/>
        <v>2.2725685397000372E-3</v>
      </c>
      <c r="F410">
        <v>3063500</v>
      </c>
      <c r="G410">
        <v>465.1</v>
      </c>
      <c r="H410" s="45">
        <f t="shared" si="25"/>
        <v>-5.3464499572284385E-3</v>
      </c>
      <c r="I410">
        <v>4792600</v>
      </c>
      <c r="J410" s="38" t="s">
        <v>438</v>
      </c>
      <c r="K410" s="45">
        <f t="shared" si="26"/>
        <v>-7.8210362873081252E-3</v>
      </c>
    </row>
    <row r="411" spans="1:11" x14ac:dyDescent="0.25">
      <c r="A411" s="8">
        <v>44977</v>
      </c>
      <c r="B411">
        <v>6556.53</v>
      </c>
      <c r="C411">
        <f t="shared" si="24"/>
        <v>-8.0457387691744708E-3</v>
      </c>
      <c r="D411" s="35">
        <v>9275.4500000000007</v>
      </c>
      <c r="E411" s="45">
        <f t="shared" si="27"/>
        <v>-5.6122558373891129E-3</v>
      </c>
      <c r="F411">
        <v>3062400</v>
      </c>
      <c r="G411">
        <v>469.7</v>
      </c>
      <c r="H411" s="45">
        <f t="shared" si="25"/>
        <v>9.890346162115593E-3</v>
      </c>
      <c r="I411">
        <v>4949800</v>
      </c>
      <c r="J411" s="38" t="s">
        <v>439</v>
      </c>
      <c r="K411" s="45">
        <f t="shared" si="26"/>
        <v>-1.2229757143685127E-2</v>
      </c>
    </row>
    <row r="412" spans="1:11" x14ac:dyDescent="0.25">
      <c r="A412" s="8">
        <v>44978</v>
      </c>
      <c r="B412">
        <v>6516.1</v>
      </c>
      <c r="C412">
        <f t="shared" si="24"/>
        <v>-6.1663715410437137E-3</v>
      </c>
      <c r="D412" s="35">
        <v>9233.5499999999993</v>
      </c>
      <c r="E412" s="45">
        <f t="shared" si="27"/>
        <v>-4.5173010473886777E-3</v>
      </c>
      <c r="F412">
        <v>2986400</v>
      </c>
      <c r="G412">
        <v>478.7</v>
      </c>
      <c r="H412" s="45">
        <f t="shared" si="25"/>
        <v>1.916116670215029E-2</v>
      </c>
      <c r="I412">
        <v>3914100</v>
      </c>
      <c r="J412" s="38" t="s">
        <v>440</v>
      </c>
      <c r="K412" s="45">
        <f t="shared" si="26"/>
        <v>2.464499471892978E-3</v>
      </c>
    </row>
    <row r="413" spans="1:11" x14ac:dyDescent="0.25">
      <c r="A413" s="8">
        <v>44979</v>
      </c>
      <c r="B413">
        <v>6559.38</v>
      </c>
      <c r="C413">
        <f t="shared" si="24"/>
        <v>6.6420097911326081E-3</v>
      </c>
      <c r="D413" s="35">
        <v>9218.9500000000007</v>
      </c>
      <c r="E413" s="45">
        <f t="shared" si="27"/>
        <v>-1.5811903330786858E-3</v>
      </c>
      <c r="F413">
        <v>2577000</v>
      </c>
      <c r="G413">
        <v>477.25</v>
      </c>
      <c r="H413" s="45">
        <f t="shared" si="25"/>
        <v>-3.0290369751410084E-3</v>
      </c>
      <c r="I413">
        <v>5136600</v>
      </c>
      <c r="J413" s="38" t="s">
        <v>441</v>
      </c>
      <c r="K413" s="45">
        <f t="shared" si="26"/>
        <v>-1.7501756029033033E-2</v>
      </c>
    </row>
    <row r="414" spans="1:11" x14ac:dyDescent="0.25">
      <c r="A414" s="60">
        <v>44980</v>
      </c>
      <c r="B414">
        <v>6572.37</v>
      </c>
      <c r="C414">
        <f t="shared" si="24"/>
        <v>1.9803700959541981E-3</v>
      </c>
      <c r="D414" s="35">
        <v>9082.65</v>
      </c>
      <c r="E414" s="45">
        <f t="shared" si="27"/>
        <v>-1.4784763991560923E-2</v>
      </c>
      <c r="F414">
        <v>2075400</v>
      </c>
      <c r="G414">
        <v>477.45</v>
      </c>
      <c r="H414" s="45">
        <f t="shared" si="25"/>
        <v>4.1906757464649225E-4</v>
      </c>
      <c r="I414">
        <v>4807600</v>
      </c>
      <c r="J414" s="38" t="s">
        <v>442</v>
      </c>
      <c r="K414" s="45">
        <f t="shared" si="26"/>
        <v>5.9577003276745089E-4</v>
      </c>
    </row>
    <row r="415" spans="1:11" x14ac:dyDescent="0.25">
      <c r="A415" s="8">
        <v>44981</v>
      </c>
      <c r="B415">
        <v>6530.39</v>
      </c>
      <c r="C415">
        <f t="shared" si="24"/>
        <v>-6.3873458128498317E-3</v>
      </c>
      <c r="D415" s="35">
        <v>9058.7000000000007</v>
      </c>
      <c r="E415" s="45">
        <f t="shared" si="27"/>
        <v>-2.6368956196703985E-3</v>
      </c>
      <c r="F415">
        <v>2023500</v>
      </c>
      <c r="G415">
        <v>473.15</v>
      </c>
      <c r="H415" s="45">
        <f t="shared" si="25"/>
        <v>-9.0061786574510139E-3</v>
      </c>
      <c r="I415">
        <v>3933900</v>
      </c>
      <c r="J415" s="38" t="s">
        <v>443</v>
      </c>
      <c r="K415" s="45">
        <f t="shared" si="26"/>
        <v>-5.9541530217255279E-5</v>
      </c>
    </row>
    <row r="416" spans="1:11" x14ac:dyDescent="0.25">
      <c r="A416" s="8">
        <v>44984</v>
      </c>
      <c r="B416">
        <v>6539.48</v>
      </c>
      <c r="C416">
        <f t="shared" si="24"/>
        <v>1.3919536199216154E-3</v>
      </c>
      <c r="D416" s="35">
        <v>9036.15</v>
      </c>
      <c r="E416" s="45">
        <f t="shared" si="27"/>
        <v>-2.4893196595539013E-3</v>
      </c>
      <c r="F416">
        <v>2418100</v>
      </c>
      <c r="G416">
        <v>465.95</v>
      </c>
      <c r="H416" s="45">
        <f t="shared" si="25"/>
        <v>-1.5217161576666971E-2</v>
      </c>
      <c r="I416">
        <v>4315100</v>
      </c>
      <c r="J416" s="38" t="s">
        <v>444</v>
      </c>
      <c r="K416" s="45">
        <f t="shared" si="26"/>
        <v>1.9888055257829995E-2</v>
      </c>
    </row>
    <row r="417" spans="1:11" x14ac:dyDescent="0.25">
      <c r="A417" s="8">
        <v>44985</v>
      </c>
      <c r="B417">
        <v>6563.49</v>
      </c>
      <c r="C417">
        <f t="shared" si="24"/>
        <v>3.6715457498150972E-3</v>
      </c>
      <c r="D417" s="35">
        <v>8988.7999999999993</v>
      </c>
      <c r="E417" s="45">
        <f t="shared" si="27"/>
        <v>-5.2400635226286241E-3</v>
      </c>
      <c r="F417">
        <v>3053100</v>
      </c>
      <c r="G417">
        <v>466.2</v>
      </c>
      <c r="H417" s="45">
        <f t="shared" si="25"/>
        <v>5.365382551776321E-4</v>
      </c>
      <c r="I417">
        <v>4644300</v>
      </c>
      <c r="J417" s="38" t="s">
        <v>445</v>
      </c>
      <c r="K417" s="45">
        <f t="shared" si="26"/>
        <v>-1.8099019149929729E-3</v>
      </c>
    </row>
    <row r="418" spans="1:11" x14ac:dyDescent="0.25">
      <c r="A418" s="8">
        <v>44986</v>
      </c>
      <c r="B418">
        <v>6521.32</v>
      </c>
      <c r="C418">
        <f t="shared" si="24"/>
        <v>-6.4249355144899711E-3</v>
      </c>
      <c r="D418" s="35">
        <v>8964.5499999999993</v>
      </c>
      <c r="E418" s="45">
        <f t="shared" si="27"/>
        <v>-2.6978017087931905E-3</v>
      </c>
      <c r="F418">
        <v>1880600</v>
      </c>
      <c r="G418">
        <v>471.75</v>
      </c>
      <c r="H418" s="45">
        <f t="shared" si="25"/>
        <v>1.1904761904761862E-2</v>
      </c>
      <c r="I418">
        <v>3577500</v>
      </c>
      <c r="J418" s="38" t="s">
        <v>446</v>
      </c>
      <c r="K418" s="45">
        <f t="shared" si="26"/>
        <v>1.6962040123997824E-3</v>
      </c>
    </row>
    <row r="419" spans="1:11" x14ac:dyDescent="0.25">
      <c r="A419" s="8">
        <v>44987</v>
      </c>
      <c r="B419">
        <v>6520.9</v>
      </c>
      <c r="C419">
        <f t="shared" si="24"/>
        <v>-6.4404139039297981E-5</v>
      </c>
      <c r="D419" s="35">
        <v>9053.2999999999993</v>
      </c>
      <c r="E419" s="45">
        <f t="shared" si="27"/>
        <v>9.9001065307238179E-3</v>
      </c>
      <c r="F419">
        <v>3005500</v>
      </c>
      <c r="G419">
        <v>473.45</v>
      </c>
      <c r="H419" s="45">
        <f t="shared" si="25"/>
        <v>3.6036036036035668E-3</v>
      </c>
      <c r="I419">
        <v>5176700</v>
      </c>
      <c r="J419" s="38" t="s">
        <v>447</v>
      </c>
      <c r="K419" s="45">
        <f t="shared" si="26"/>
        <v>-2.685974541632552E-3</v>
      </c>
    </row>
    <row r="420" spans="1:11" x14ac:dyDescent="0.25">
      <c r="A420" s="8">
        <v>44988</v>
      </c>
      <c r="B420">
        <v>6598.45</v>
      </c>
      <c r="C420">
        <f t="shared" si="24"/>
        <v>1.1892530172215476E-2</v>
      </c>
      <c r="D420" s="35">
        <v>8999.9</v>
      </c>
      <c r="E420" s="45">
        <f t="shared" si="27"/>
        <v>-5.8984016877823287E-3</v>
      </c>
      <c r="F420">
        <v>2846800</v>
      </c>
      <c r="G420">
        <v>474.65</v>
      </c>
      <c r="H420" s="45">
        <f t="shared" si="25"/>
        <v>2.5345865455697059E-3</v>
      </c>
      <c r="I420">
        <v>8732300</v>
      </c>
      <c r="J420" s="38" t="s">
        <v>448</v>
      </c>
      <c r="K420" s="45">
        <f t="shared" si="26"/>
        <v>1.7037470725995263E-2</v>
      </c>
    </row>
    <row r="421" spans="1:11" x14ac:dyDescent="0.25">
      <c r="A421" s="8">
        <v>44991</v>
      </c>
      <c r="B421">
        <v>6665.87</v>
      </c>
      <c r="C421">
        <f t="shared" si="24"/>
        <v>1.0217551091544319E-2</v>
      </c>
      <c r="D421" s="35">
        <v>9124.9500000000007</v>
      </c>
      <c r="E421" s="45">
        <f t="shared" si="27"/>
        <v>1.3894598828875893E-2</v>
      </c>
      <c r="F421">
        <v>3545000</v>
      </c>
      <c r="G421">
        <v>482.75</v>
      </c>
      <c r="H421" s="45">
        <f t="shared" si="25"/>
        <v>1.7065205941219963E-2</v>
      </c>
      <c r="I421">
        <v>15660000</v>
      </c>
      <c r="J421" s="38" t="s">
        <v>449</v>
      </c>
      <c r="K421" s="45">
        <f t="shared" si="26"/>
        <v>-9.2107535547747421E-4</v>
      </c>
    </row>
    <row r="422" spans="1:11" x14ac:dyDescent="0.25">
      <c r="A422" s="8">
        <v>44993</v>
      </c>
      <c r="B422">
        <v>6670.5</v>
      </c>
      <c r="C422">
        <f t="shared" si="24"/>
        <v>6.9458300266878048E-4</v>
      </c>
      <c r="D422" s="35">
        <v>9190.0499999999993</v>
      </c>
      <c r="E422" s="45">
        <f t="shared" si="27"/>
        <v>7.1342856673186628E-3</v>
      </c>
      <c r="F422">
        <v>7494400</v>
      </c>
      <c r="G422">
        <v>473.65</v>
      </c>
      <c r="H422" s="45">
        <f t="shared" si="25"/>
        <v>-1.8850336613153829E-2</v>
      </c>
      <c r="I422">
        <v>14623700</v>
      </c>
      <c r="J422" s="38" t="s">
        <v>450</v>
      </c>
      <c r="K422" s="45">
        <f t="shared" si="26"/>
        <v>5.0129645635264009E-3</v>
      </c>
    </row>
    <row r="423" spans="1:11" x14ac:dyDescent="0.25">
      <c r="A423" s="8">
        <v>44994</v>
      </c>
      <c r="B423">
        <v>6692.71</v>
      </c>
      <c r="C423">
        <f t="shared" si="24"/>
        <v>3.3295854883441667E-3</v>
      </c>
      <c r="D423" s="35">
        <v>9217.5499999999993</v>
      </c>
      <c r="E423" s="45">
        <f t="shared" si="27"/>
        <v>2.9923667444682334E-3</v>
      </c>
      <c r="F423">
        <v>3781600</v>
      </c>
      <c r="G423">
        <v>471.35</v>
      </c>
      <c r="H423" s="45">
        <f t="shared" si="25"/>
        <v>-4.8559062598964031E-3</v>
      </c>
      <c r="I423">
        <v>8496100</v>
      </c>
      <c r="J423" s="38" t="s">
        <v>451</v>
      </c>
      <c r="K423" s="45">
        <f t="shared" si="26"/>
        <v>-1.851851851851849E-2</v>
      </c>
    </row>
    <row r="424" spans="1:11" x14ac:dyDescent="0.25">
      <c r="A424" s="8">
        <v>44995</v>
      </c>
      <c r="B424">
        <v>6699.86</v>
      </c>
      <c r="C424">
        <f t="shared" si="24"/>
        <v>1.068326582206458E-3</v>
      </c>
      <c r="D424" s="35">
        <v>9140.4</v>
      </c>
      <c r="E424" s="45">
        <f t="shared" si="27"/>
        <v>-8.3699030653481277E-3</v>
      </c>
      <c r="F424">
        <v>3285500</v>
      </c>
      <c r="G424">
        <v>468.65</v>
      </c>
      <c r="H424" s="45">
        <f t="shared" si="25"/>
        <v>-5.7282274318447568E-3</v>
      </c>
      <c r="I424">
        <v>7285700</v>
      </c>
      <c r="J424" s="38" t="s">
        <v>452</v>
      </c>
      <c r="K424" s="45">
        <f t="shared" si="26"/>
        <v>-1.5538290788013387E-2</v>
      </c>
    </row>
    <row r="425" spans="1:11" x14ac:dyDescent="0.25">
      <c r="A425" s="8">
        <v>44998</v>
      </c>
      <c r="B425">
        <v>6701.47</v>
      </c>
      <c r="C425">
        <f t="shared" si="24"/>
        <v>2.4030352873061211E-4</v>
      </c>
      <c r="D425" s="35">
        <v>9061.15</v>
      </c>
      <c r="E425" s="45">
        <f t="shared" si="27"/>
        <v>-8.6702988928274438E-3</v>
      </c>
      <c r="F425">
        <v>4309500</v>
      </c>
      <c r="G425">
        <v>453.6</v>
      </c>
      <c r="H425" s="45">
        <f t="shared" si="25"/>
        <v>-3.2113517550410697E-2</v>
      </c>
      <c r="I425">
        <v>8559400</v>
      </c>
      <c r="J425" s="38" t="s">
        <v>453</v>
      </c>
      <c r="K425" s="45">
        <f t="shared" si="26"/>
        <v>-1.6910935738444155E-2</v>
      </c>
    </row>
    <row r="426" spans="1:11" x14ac:dyDescent="0.25">
      <c r="A426" s="8">
        <v>44999</v>
      </c>
      <c r="B426">
        <v>6787.4</v>
      </c>
      <c r="C426">
        <f t="shared" si="24"/>
        <v>1.2822559826425994E-2</v>
      </c>
      <c r="D426" s="35">
        <v>8924.7000000000007</v>
      </c>
      <c r="E426" s="45">
        <f t="shared" si="27"/>
        <v>-1.5058794965318811E-2</v>
      </c>
      <c r="F426">
        <v>2332400</v>
      </c>
      <c r="G426">
        <v>451.35</v>
      </c>
      <c r="H426" s="45">
        <f t="shared" si="25"/>
        <v>-4.9603174603174427E-3</v>
      </c>
      <c r="I426">
        <v>6475300</v>
      </c>
      <c r="J426" s="38" t="s">
        <v>454</v>
      </c>
      <c r="K426" s="45">
        <f t="shared" si="26"/>
        <v>2.353935296958154E-3</v>
      </c>
    </row>
    <row r="427" spans="1:11" x14ac:dyDescent="0.25">
      <c r="A427" s="8">
        <v>45000</v>
      </c>
      <c r="B427">
        <v>6885.2</v>
      </c>
      <c r="C427">
        <f t="shared" si="24"/>
        <v>1.4409052067065442E-2</v>
      </c>
      <c r="D427" s="35">
        <v>8868.2999999999993</v>
      </c>
      <c r="E427" s="45">
        <f t="shared" si="27"/>
        <v>-6.3195401526103812E-3</v>
      </c>
      <c r="F427">
        <v>3321400</v>
      </c>
      <c r="G427">
        <v>454.8</v>
      </c>
      <c r="H427" s="45">
        <f t="shared" si="25"/>
        <v>7.6437354602858498E-3</v>
      </c>
      <c r="I427">
        <v>7271300</v>
      </c>
      <c r="J427" s="38" t="s">
        <v>455</v>
      </c>
      <c r="K427" s="45">
        <f t="shared" si="26"/>
        <v>-5.3591858854700192E-3</v>
      </c>
    </row>
    <row r="428" spans="1:11" x14ac:dyDescent="0.25">
      <c r="A428" s="8">
        <v>45001</v>
      </c>
      <c r="B428">
        <v>6910.17</v>
      </c>
      <c r="C428">
        <f t="shared" si="24"/>
        <v>3.6266194155580855E-3</v>
      </c>
      <c r="D428" s="35">
        <v>8840.9</v>
      </c>
      <c r="E428" s="45">
        <f t="shared" si="27"/>
        <v>-3.089656416675135E-3</v>
      </c>
      <c r="F428">
        <v>3348000</v>
      </c>
      <c r="G428">
        <v>446.6</v>
      </c>
      <c r="H428" s="45">
        <f t="shared" si="25"/>
        <v>-1.8029903254177637E-2</v>
      </c>
      <c r="I428">
        <v>5918700</v>
      </c>
      <c r="J428" s="38" t="s">
        <v>456</v>
      </c>
      <c r="K428" s="45">
        <f t="shared" si="26"/>
        <v>-2.4216006780481969E-3</v>
      </c>
    </row>
    <row r="429" spans="1:11" x14ac:dyDescent="0.25">
      <c r="A429" s="8">
        <v>45002</v>
      </c>
      <c r="B429">
        <v>6890</v>
      </c>
      <c r="C429">
        <f t="shared" si="24"/>
        <v>-2.9188862213230804E-3</v>
      </c>
      <c r="D429" s="35">
        <v>8854.2999999999993</v>
      </c>
      <c r="E429" s="45">
        <f t="shared" si="27"/>
        <v>1.5156827924758254E-3</v>
      </c>
      <c r="F429">
        <v>2813400</v>
      </c>
      <c r="G429">
        <v>443.8</v>
      </c>
      <c r="H429" s="45">
        <f t="shared" si="25"/>
        <v>-6.2695924764890609E-3</v>
      </c>
      <c r="I429">
        <v>5415700</v>
      </c>
      <c r="J429" s="38" t="s">
        <v>457</v>
      </c>
      <c r="K429" s="45">
        <f t="shared" si="26"/>
        <v>1.4989683213982197E-2</v>
      </c>
    </row>
    <row r="430" spans="1:11" x14ac:dyDescent="0.25">
      <c r="A430" s="8">
        <v>45005</v>
      </c>
      <c r="B430">
        <v>6886.34</v>
      </c>
      <c r="C430">
        <f t="shared" si="24"/>
        <v>-5.312046444121421E-4</v>
      </c>
      <c r="D430" s="35">
        <v>8909.2999999999993</v>
      </c>
      <c r="E430" s="45">
        <f t="shared" si="27"/>
        <v>6.2116711654225387E-3</v>
      </c>
      <c r="F430">
        <v>3073800</v>
      </c>
      <c r="G430">
        <v>436.4</v>
      </c>
      <c r="H430" s="45">
        <f t="shared" si="25"/>
        <v>-1.6674177557458369E-2</v>
      </c>
      <c r="I430">
        <v>5673000</v>
      </c>
      <c r="J430" s="38" t="s">
        <v>458</v>
      </c>
      <c r="K430" s="45">
        <f t="shared" si="26"/>
        <v>2.3916292974601738E-4</v>
      </c>
    </row>
    <row r="431" spans="1:11" x14ac:dyDescent="0.25">
      <c r="A431" s="8">
        <v>45006</v>
      </c>
      <c r="B431">
        <v>6891.22</v>
      </c>
      <c r="C431">
        <f t="shared" si="24"/>
        <v>7.0864929701408563E-4</v>
      </c>
      <c r="D431" s="35">
        <v>8846.2000000000007</v>
      </c>
      <c r="E431" s="45">
        <f t="shared" si="27"/>
        <v>-7.0824868395944485E-3</v>
      </c>
      <c r="F431">
        <v>3412800</v>
      </c>
      <c r="G431">
        <v>434.2</v>
      </c>
      <c r="H431" s="45">
        <f t="shared" si="25"/>
        <v>-5.0412465627863723E-3</v>
      </c>
      <c r="I431">
        <v>5397400</v>
      </c>
      <c r="J431" s="38" t="s">
        <v>459</v>
      </c>
      <c r="K431" s="45">
        <f t="shared" si="26"/>
        <v>1.9068683125111896E-2</v>
      </c>
    </row>
    <row r="432" spans="1:11" x14ac:dyDescent="0.25">
      <c r="A432" s="8">
        <v>45007</v>
      </c>
      <c r="B432">
        <v>6950.97</v>
      </c>
      <c r="C432">
        <f t="shared" si="24"/>
        <v>8.6704531273127383E-3</v>
      </c>
      <c r="D432" s="35">
        <v>8906.65</v>
      </c>
      <c r="E432" s="45">
        <f t="shared" si="27"/>
        <v>6.8334426081253508E-3</v>
      </c>
      <c r="F432">
        <v>2037200</v>
      </c>
      <c r="G432">
        <v>436.3</v>
      </c>
      <c r="H432" s="45">
        <f t="shared" si="25"/>
        <v>4.8364808843850415E-3</v>
      </c>
      <c r="I432">
        <v>5025600</v>
      </c>
      <c r="J432" s="38" t="s">
        <v>460</v>
      </c>
      <c r="K432" s="45">
        <f t="shared" si="26"/>
        <v>9.150633505396577E-3</v>
      </c>
    </row>
    <row r="433" spans="1:11" x14ac:dyDescent="0.25">
      <c r="A433" s="8">
        <v>45008</v>
      </c>
      <c r="B433">
        <v>7014.18</v>
      </c>
      <c r="C433">
        <f t="shared" si="24"/>
        <v>9.0936948368356418E-3</v>
      </c>
      <c r="D433" s="35">
        <v>8935.2999999999993</v>
      </c>
      <c r="E433" s="45">
        <f t="shared" si="27"/>
        <v>3.2166976360359367E-3</v>
      </c>
      <c r="F433">
        <v>1771600</v>
      </c>
      <c r="G433">
        <v>439.8</v>
      </c>
      <c r="H433" s="45">
        <f t="shared" si="25"/>
        <v>8.0220032088011983E-3</v>
      </c>
      <c r="I433">
        <v>5693200</v>
      </c>
      <c r="J433" s="38" t="s">
        <v>461</v>
      </c>
      <c r="K433" s="45">
        <f t="shared" si="26"/>
        <v>-5.5219716345036307E-3</v>
      </c>
    </row>
    <row r="434" spans="1:11" x14ac:dyDescent="0.25">
      <c r="A434" s="8">
        <v>45009</v>
      </c>
      <c r="B434">
        <v>7003.06</v>
      </c>
      <c r="C434">
        <f t="shared" si="24"/>
        <v>-1.5853599422883669E-3</v>
      </c>
      <c r="D434" s="35">
        <v>8899.4</v>
      </c>
      <c r="E434" s="45">
        <f t="shared" si="27"/>
        <v>-4.0177722068648336E-3</v>
      </c>
      <c r="F434">
        <v>2599300</v>
      </c>
      <c r="G434">
        <v>433.7</v>
      </c>
      <c r="H434" s="45">
        <f t="shared" si="25"/>
        <v>-1.3869940882219267E-2</v>
      </c>
      <c r="I434">
        <v>5108300</v>
      </c>
      <c r="J434" s="38" t="s">
        <v>459</v>
      </c>
      <c r="K434" s="45">
        <f t="shared" si="26"/>
        <v>-3.5653749488574471E-3</v>
      </c>
    </row>
    <row r="435" spans="1:11" x14ac:dyDescent="0.25">
      <c r="A435" s="8">
        <v>45012</v>
      </c>
      <c r="B435">
        <v>6959.3</v>
      </c>
      <c r="C435">
        <f t="shared" si="24"/>
        <v>-6.248696998169434E-3</v>
      </c>
      <c r="D435" s="35">
        <v>8828.1</v>
      </c>
      <c r="E435" s="45">
        <f t="shared" si="27"/>
        <v>-8.0117760747915323E-3</v>
      </c>
      <c r="F435">
        <v>2347800</v>
      </c>
      <c r="G435">
        <v>423.25</v>
      </c>
      <c r="H435" s="45">
        <f t="shared" si="25"/>
        <v>-2.4094996541388025E-2</v>
      </c>
      <c r="I435">
        <v>4340400</v>
      </c>
      <c r="J435" s="38" t="s">
        <v>462</v>
      </c>
      <c r="K435" s="45">
        <f t="shared" si="26"/>
        <v>-4.340685124354704E-3</v>
      </c>
    </row>
    <row r="436" spans="1:11" x14ac:dyDescent="0.25">
      <c r="A436" s="8">
        <v>45013</v>
      </c>
      <c r="B436">
        <v>7013.46</v>
      </c>
      <c r="C436">
        <f t="shared" si="24"/>
        <v>7.7823919072319558E-3</v>
      </c>
      <c r="D436" s="35">
        <v>8830.6</v>
      </c>
      <c r="E436" s="45">
        <f t="shared" si="27"/>
        <v>2.8318664265247762E-4</v>
      </c>
      <c r="F436">
        <v>2610400</v>
      </c>
      <c r="G436">
        <v>422.85</v>
      </c>
      <c r="H436" s="45">
        <f t="shared" si="25"/>
        <v>-9.4506792675719264E-4</v>
      </c>
      <c r="I436">
        <v>4369100</v>
      </c>
      <c r="J436" s="38" t="s">
        <v>463</v>
      </c>
      <c r="K436" s="45">
        <f t="shared" si="26"/>
        <v>7.1285495463648818E-3</v>
      </c>
    </row>
    <row r="437" spans="1:11" x14ac:dyDescent="0.25">
      <c r="A437" s="8">
        <v>45014</v>
      </c>
      <c r="B437">
        <v>7002.91</v>
      </c>
      <c r="C437">
        <f t="shared" si="24"/>
        <v>-1.5042503985194244E-3</v>
      </c>
      <c r="D437" s="35">
        <v>8802.0499999999993</v>
      </c>
      <c r="E437" s="45">
        <f t="shared" si="27"/>
        <v>-3.2330758951827354E-3</v>
      </c>
      <c r="F437">
        <v>2376300</v>
      </c>
      <c r="G437">
        <v>422.3</v>
      </c>
      <c r="H437" s="45">
        <f t="shared" si="25"/>
        <v>-1.3006976469197573E-3</v>
      </c>
      <c r="I437">
        <v>3825300</v>
      </c>
      <c r="J437" s="38" t="s">
        <v>464</v>
      </c>
      <c r="K437" s="45">
        <f t="shared" si="26"/>
        <v>-4.3872477332553839E-3</v>
      </c>
    </row>
    <row r="438" spans="1:11" x14ac:dyDescent="0.25">
      <c r="A438" s="8">
        <v>45016</v>
      </c>
      <c r="B438">
        <v>6947.19</v>
      </c>
      <c r="C438">
        <f t="shared" si="24"/>
        <v>-7.956692289348366E-3</v>
      </c>
      <c r="D438" s="35">
        <v>8875.6</v>
      </c>
      <c r="E438" s="45">
        <f t="shared" si="27"/>
        <v>8.3560079754150252E-3</v>
      </c>
      <c r="F438">
        <v>2081500</v>
      </c>
      <c r="G438">
        <v>428.05</v>
      </c>
      <c r="H438" s="45">
        <f t="shared" si="25"/>
        <v>1.3615912858157664E-2</v>
      </c>
      <c r="I438">
        <v>4903100</v>
      </c>
      <c r="J438" s="38" t="s">
        <v>465</v>
      </c>
      <c r="K438" s="45">
        <f t="shared" si="26"/>
        <v>3.0846063454759154E-2</v>
      </c>
    </row>
    <row r="439" spans="1:11" x14ac:dyDescent="0.25">
      <c r="A439" s="8">
        <v>45019</v>
      </c>
      <c r="B439">
        <v>6979.79</v>
      </c>
      <c r="C439">
        <f t="shared" si="24"/>
        <v>4.6925447555055122E-3</v>
      </c>
      <c r="D439" s="35">
        <v>9007.9</v>
      </c>
      <c r="E439" s="45">
        <f t="shared" si="27"/>
        <v>1.4906034521609657E-2</v>
      </c>
      <c r="F439">
        <v>1859100</v>
      </c>
      <c r="G439">
        <v>437.85</v>
      </c>
      <c r="H439" s="45">
        <f t="shared" si="25"/>
        <v>2.2894521668029411E-2</v>
      </c>
      <c r="I439">
        <v>4004600</v>
      </c>
      <c r="J439" s="38" t="s">
        <v>466</v>
      </c>
      <c r="K439" s="45">
        <f t="shared" si="26"/>
        <v>7.4665146765460211E-3</v>
      </c>
    </row>
    <row r="440" spans="1:11" x14ac:dyDescent="0.25">
      <c r="A440" s="8">
        <v>45021</v>
      </c>
      <c r="B440">
        <v>6985.3</v>
      </c>
      <c r="C440">
        <f t="shared" si="24"/>
        <v>7.894220313218181E-4</v>
      </c>
      <c r="D440" s="35">
        <v>9030.65</v>
      </c>
      <c r="E440" s="45">
        <f t="shared" si="27"/>
        <v>2.5255608965464305E-3</v>
      </c>
      <c r="F440">
        <v>2764700</v>
      </c>
      <c r="G440">
        <v>452.2</v>
      </c>
      <c r="H440" s="45">
        <f t="shared" si="25"/>
        <v>3.2773780975219768E-2</v>
      </c>
      <c r="I440">
        <v>4242900</v>
      </c>
      <c r="J440" s="38" t="s">
        <v>467</v>
      </c>
      <c r="K440" s="45">
        <f t="shared" si="26"/>
        <v>9.0518216791135586E-4</v>
      </c>
    </row>
    <row r="441" spans="1:11" x14ac:dyDescent="0.25">
      <c r="A441" s="8">
        <v>45022</v>
      </c>
      <c r="B441">
        <v>7016.35</v>
      </c>
      <c r="C441">
        <f t="shared" si="24"/>
        <v>4.4450488883798212E-3</v>
      </c>
      <c r="D441" s="35">
        <v>9098.35</v>
      </c>
      <c r="E441" s="45">
        <f t="shared" si="27"/>
        <v>7.4966918217405087E-3</v>
      </c>
      <c r="F441">
        <v>1823900</v>
      </c>
      <c r="G441">
        <v>459.95</v>
      </c>
      <c r="H441" s="45">
        <f t="shared" si="25"/>
        <v>1.7138434321096963E-2</v>
      </c>
      <c r="I441">
        <v>3257100</v>
      </c>
      <c r="J441" s="38" t="s">
        <v>468</v>
      </c>
      <c r="K441" s="45">
        <f t="shared" si="26"/>
        <v>-1.0852362649785285E-2</v>
      </c>
    </row>
    <row r="442" spans="1:11" x14ac:dyDescent="0.25">
      <c r="A442" s="8">
        <v>45026</v>
      </c>
      <c r="B442">
        <v>7046.69</v>
      </c>
      <c r="C442">
        <f t="shared" si="24"/>
        <v>4.3241856520839228E-3</v>
      </c>
      <c r="D442" s="35">
        <v>9124.5</v>
      </c>
      <c r="E442" s="45">
        <f t="shared" si="27"/>
        <v>2.8741475102627145E-3</v>
      </c>
      <c r="F442">
        <v>604500</v>
      </c>
      <c r="G442">
        <v>463.25</v>
      </c>
      <c r="H442" s="45">
        <f t="shared" si="25"/>
        <v>7.1746929014022687E-3</v>
      </c>
      <c r="I442">
        <v>1609900</v>
      </c>
      <c r="J442" s="38" t="s">
        <v>469</v>
      </c>
      <c r="K442" s="45">
        <f t="shared" si="26"/>
        <v>-7.4857142857142067E-3</v>
      </c>
    </row>
    <row r="443" spans="1:11" x14ac:dyDescent="0.25">
      <c r="A443" s="8">
        <v>45027</v>
      </c>
      <c r="B443">
        <v>7032.23</v>
      </c>
      <c r="C443">
        <f t="shared" si="24"/>
        <v>-2.0520272638643311E-3</v>
      </c>
      <c r="D443" s="35">
        <v>9143.4500000000007</v>
      </c>
      <c r="E443" s="45">
        <f t="shared" si="27"/>
        <v>2.0768261274590749E-3</v>
      </c>
      <c r="F443">
        <v>2032400</v>
      </c>
      <c r="G443">
        <v>463.15</v>
      </c>
      <c r="H443" s="45">
        <f t="shared" si="25"/>
        <v>-2.1586616297897265E-4</v>
      </c>
      <c r="I443">
        <v>5204200</v>
      </c>
      <c r="J443" s="38" t="s">
        <v>470</v>
      </c>
      <c r="K443" s="45">
        <f t="shared" si="26"/>
        <v>1.5487362542460525E-2</v>
      </c>
    </row>
    <row r="444" spans="1:11" x14ac:dyDescent="0.25">
      <c r="A444" s="8">
        <v>45028</v>
      </c>
      <c r="B444">
        <v>7005.72</v>
      </c>
      <c r="C444">
        <f t="shared" si="24"/>
        <v>-3.7697856867593416E-3</v>
      </c>
      <c r="D444" s="35">
        <v>9192.5499999999993</v>
      </c>
      <c r="E444" s="45">
        <f t="shared" si="27"/>
        <v>5.3699642913778156E-3</v>
      </c>
      <c r="F444">
        <v>2852800</v>
      </c>
      <c r="G444">
        <v>461.6</v>
      </c>
      <c r="H444" s="45">
        <f t="shared" si="25"/>
        <v>-3.346647954226345E-3</v>
      </c>
      <c r="I444">
        <v>5176700</v>
      </c>
      <c r="J444" s="38" t="s">
        <v>471</v>
      </c>
      <c r="K444" s="45">
        <f t="shared" si="26"/>
        <v>9.3548021317608754E-3</v>
      </c>
    </row>
    <row r="445" spans="1:11" x14ac:dyDescent="0.25">
      <c r="A445" s="8">
        <v>45029</v>
      </c>
      <c r="B445">
        <v>7097.32</v>
      </c>
      <c r="C445">
        <f t="shared" si="24"/>
        <v>1.3075030118246067E-2</v>
      </c>
      <c r="D445" s="35">
        <v>9239.65</v>
      </c>
      <c r="E445" s="45">
        <f t="shared" si="27"/>
        <v>5.1237143121332096E-3</v>
      </c>
      <c r="F445">
        <v>5050700</v>
      </c>
      <c r="G445">
        <v>454.3</v>
      </c>
      <c r="H445" s="45">
        <f t="shared" si="25"/>
        <v>-1.581455805892551E-2</v>
      </c>
      <c r="I445">
        <v>6519600</v>
      </c>
      <c r="J445" s="38" t="s">
        <v>472</v>
      </c>
      <c r="K445" s="45">
        <f t="shared" si="26"/>
        <v>9.9421445823737464E-3</v>
      </c>
    </row>
    <row r="446" spans="1:11" x14ac:dyDescent="0.25">
      <c r="A446" s="8">
        <v>45033</v>
      </c>
      <c r="B446">
        <v>7074.82</v>
      </c>
      <c r="C446">
        <f t="shared" si="24"/>
        <v>-3.1702107274295122E-3</v>
      </c>
      <c r="D446" s="35">
        <v>9245.7999999999993</v>
      </c>
      <c r="E446" s="45">
        <f t="shared" si="27"/>
        <v>6.6560962807038493E-4</v>
      </c>
      <c r="F446">
        <v>3357500</v>
      </c>
      <c r="G446">
        <v>456.9</v>
      </c>
      <c r="H446" s="45">
        <f t="shared" si="25"/>
        <v>5.7230904688529982E-3</v>
      </c>
      <c r="I446">
        <v>7423600</v>
      </c>
      <c r="J446" s="38" t="s">
        <v>473</v>
      </c>
      <c r="K446" s="45">
        <f t="shared" si="26"/>
        <v>2.5583982202446176E-3</v>
      </c>
    </row>
    <row r="447" spans="1:11" x14ac:dyDescent="0.25">
      <c r="A447" s="8">
        <v>45034</v>
      </c>
      <c r="B447">
        <v>7092.62</v>
      </c>
      <c r="C447">
        <f t="shared" si="24"/>
        <v>2.5159650704893455E-3</v>
      </c>
      <c r="D447" s="35">
        <v>9208.85</v>
      </c>
      <c r="E447" s="45">
        <f t="shared" si="27"/>
        <v>-3.9964091803844637E-3</v>
      </c>
      <c r="F447">
        <v>2783800</v>
      </c>
      <c r="G447">
        <v>465.1</v>
      </c>
      <c r="H447" s="45">
        <f t="shared" si="25"/>
        <v>1.7947034362004954E-2</v>
      </c>
      <c r="I447">
        <v>6512000</v>
      </c>
      <c r="J447" s="38" t="s">
        <v>474</v>
      </c>
      <c r="K447" s="45">
        <f t="shared" si="26"/>
        <v>-4.9373127704426256E-3</v>
      </c>
    </row>
    <row r="448" spans="1:11" x14ac:dyDescent="0.25">
      <c r="A448" s="8">
        <v>45035</v>
      </c>
      <c r="B448">
        <v>7082.58</v>
      </c>
      <c r="C448">
        <f t="shared" si="24"/>
        <v>-1.4155558876691732E-3</v>
      </c>
      <c r="D448" s="35">
        <v>9203.2000000000007</v>
      </c>
      <c r="E448" s="45">
        <f t="shared" si="27"/>
        <v>-6.135402357514419E-4</v>
      </c>
      <c r="F448">
        <v>1945300</v>
      </c>
      <c r="G448">
        <v>461.05</v>
      </c>
      <c r="H448" s="45">
        <f t="shared" si="25"/>
        <v>-8.7078047731671271E-3</v>
      </c>
      <c r="I448">
        <v>5021200</v>
      </c>
      <c r="J448" s="38" t="s">
        <v>475</v>
      </c>
      <c r="K448" s="45">
        <f t="shared" si="26"/>
        <v>-5.5193176116408171E-3</v>
      </c>
    </row>
    <row r="449" spans="1:11" x14ac:dyDescent="0.25">
      <c r="A449" s="8">
        <v>45036</v>
      </c>
      <c r="B449">
        <v>7014.72</v>
      </c>
      <c r="C449">
        <f t="shared" si="24"/>
        <v>-9.5812542886913876E-3</v>
      </c>
      <c r="D449" s="35">
        <v>9176.85</v>
      </c>
      <c r="E449" s="45">
        <f t="shared" si="27"/>
        <v>-2.8631345618915782E-3</v>
      </c>
      <c r="F449">
        <v>1790300</v>
      </c>
      <c r="G449">
        <v>439.95</v>
      </c>
      <c r="H449" s="45">
        <f t="shared" si="25"/>
        <v>-4.5765101398980601E-2</v>
      </c>
      <c r="I449">
        <v>5388800</v>
      </c>
      <c r="J449" s="38" t="s">
        <v>476</v>
      </c>
      <c r="K449" s="45">
        <f t="shared" si="26"/>
        <v>2.8030048211682423E-3</v>
      </c>
    </row>
    <row r="450" spans="1:11" x14ac:dyDescent="0.25">
      <c r="A450" s="8">
        <v>45037</v>
      </c>
      <c r="B450">
        <v>7029.97</v>
      </c>
      <c r="C450">
        <f t="shared" si="24"/>
        <v>2.1739998175265285E-3</v>
      </c>
      <c r="D450" s="35">
        <v>9179.2000000000007</v>
      </c>
      <c r="E450" s="45">
        <f t="shared" si="27"/>
        <v>2.5607915570158291E-4</v>
      </c>
      <c r="F450">
        <v>2490900</v>
      </c>
      <c r="G450">
        <v>430.15</v>
      </c>
      <c r="H450" s="45">
        <f t="shared" si="25"/>
        <v>-2.2275258552108212E-2</v>
      </c>
      <c r="I450">
        <v>6878400</v>
      </c>
      <c r="J450" s="38" t="s">
        <v>477</v>
      </c>
      <c r="K450" s="45">
        <f t="shared" si="26"/>
        <v>-9.78309481216455E-3</v>
      </c>
    </row>
    <row r="451" spans="1:11" x14ac:dyDescent="0.25">
      <c r="A451" s="8">
        <v>45040</v>
      </c>
      <c r="B451">
        <v>7048.1</v>
      </c>
      <c r="C451">
        <f t="shared" si="24"/>
        <v>2.5789583739332933E-3</v>
      </c>
      <c r="D451" s="35">
        <v>9171.85</v>
      </c>
      <c r="E451" s="45">
        <f t="shared" si="27"/>
        <v>-8.0072337458603204E-4</v>
      </c>
      <c r="F451">
        <v>3083700</v>
      </c>
      <c r="G451">
        <v>430.2</v>
      </c>
      <c r="H451" s="45">
        <f t="shared" si="25"/>
        <v>1.1623852144593272E-4</v>
      </c>
      <c r="I451">
        <v>9439800</v>
      </c>
      <c r="J451" s="38" t="s">
        <v>478</v>
      </c>
      <c r="K451" s="45">
        <f t="shared" si="26"/>
        <v>2.1566081409134519E-2</v>
      </c>
    </row>
    <row r="452" spans="1:11" x14ac:dyDescent="0.25">
      <c r="A452" s="8">
        <v>45041</v>
      </c>
      <c r="B452">
        <v>7028.51</v>
      </c>
      <c r="C452">
        <f t="shared" ref="C452:C515" si="28">B452/B451-1</f>
        <v>-2.7794724819455441E-3</v>
      </c>
      <c r="D452" s="35">
        <v>9226.4</v>
      </c>
      <c r="E452" s="45">
        <f t="shared" si="27"/>
        <v>5.947546023975514E-3</v>
      </c>
      <c r="F452">
        <v>2604800</v>
      </c>
      <c r="G452">
        <v>436.15</v>
      </c>
      <c r="H452" s="45">
        <f t="shared" ref="H452:H515" si="29">G452/G451-1</f>
        <v>1.3830776383077614E-2</v>
      </c>
      <c r="I452">
        <v>5080300</v>
      </c>
      <c r="J452" s="38" t="s">
        <v>479</v>
      </c>
      <c r="K452" s="45">
        <f t="shared" ref="K452:K515" si="30">J452/J451-1</f>
        <v>9.6159159988946641E-3</v>
      </c>
    </row>
    <row r="453" spans="1:11" x14ac:dyDescent="0.25">
      <c r="A453" s="59">
        <v>45042</v>
      </c>
      <c r="B453">
        <v>7102.41</v>
      </c>
      <c r="C453">
        <f t="shared" si="28"/>
        <v>1.0514319535719574E-2</v>
      </c>
      <c r="D453" s="35">
        <v>9241.4500000000007</v>
      </c>
      <c r="E453" s="45">
        <f t="shared" ref="E453:E516" si="31">D453/D452-1</f>
        <v>1.6311887626812016E-3</v>
      </c>
      <c r="F453">
        <v>3622000</v>
      </c>
      <c r="G453">
        <v>434.7</v>
      </c>
      <c r="H453" s="45">
        <f t="shared" si="29"/>
        <v>-3.3245443081508785E-3</v>
      </c>
      <c r="I453">
        <v>4471200</v>
      </c>
      <c r="J453" s="38" t="s">
        <v>480</v>
      </c>
      <c r="K453" s="45">
        <f t="shared" si="30"/>
        <v>1.6421260058021581E-3</v>
      </c>
    </row>
    <row r="454" spans="1:11" x14ac:dyDescent="0.25">
      <c r="A454" s="8">
        <v>45043</v>
      </c>
      <c r="B454">
        <v>7124.61</v>
      </c>
      <c r="C454">
        <f t="shared" si="28"/>
        <v>3.1256995864783477E-3</v>
      </c>
      <c r="D454" s="35">
        <v>9264.1</v>
      </c>
      <c r="E454" s="45">
        <f t="shared" si="31"/>
        <v>2.45091408815723E-3</v>
      </c>
      <c r="F454">
        <v>2370000</v>
      </c>
      <c r="G454">
        <v>438.15</v>
      </c>
      <c r="H454" s="45">
        <f t="shared" si="29"/>
        <v>7.9365079365079083E-3</v>
      </c>
      <c r="I454">
        <v>4430800</v>
      </c>
      <c r="J454" s="38" t="s">
        <v>481</v>
      </c>
      <c r="K454" s="45">
        <f t="shared" si="30"/>
        <v>3.7160500573800714E-3</v>
      </c>
    </row>
    <row r="455" spans="1:11" x14ac:dyDescent="0.25">
      <c r="A455" s="8">
        <v>45044</v>
      </c>
      <c r="B455">
        <v>7159.65</v>
      </c>
      <c r="C455">
        <f t="shared" si="28"/>
        <v>4.9181639416051581E-3</v>
      </c>
      <c r="D455" s="35">
        <v>9313.9500000000007</v>
      </c>
      <c r="E455" s="45">
        <f t="shared" si="31"/>
        <v>5.380986820090472E-3</v>
      </c>
      <c r="F455">
        <v>2475300</v>
      </c>
      <c r="G455">
        <v>443.05</v>
      </c>
      <c r="H455" s="45">
        <f t="shared" si="29"/>
        <v>1.1183384685609976E-2</v>
      </c>
      <c r="I455">
        <v>5477500</v>
      </c>
      <c r="J455" s="38" t="s">
        <v>482</v>
      </c>
      <c r="K455" s="45">
        <f t="shared" si="30"/>
        <v>-7.6223662002505854E-4</v>
      </c>
    </row>
    <row r="456" spans="1:11" x14ac:dyDescent="0.25">
      <c r="A456" s="8">
        <v>45048</v>
      </c>
      <c r="B456">
        <v>7131.98</v>
      </c>
      <c r="C456">
        <f t="shared" si="28"/>
        <v>-3.8647140572514171E-3</v>
      </c>
      <c r="D456" s="35">
        <v>9404</v>
      </c>
      <c r="E456" s="45">
        <f t="shared" si="31"/>
        <v>9.6682932590361759E-3</v>
      </c>
      <c r="F456">
        <v>3095600</v>
      </c>
      <c r="G456">
        <v>452.45</v>
      </c>
      <c r="H456" s="45">
        <f t="shared" si="29"/>
        <v>2.1216566978896179E-2</v>
      </c>
      <c r="I456">
        <v>4829900</v>
      </c>
      <c r="J456" s="38" t="s">
        <v>483</v>
      </c>
      <c r="K456" s="45">
        <f t="shared" si="30"/>
        <v>4.8493434315917128E-3</v>
      </c>
    </row>
    <row r="457" spans="1:11" x14ac:dyDescent="0.25">
      <c r="A457" s="8">
        <v>45049</v>
      </c>
      <c r="B457">
        <v>7098.09</v>
      </c>
      <c r="C457">
        <f t="shared" si="28"/>
        <v>-4.7518360960069339E-3</v>
      </c>
      <c r="D457" s="35">
        <v>9455</v>
      </c>
      <c r="E457" s="45">
        <f t="shared" si="31"/>
        <v>5.4232241599319053E-3</v>
      </c>
      <c r="F457">
        <v>4014000</v>
      </c>
      <c r="G457">
        <v>455.8</v>
      </c>
      <c r="H457" s="45">
        <f t="shared" si="29"/>
        <v>7.4041330533760608E-3</v>
      </c>
      <c r="I457">
        <v>9312600</v>
      </c>
      <c r="J457" s="38" t="s">
        <v>484</v>
      </c>
      <c r="K457" s="45">
        <f t="shared" si="30"/>
        <v>8.1336080685390222E-4</v>
      </c>
    </row>
    <row r="458" spans="1:11" x14ac:dyDescent="0.25">
      <c r="A458" s="8">
        <v>45050</v>
      </c>
      <c r="B458">
        <v>7116.98</v>
      </c>
      <c r="C458">
        <f t="shared" si="28"/>
        <v>2.6612793018965242E-3</v>
      </c>
      <c r="D458" s="35">
        <v>9436.35</v>
      </c>
      <c r="E458" s="45">
        <f t="shared" si="31"/>
        <v>-1.972501322051734E-3</v>
      </c>
      <c r="F458">
        <v>2383100</v>
      </c>
      <c r="G458">
        <v>472.25</v>
      </c>
      <c r="H458" s="45">
        <f t="shared" si="29"/>
        <v>3.6090390522158788E-2</v>
      </c>
      <c r="I458">
        <v>4372700</v>
      </c>
      <c r="J458" s="38" t="s">
        <v>485</v>
      </c>
      <c r="K458" s="45">
        <f t="shared" si="30"/>
        <v>-1.2461396760036214E-3</v>
      </c>
    </row>
    <row r="459" spans="1:11" x14ac:dyDescent="0.25">
      <c r="A459" s="8">
        <v>45051</v>
      </c>
      <c r="B459">
        <v>7167.03</v>
      </c>
      <c r="C459">
        <f t="shared" si="28"/>
        <v>7.0324772586125572E-3</v>
      </c>
      <c r="D459" s="35">
        <v>9516</v>
      </c>
      <c r="E459" s="45">
        <f t="shared" si="31"/>
        <v>8.440763642721949E-3</v>
      </c>
      <c r="F459">
        <v>1619500</v>
      </c>
      <c r="G459">
        <v>469.3</v>
      </c>
      <c r="H459" s="45">
        <f t="shared" si="29"/>
        <v>-6.2466913710957916E-3</v>
      </c>
      <c r="I459">
        <v>4615000</v>
      </c>
      <c r="J459" s="38" t="s">
        <v>486</v>
      </c>
      <c r="K459" s="45">
        <f t="shared" si="30"/>
        <v>5.6959965281544456E-3</v>
      </c>
    </row>
    <row r="460" spans="1:11" x14ac:dyDescent="0.25">
      <c r="A460" s="8">
        <v>45054</v>
      </c>
      <c r="B460">
        <v>7190.14</v>
      </c>
      <c r="C460">
        <f t="shared" si="28"/>
        <v>3.2244876887637108E-3</v>
      </c>
      <c r="D460" s="35">
        <v>9434.0499999999993</v>
      </c>
      <c r="E460" s="45">
        <f t="shared" si="31"/>
        <v>-8.6118116855822269E-3</v>
      </c>
      <c r="F460">
        <v>1288400</v>
      </c>
      <c r="G460">
        <v>470.25</v>
      </c>
      <c r="H460" s="45">
        <f t="shared" si="29"/>
        <v>2.0242914979757831E-3</v>
      </c>
      <c r="I460">
        <v>4592900</v>
      </c>
      <c r="J460" s="38" t="s">
        <v>487</v>
      </c>
      <c r="K460" s="45">
        <f t="shared" si="30"/>
        <v>1.1812934894007254E-2</v>
      </c>
    </row>
    <row r="461" spans="1:11" x14ac:dyDescent="0.25">
      <c r="A461" s="8">
        <v>45055</v>
      </c>
      <c r="B461">
        <v>7208.78</v>
      </c>
      <c r="C461">
        <f t="shared" si="28"/>
        <v>2.5924390901983507E-3</v>
      </c>
      <c r="D461" s="35">
        <v>9528.5499999999993</v>
      </c>
      <c r="E461" s="45">
        <f t="shared" si="31"/>
        <v>1.001690684276646E-2</v>
      </c>
      <c r="F461">
        <v>1390200</v>
      </c>
      <c r="G461">
        <v>481.95</v>
      </c>
      <c r="H461" s="45">
        <f t="shared" si="29"/>
        <v>2.4880382775119614E-2</v>
      </c>
      <c r="I461">
        <v>2868100</v>
      </c>
      <c r="J461" s="38" t="s">
        <v>488</v>
      </c>
      <c r="K461" s="45">
        <f t="shared" si="30"/>
        <v>-3.7317411237871578E-3</v>
      </c>
    </row>
    <row r="462" spans="1:11" x14ac:dyDescent="0.25">
      <c r="A462" s="8">
        <v>45056</v>
      </c>
      <c r="B462">
        <v>7197.27</v>
      </c>
      <c r="C462">
        <f t="shared" si="28"/>
        <v>-1.5966640679836441E-3</v>
      </c>
      <c r="D462" s="35">
        <v>9527</v>
      </c>
      <c r="E462" s="45">
        <f t="shared" si="31"/>
        <v>-1.6266903148953737E-4</v>
      </c>
      <c r="F462">
        <v>1351800</v>
      </c>
      <c r="G462">
        <v>499.15</v>
      </c>
      <c r="H462" s="45">
        <f t="shared" si="29"/>
        <v>3.5688349413839582E-2</v>
      </c>
      <c r="I462">
        <v>3311800</v>
      </c>
      <c r="J462" s="38" t="s">
        <v>489</v>
      </c>
      <c r="K462" s="45">
        <f t="shared" si="30"/>
        <v>1.7658390410959512E-3</v>
      </c>
    </row>
    <row r="463" spans="1:11" x14ac:dyDescent="0.25">
      <c r="A463" s="8">
        <v>45057</v>
      </c>
      <c r="B463">
        <v>7245.81</v>
      </c>
      <c r="C463">
        <f t="shared" si="28"/>
        <v>6.744223851543607E-3</v>
      </c>
      <c r="D463" s="35">
        <v>9553.5499999999993</v>
      </c>
      <c r="E463" s="45">
        <f t="shared" si="31"/>
        <v>2.7868164165003595E-3</v>
      </c>
      <c r="F463">
        <v>1263800</v>
      </c>
      <c r="G463">
        <v>492.2</v>
      </c>
      <c r="H463" s="45">
        <f t="shared" si="29"/>
        <v>-1.3923670239406993E-2</v>
      </c>
      <c r="I463">
        <v>3866900</v>
      </c>
      <c r="J463" s="38" t="s">
        <v>490</v>
      </c>
      <c r="K463" s="45">
        <f t="shared" si="30"/>
        <v>3.3652048501684462E-3</v>
      </c>
    </row>
    <row r="464" spans="1:11" x14ac:dyDescent="0.25">
      <c r="A464" s="8">
        <v>45058</v>
      </c>
      <c r="B464">
        <v>7242.24</v>
      </c>
      <c r="C464">
        <f t="shared" si="28"/>
        <v>-4.9269853887978776E-4</v>
      </c>
      <c r="D464" s="35">
        <v>9558.85</v>
      </c>
      <c r="E464" s="45">
        <f t="shared" si="31"/>
        <v>5.5476759947881149E-4</v>
      </c>
      <c r="F464">
        <v>1386800</v>
      </c>
      <c r="G464">
        <v>497.6</v>
      </c>
      <c r="H464" s="45">
        <f t="shared" si="29"/>
        <v>1.0971149939049241E-2</v>
      </c>
      <c r="I464">
        <v>3516200</v>
      </c>
      <c r="J464" s="38" t="s">
        <v>491</v>
      </c>
      <c r="K464" s="45">
        <f t="shared" si="30"/>
        <v>5.0042589437817586E-3</v>
      </c>
    </row>
    <row r="465" spans="1:11" x14ac:dyDescent="0.25">
      <c r="A465" s="8">
        <v>45061</v>
      </c>
      <c r="B465">
        <v>7253.56</v>
      </c>
      <c r="C465">
        <f t="shared" si="28"/>
        <v>1.5630523153058462E-3</v>
      </c>
      <c r="D465" s="35">
        <v>9557.15</v>
      </c>
      <c r="E465" s="45">
        <f t="shared" si="31"/>
        <v>-1.7784566135059521E-4</v>
      </c>
      <c r="F465">
        <v>1405200</v>
      </c>
      <c r="G465">
        <v>496.25</v>
      </c>
      <c r="H465" s="45">
        <f t="shared" si="29"/>
        <v>-2.7130225080386206E-3</v>
      </c>
      <c r="I465">
        <v>2769500</v>
      </c>
      <c r="J465" s="38" t="s">
        <v>492</v>
      </c>
      <c r="K465" s="45">
        <f t="shared" si="30"/>
        <v>1.95995338489241E-3</v>
      </c>
    </row>
    <row r="466" spans="1:11" x14ac:dyDescent="0.25">
      <c r="A466" s="8">
        <v>45062</v>
      </c>
      <c r="B466">
        <v>7250.06</v>
      </c>
      <c r="C466">
        <f t="shared" si="28"/>
        <v>-4.8252168590323663E-4</v>
      </c>
      <c r="D466" s="35">
        <v>9601.2999999999993</v>
      </c>
      <c r="E466" s="45">
        <f t="shared" si="31"/>
        <v>4.6195780122735286E-3</v>
      </c>
      <c r="F466">
        <v>1081400</v>
      </c>
      <c r="G466">
        <v>495.55</v>
      </c>
      <c r="H466" s="45">
        <f t="shared" si="29"/>
        <v>-1.4105793450881476E-3</v>
      </c>
      <c r="I466">
        <v>3291300</v>
      </c>
      <c r="J466" s="38" t="s">
        <v>493</v>
      </c>
      <c r="K466" s="45">
        <f t="shared" si="30"/>
        <v>6.3441712926248783E-4</v>
      </c>
    </row>
    <row r="467" spans="1:11" x14ac:dyDescent="0.25">
      <c r="A467" s="8">
        <v>45063</v>
      </c>
      <c r="B467">
        <v>7179.71</v>
      </c>
      <c r="C467">
        <f t="shared" si="28"/>
        <v>-9.7033679721272303E-3</v>
      </c>
      <c r="D467" s="35">
        <v>9560.9500000000007</v>
      </c>
      <c r="E467" s="45">
        <f t="shared" si="31"/>
        <v>-4.2025559038878502E-3</v>
      </c>
      <c r="F467">
        <v>2329300</v>
      </c>
      <c r="G467">
        <v>501.65</v>
      </c>
      <c r="H467" s="45">
        <f t="shared" si="29"/>
        <v>1.2309555039854647E-2</v>
      </c>
      <c r="I467">
        <v>4858500</v>
      </c>
      <c r="J467" s="38" t="s">
        <v>494</v>
      </c>
      <c r="K467" s="45">
        <f t="shared" si="30"/>
        <v>-7.3968404924182884E-3</v>
      </c>
    </row>
    <row r="468" spans="1:11" x14ac:dyDescent="0.25">
      <c r="A468" s="8">
        <v>45064</v>
      </c>
      <c r="B468">
        <v>7090.52</v>
      </c>
      <c r="C468">
        <f t="shared" si="28"/>
        <v>-1.2422507315755005E-2</v>
      </c>
      <c r="D468" s="35">
        <v>9511.7000000000007</v>
      </c>
      <c r="E468" s="45">
        <f t="shared" si="31"/>
        <v>-5.151161756938416E-3</v>
      </c>
      <c r="F468">
        <v>2651800</v>
      </c>
      <c r="G468">
        <v>491.75</v>
      </c>
      <c r="H468" s="45">
        <f t="shared" si="29"/>
        <v>-1.9734874912787803E-2</v>
      </c>
      <c r="I468">
        <v>5548600</v>
      </c>
      <c r="J468" s="38" t="s">
        <v>495</v>
      </c>
      <c r="K468" s="45">
        <f t="shared" si="30"/>
        <v>7.611646351200374E-3</v>
      </c>
    </row>
    <row r="469" spans="1:11" x14ac:dyDescent="0.25">
      <c r="A469" s="8">
        <v>45065</v>
      </c>
      <c r="B469">
        <v>7055.21</v>
      </c>
      <c r="C469">
        <f t="shared" si="28"/>
        <v>-4.979888640043395E-3</v>
      </c>
      <c r="D469" s="35">
        <v>9471.85</v>
      </c>
      <c r="E469" s="45">
        <f t="shared" si="31"/>
        <v>-4.1895770472155647E-3</v>
      </c>
      <c r="F469">
        <v>3155500</v>
      </c>
      <c r="G469">
        <v>492.55</v>
      </c>
      <c r="H469" s="45">
        <f t="shared" si="29"/>
        <v>1.6268429079817626E-3</v>
      </c>
      <c r="I469">
        <v>7277300</v>
      </c>
      <c r="J469" s="38" t="s">
        <v>496</v>
      </c>
      <c r="K469" s="45">
        <f t="shared" si="30"/>
        <v>8.2408874801900289E-3</v>
      </c>
    </row>
    <row r="470" spans="1:11" x14ac:dyDescent="0.25">
      <c r="A470" s="8">
        <v>45068</v>
      </c>
      <c r="B470">
        <v>7076.94</v>
      </c>
      <c r="C470">
        <f t="shared" si="28"/>
        <v>3.079993366604139E-3</v>
      </c>
      <c r="D470" s="35">
        <v>9505</v>
      </c>
      <c r="E470" s="45">
        <f t="shared" si="31"/>
        <v>3.4998442754055059E-3</v>
      </c>
      <c r="F470">
        <v>2256100</v>
      </c>
      <c r="G470">
        <v>491.8</v>
      </c>
      <c r="H470" s="45">
        <f t="shared" si="29"/>
        <v>-1.522688051974419E-3</v>
      </c>
      <c r="I470">
        <v>5261200</v>
      </c>
      <c r="J470" s="38" t="s">
        <v>497</v>
      </c>
      <c r="K470" s="45">
        <f t="shared" si="30"/>
        <v>-4.1391595934191505E-3</v>
      </c>
    </row>
    <row r="471" spans="1:11" x14ac:dyDescent="0.25">
      <c r="A471" s="8">
        <v>45069</v>
      </c>
      <c r="B471">
        <v>7057.51</v>
      </c>
      <c r="C471">
        <f t="shared" si="28"/>
        <v>-2.7455369128464024E-3</v>
      </c>
      <c r="D471" s="35">
        <v>9568</v>
      </c>
      <c r="E471" s="45">
        <f t="shared" si="31"/>
        <v>6.6280904786955031E-3</v>
      </c>
      <c r="F471">
        <v>1378900</v>
      </c>
      <c r="G471">
        <v>495.3</v>
      </c>
      <c r="H471" s="45">
        <f t="shared" si="29"/>
        <v>7.1167141114274468E-3</v>
      </c>
      <c r="I471">
        <v>6250500</v>
      </c>
      <c r="J471" s="38" t="s">
        <v>498</v>
      </c>
      <c r="K471" s="45">
        <f t="shared" si="30"/>
        <v>3.2093439259219814E-3</v>
      </c>
    </row>
    <row r="472" spans="1:11" x14ac:dyDescent="0.25">
      <c r="A472" s="8">
        <v>45070</v>
      </c>
      <c r="B472">
        <v>7081.7</v>
      </c>
      <c r="C472">
        <f t="shared" si="28"/>
        <v>3.427554477428929E-3</v>
      </c>
      <c r="D472" s="35">
        <v>9593.7999999999993</v>
      </c>
      <c r="E472" s="45">
        <f t="shared" si="31"/>
        <v>2.6964882943143476E-3</v>
      </c>
      <c r="F472">
        <v>1966300</v>
      </c>
      <c r="G472">
        <v>491.1</v>
      </c>
      <c r="H472" s="45">
        <f t="shared" si="29"/>
        <v>-8.4797092671108354E-3</v>
      </c>
      <c r="I472">
        <v>5802500</v>
      </c>
      <c r="J472" s="38" t="s">
        <v>499</v>
      </c>
      <c r="K472" s="45">
        <f t="shared" si="30"/>
        <v>-1.3373190685965985E-2</v>
      </c>
    </row>
    <row r="473" spans="1:11" x14ac:dyDescent="0.25">
      <c r="A473" s="8">
        <v>45071</v>
      </c>
      <c r="B473">
        <v>7044.11</v>
      </c>
      <c r="C473">
        <f t="shared" si="28"/>
        <v>-5.3080475027182938E-3</v>
      </c>
      <c r="D473" s="35">
        <v>9573.9</v>
      </c>
      <c r="E473" s="45">
        <f t="shared" si="31"/>
        <v>-2.0742562905209372E-3</v>
      </c>
      <c r="F473">
        <v>1336600</v>
      </c>
      <c r="G473">
        <v>496.75</v>
      </c>
      <c r="H473" s="45">
        <f t="shared" si="29"/>
        <v>1.1504785176135179E-2</v>
      </c>
      <c r="I473">
        <v>5558500</v>
      </c>
      <c r="J473" s="38" t="s">
        <v>500</v>
      </c>
      <c r="K473" s="45">
        <f t="shared" si="30"/>
        <v>-8.5047573486418671E-4</v>
      </c>
    </row>
    <row r="474" spans="1:11" x14ac:dyDescent="0.25">
      <c r="A474" s="8">
        <v>45072</v>
      </c>
      <c r="B474">
        <v>7075.64</v>
      </c>
      <c r="C474">
        <f t="shared" si="28"/>
        <v>4.4760800157863656E-3</v>
      </c>
      <c r="D474" s="35">
        <v>9598.7000000000007</v>
      </c>
      <c r="E474" s="45">
        <f t="shared" si="31"/>
        <v>2.5903759178600438E-3</v>
      </c>
      <c r="F474">
        <v>3185700</v>
      </c>
      <c r="G474">
        <v>498.45</v>
      </c>
      <c r="H474" s="45">
        <f t="shared" si="29"/>
        <v>3.4222445898339782E-3</v>
      </c>
      <c r="I474">
        <v>5784500</v>
      </c>
      <c r="J474" s="38" t="s">
        <v>501</v>
      </c>
      <c r="K474" s="45">
        <f t="shared" si="30"/>
        <v>1.1544395382241834E-2</v>
      </c>
    </row>
    <row r="475" spans="1:11" x14ac:dyDescent="0.25">
      <c r="A475" s="8">
        <v>45075</v>
      </c>
      <c r="B475">
        <v>7028.67</v>
      </c>
      <c r="C475">
        <f t="shared" si="28"/>
        <v>-6.6382687643803395E-3</v>
      </c>
      <c r="D475" s="35">
        <v>9690.9500000000007</v>
      </c>
      <c r="E475" s="45">
        <f t="shared" si="31"/>
        <v>9.6106764457686289E-3</v>
      </c>
      <c r="F475">
        <v>1739600</v>
      </c>
      <c r="G475">
        <v>509</v>
      </c>
      <c r="H475" s="45">
        <f t="shared" si="29"/>
        <v>2.1165613401544769E-2</v>
      </c>
      <c r="I475">
        <v>5222600</v>
      </c>
      <c r="J475" s="38" t="s">
        <v>502</v>
      </c>
      <c r="K475" s="45">
        <f t="shared" si="30"/>
        <v>-2.6822341432629626E-3</v>
      </c>
    </row>
    <row r="476" spans="1:11" x14ac:dyDescent="0.25">
      <c r="A476" s="8">
        <v>45076</v>
      </c>
      <c r="B476">
        <v>7066.22</v>
      </c>
      <c r="C476">
        <f t="shared" si="28"/>
        <v>5.3424047508277006E-3</v>
      </c>
      <c r="D476" s="35">
        <v>9740.15</v>
      </c>
      <c r="E476" s="45">
        <f t="shared" si="31"/>
        <v>5.0769016453493521E-3</v>
      </c>
      <c r="F476">
        <v>1687900</v>
      </c>
      <c r="G476">
        <v>504.75</v>
      </c>
      <c r="H476" s="45">
        <f t="shared" si="29"/>
        <v>-8.3497053045186176E-3</v>
      </c>
      <c r="I476">
        <v>4318000</v>
      </c>
      <c r="J476" s="38" t="s">
        <v>503</v>
      </c>
      <c r="K476" s="45">
        <f t="shared" si="30"/>
        <v>1.8984337921215122E-3</v>
      </c>
    </row>
    <row r="477" spans="1:11" x14ac:dyDescent="0.25">
      <c r="A477" s="8">
        <v>45077</v>
      </c>
      <c r="B477">
        <v>7114.53</v>
      </c>
      <c r="C477">
        <f t="shared" si="28"/>
        <v>6.8367528890975748E-3</v>
      </c>
      <c r="D477" s="35">
        <v>9755.65</v>
      </c>
      <c r="E477" s="45">
        <f t="shared" si="31"/>
        <v>1.5913512625576054E-3</v>
      </c>
      <c r="F477">
        <v>2534800</v>
      </c>
      <c r="G477">
        <v>496.05</v>
      </c>
      <c r="H477" s="45">
        <f t="shared" si="29"/>
        <v>-1.7236255572065318E-2</v>
      </c>
      <c r="I477">
        <v>5519300</v>
      </c>
      <c r="J477" s="38" t="s">
        <v>504</v>
      </c>
      <c r="K477" s="45">
        <f t="shared" si="30"/>
        <v>-8.4214958682038432E-4</v>
      </c>
    </row>
    <row r="478" spans="1:11" x14ac:dyDescent="0.25">
      <c r="A478" s="8">
        <v>45078</v>
      </c>
      <c r="B478">
        <v>7059.27</v>
      </c>
      <c r="C478">
        <f t="shared" si="28"/>
        <v>-7.767203174348758E-3</v>
      </c>
      <c r="D478" s="35">
        <v>9724.7999999999993</v>
      </c>
      <c r="E478" s="45">
        <f t="shared" si="31"/>
        <v>-3.1622700691394945E-3</v>
      </c>
      <c r="F478">
        <v>2987300</v>
      </c>
      <c r="G478">
        <v>489.95</v>
      </c>
      <c r="H478" s="45">
        <f t="shared" si="29"/>
        <v>-1.2297147464973346E-2</v>
      </c>
      <c r="I478">
        <v>7833600</v>
      </c>
      <c r="J478" s="38" t="s">
        <v>505</v>
      </c>
      <c r="K478" s="45">
        <f t="shared" si="30"/>
        <v>-1.3749143970921307E-2</v>
      </c>
    </row>
    <row r="479" spans="1:11" x14ac:dyDescent="0.25">
      <c r="A479" s="8">
        <v>45079</v>
      </c>
      <c r="B479">
        <v>7010.47</v>
      </c>
      <c r="C479">
        <f t="shared" si="28"/>
        <v>-6.9128960926555516E-3</v>
      </c>
      <c r="D479" s="35">
        <v>9711.9500000000007</v>
      </c>
      <c r="E479" s="45">
        <f t="shared" si="31"/>
        <v>-1.3213639355049711E-3</v>
      </c>
      <c r="F479">
        <v>2756100</v>
      </c>
      <c r="G479">
        <v>500.35</v>
      </c>
      <c r="H479" s="45">
        <f t="shared" si="29"/>
        <v>2.1226655781202197E-2</v>
      </c>
      <c r="I479">
        <v>6108100</v>
      </c>
      <c r="J479" s="38" t="s">
        <v>506</v>
      </c>
      <c r="K479" s="45">
        <f t="shared" si="30"/>
        <v>2.1899369725455475E-3</v>
      </c>
    </row>
    <row r="480" spans="1:11" x14ac:dyDescent="0.25">
      <c r="A480" s="8">
        <v>45082</v>
      </c>
      <c r="B480">
        <v>6996.56</v>
      </c>
      <c r="C480">
        <f t="shared" si="28"/>
        <v>-1.9841750981032247E-3</v>
      </c>
      <c r="D480" s="35">
        <v>9741.4</v>
      </c>
      <c r="E480" s="45">
        <f t="shared" si="31"/>
        <v>3.0323467480783961E-3</v>
      </c>
      <c r="F480">
        <v>3160800</v>
      </c>
      <c r="G480">
        <v>516.29999999999995</v>
      </c>
      <c r="H480" s="45">
        <f t="shared" si="29"/>
        <v>3.1877685620065765E-2</v>
      </c>
      <c r="I480">
        <v>5788000</v>
      </c>
      <c r="J480" s="38" t="s">
        <v>382</v>
      </c>
      <c r="K480" s="45">
        <f t="shared" si="30"/>
        <v>9.1669775622236216E-3</v>
      </c>
    </row>
    <row r="481" spans="1:11" x14ac:dyDescent="0.25">
      <c r="A481" s="8">
        <v>45083</v>
      </c>
      <c r="B481">
        <v>6984.03</v>
      </c>
      <c r="C481">
        <f t="shared" si="28"/>
        <v>-1.7908800896441202E-3</v>
      </c>
      <c r="D481" s="35">
        <v>9769.2000000000007</v>
      </c>
      <c r="E481" s="45">
        <f t="shared" si="31"/>
        <v>2.8537992485679897E-3</v>
      </c>
      <c r="F481">
        <v>2514400</v>
      </c>
      <c r="G481">
        <v>516.75</v>
      </c>
      <c r="H481" s="45">
        <f t="shared" si="29"/>
        <v>8.7158628704253616E-4</v>
      </c>
      <c r="I481">
        <v>7494600</v>
      </c>
      <c r="J481" s="38" t="s">
        <v>507</v>
      </c>
      <c r="K481" s="45">
        <f t="shared" si="30"/>
        <v>-4.9115394771587217E-3</v>
      </c>
    </row>
    <row r="482" spans="1:11" x14ac:dyDescent="0.25">
      <c r="A482" s="8">
        <v>45084</v>
      </c>
      <c r="B482">
        <v>6998.64</v>
      </c>
      <c r="C482">
        <f t="shared" si="28"/>
        <v>2.0919154127345685E-3</v>
      </c>
      <c r="D482" s="35">
        <v>9776.4</v>
      </c>
      <c r="E482" s="45">
        <f t="shared" si="31"/>
        <v>7.3701019530769685E-4</v>
      </c>
      <c r="F482">
        <v>2287100</v>
      </c>
      <c r="G482">
        <v>540.6</v>
      </c>
      <c r="H482" s="45">
        <f t="shared" si="29"/>
        <v>4.6153846153846212E-2</v>
      </c>
      <c r="I482">
        <v>5719800</v>
      </c>
      <c r="J482" s="38" t="s">
        <v>384</v>
      </c>
      <c r="K482" s="45">
        <f t="shared" si="30"/>
        <v>-2.0167710434135788E-3</v>
      </c>
    </row>
    <row r="483" spans="1:11" x14ac:dyDescent="0.25">
      <c r="A483" s="8">
        <v>45085</v>
      </c>
      <c r="B483">
        <v>7046.4</v>
      </c>
      <c r="C483">
        <f t="shared" si="28"/>
        <v>6.8241829841224622E-3</v>
      </c>
      <c r="D483" s="35">
        <v>9850.35</v>
      </c>
      <c r="E483" s="45">
        <f t="shared" si="31"/>
        <v>7.5641340370689036E-3</v>
      </c>
      <c r="F483">
        <v>3457200</v>
      </c>
      <c r="G483">
        <v>524.5</v>
      </c>
      <c r="H483" s="45">
        <f t="shared" si="29"/>
        <v>-2.9781724010358945E-2</v>
      </c>
      <c r="I483">
        <v>6183500</v>
      </c>
      <c r="J483" s="38" t="s">
        <v>487</v>
      </c>
      <c r="K483" s="45">
        <f t="shared" si="30"/>
        <v>-2.4462880238247386E-3</v>
      </c>
    </row>
    <row r="484" spans="1:11" x14ac:dyDescent="0.25">
      <c r="A484" s="8">
        <v>45086</v>
      </c>
      <c r="B484">
        <v>7048.97</v>
      </c>
      <c r="C484">
        <f t="shared" si="28"/>
        <v>3.6472524977293475E-4</v>
      </c>
      <c r="D484" s="35">
        <v>9798.85</v>
      </c>
      <c r="E484" s="45">
        <f t="shared" si="31"/>
        <v>-5.2282406208916665E-3</v>
      </c>
      <c r="F484">
        <v>4089100</v>
      </c>
      <c r="G484">
        <v>524.5</v>
      </c>
      <c r="H484" s="45">
        <f t="shared" si="29"/>
        <v>0</v>
      </c>
      <c r="I484">
        <v>5279900</v>
      </c>
      <c r="J484" s="38" t="s">
        <v>508</v>
      </c>
      <c r="K484" s="45">
        <f t="shared" si="30"/>
        <v>1.599317624481067E-4</v>
      </c>
    </row>
    <row r="485" spans="1:11" x14ac:dyDescent="0.25">
      <c r="A485" s="8">
        <v>45089</v>
      </c>
      <c r="B485">
        <v>7031.99</v>
      </c>
      <c r="C485">
        <f t="shared" si="28"/>
        <v>-2.4088625714112633E-3</v>
      </c>
      <c r="D485" s="35">
        <v>9769.2999999999993</v>
      </c>
      <c r="E485" s="45">
        <f t="shared" si="31"/>
        <v>-3.0156600009185741E-3</v>
      </c>
      <c r="F485">
        <v>45827100</v>
      </c>
      <c r="G485">
        <v>517.45000000000005</v>
      </c>
      <c r="H485" s="45">
        <f t="shared" si="29"/>
        <v>-1.3441372735938928E-2</v>
      </c>
      <c r="I485">
        <v>53825300</v>
      </c>
      <c r="J485" s="38" t="s">
        <v>509</v>
      </c>
      <c r="K485" s="45">
        <f t="shared" si="30"/>
        <v>-2.2386866371727487E-3</v>
      </c>
    </row>
    <row r="486" spans="1:11" x14ac:dyDescent="0.25">
      <c r="A486" s="8">
        <v>45090</v>
      </c>
      <c r="B486">
        <v>7089.83</v>
      </c>
      <c r="C486">
        <f t="shared" si="28"/>
        <v>8.2252676696070726E-3</v>
      </c>
      <c r="D486" s="35">
        <v>9796.65</v>
      </c>
      <c r="E486" s="45">
        <f t="shared" si="31"/>
        <v>2.7995864596235265E-3</v>
      </c>
      <c r="F486">
        <v>18979600</v>
      </c>
      <c r="G486">
        <v>517.54999999999995</v>
      </c>
      <c r="H486" s="45">
        <f t="shared" si="29"/>
        <v>1.9325538699366263E-4</v>
      </c>
      <c r="I486">
        <v>20036600</v>
      </c>
      <c r="J486" s="38" t="s">
        <v>510</v>
      </c>
      <c r="K486" s="45">
        <f t="shared" si="30"/>
        <v>8.1200918852502024E-3</v>
      </c>
    </row>
    <row r="487" spans="1:11" x14ac:dyDescent="0.25">
      <c r="A487" s="8">
        <v>45091</v>
      </c>
      <c r="B487">
        <v>7146.21</v>
      </c>
      <c r="C487">
        <f t="shared" si="28"/>
        <v>7.9522358081929312E-3</v>
      </c>
      <c r="D487" s="35">
        <v>9868.7999999999993</v>
      </c>
      <c r="E487" s="45">
        <f t="shared" si="31"/>
        <v>7.3647624443049509E-3</v>
      </c>
      <c r="F487">
        <v>12382700</v>
      </c>
      <c r="G487">
        <v>518.45000000000005</v>
      </c>
      <c r="H487" s="45">
        <f t="shared" si="29"/>
        <v>1.7389624190902175E-3</v>
      </c>
      <c r="I487">
        <v>13983100</v>
      </c>
      <c r="J487" s="38" t="s">
        <v>511</v>
      </c>
      <c r="K487" s="45">
        <f t="shared" si="30"/>
        <v>-3.9743521805946092E-3</v>
      </c>
    </row>
    <row r="488" spans="1:11" x14ac:dyDescent="0.25">
      <c r="A488" s="8">
        <v>45092</v>
      </c>
      <c r="B488">
        <v>7169.39</v>
      </c>
      <c r="C488">
        <f t="shared" si="28"/>
        <v>3.2436774178201677E-3</v>
      </c>
      <c r="D488" s="35">
        <v>9888.6</v>
      </c>
      <c r="E488" s="45">
        <f t="shared" si="31"/>
        <v>2.006322957198492E-3</v>
      </c>
      <c r="F488">
        <v>14955300</v>
      </c>
      <c r="G488">
        <v>520</v>
      </c>
      <c r="H488" s="45">
        <f t="shared" si="29"/>
        <v>2.9896807792457736E-3</v>
      </c>
      <c r="I488">
        <v>13150600</v>
      </c>
      <c r="J488" s="38" t="s">
        <v>512</v>
      </c>
      <c r="K488" s="45">
        <f t="shared" si="30"/>
        <v>-1.4045541604596701E-2</v>
      </c>
    </row>
    <row r="489" spans="1:11" x14ac:dyDescent="0.25">
      <c r="A489" s="8">
        <v>45093</v>
      </c>
      <c r="B489">
        <v>7148.32</v>
      </c>
      <c r="C489">
        <f t="shared" si="28"/>
        <v>-2.9388832243748553E-3</v>
      </c>
      <c r="D489" s="35">
        <v>9868</v>
      </c>
      <c r="E489" s="45">
        <f t="shared" si="31"/>
        <v>-2.083206925146186E-3</v>
      </c>
      <c r="F489">
        <v>10393500</v>
      </c>
      <c r="G489">
        <v>526.5</v>
      </c>
      <c r="H489" s="45">
        <f t="shared" si="29"/>
        <v>1.2499999999999956E-2</v>
      </c>
      <c r="I489">
        <v>13425600</v>
      </c>
      <c r="J489" s="38" t="s">
        <v>513</v>
      </c>
      <c r="K489" s="45">
        <f t="shared" si="30"/>
        <v>8.2020289229440824E-3</v>
      </c>
    </row>
    <row r="490" spans="1:11" x14ac:dyDescent="0.25">
      <c r="A490" s="8">
        <v>45096</v>
      </c>
      <c r="B490">
        <v>7217.43</v>
      </c>
      <c r="C490">
        <f t="shared" si="28"/>
        <v>9.6680059090807902E-3</v>
      </c>
      <c r="D490" s="35">
        <v>9943.35</v>
      </c>
      <c r="E490" s="45">
        <f t="shared" si="31"/>
        <v>7.6357924604784078E-3</v>
      </c>
      <c r="F490">
        <v>10206800</v>
      </c>
      <c r="G490">
        <v>518.85</v>
      </c>
      <c r="H490" s="45">
        <f t="shared" si="29"/>
        <v>-1.4529914529914478E-2</v>
      </c>
      <c r="I490">
        <v>11140700</v>
      </c>
      <c r="J490" s="38" t="s">
        <v>514</v>
      </c>
      <c r="K490" s="45">
        <f t="shared" si="30"/>
        <v>-1.1828302290730064E-2</v>
      </c>
    </row>
    <row r="491" spans="1:11" x14ac:dyDescent="0.25">
      <c r="A491" s="8">
        <v>45097</v>
      </c>
      <c r="B491">
        <v>7200.91</v>
      </c>
      <c r="C491">
        <f t="shared" si="28"/>
        <v>-2.2889033908192191E-3</v>
      </c>
      <c r="D491" s="35">
        <v>9913.9</v>
      </c>
      <c r="E491" s="45">
        <f t="shared" si="31"/>
        <v>-2.9617784750612941E-3</v>
      </c>
      <c r="F491">
        <v>9080200</v>
      </c>
      <c r="G491">
        <v>509.15</v>
      </c>
      <c r="H491" s="45">
        <f t="shared" si="29"/>
        <v>-1.8695191288426449E-2</v>
      </c>
      <c r="I491">
        <v>10565500</v>
      </c>
      <c r="J491" s="38" t="s">
        <v>515</v>
      </c>
      <c r="K491" s="45">
        <f t="shared" si="30"/>
        <v>2.5997941829605242E-3</v>
      </c>
    </row>
    <row r="492" spans="1:11" x14ac:dyDescent="0.25">
      <c r="A492" s="8">
        <v>45098</v>
      </c>
      <c r="B492">
        <v>7207.45</v>
      </c>
      <c r="C492">
        <f t="shared" si="28"/>
        <v>9.0821854460054752E-4</v>
      </c>
      <c r="D492" s="35">
        <v>9948.7999999999993</v>
      </c>
      <c r="E492" s="45">
        <f t="shared" si="31"/>
        <v>3.520309867963034E-3</v>
      </c>
      <c r="F492">
        <v>8185500</v>
      </c>
      <c r="G492">
        <v>515.15</v>
      </c>
      <c r="H492" s="45">
        <f t="shared" si="29"/>
        <v>1.1784346459785988E-2</v>
      </c>
      <c r="I492">
        <v>14104800</v>
      </c>
      <c r="J492" s="38" t="s">
        <v>516</v>
      </c>
      <c r="K492" s="45">
        <f t="shared" si="30"/>
        <v>-9.1837285938078939E-4</v>
      </c>
    </row>
    <row r="493" spans="1:11" x14ac:dyDescent="0.25">
      <c r="A493" s="8">
        <v>45099</v>
      </c>
      <c r="B493">
        <v>7161.99</v>
      </c>
      <c r="C493">
        <f t="shared" si="28"/>
        <v>-6.3073625207250572E-3</v>
      </c>
      <c r="D493" s="35">
        <v>9975.15</v>
      </c>
      <c r="E493" s="45">
        <f t="shared" si="31"/>
        <v>2.6485606304278431E-3</v>
      </c>
      <c r="F493">
        <v>6937700</v>
      </c>
      <c r="G493">
        <v>526</v>
      </c>
      <c r="H493" s="45">
        <f t="shared" si="29"/>
        <v>2.1061826652431392E-2</v>
      </c>
      <c r="I493">
        <v>10639200</v>
      </c>
      <c r="J493" s="38" t="s">
        <v>517</v>
      </c>
      <c r="K493" s="45">
        <f t="shared" si="30"/>
        <v>1.135503406510141E-3</v>
      </c>
    </row>
    <row r="494" spans="1:11" x14ac:dyDescent="0.25">
      <c r="A494" s="8">
        <v>45100</v>
      </c>
      <c r="B494">
        <v>7210.65</v>
      </c>
      <c r="C494">
        <f t="shared" si="28"/>
        <v>6.7942010530592789E-3</v>
      </c>
      <c r="D494" s="35">
        <v>9912.4</v>
      </c>
      <c r="E494" s="45">
        <f t="shared" si="31"/>
        <v>-6.2906322210694032E-3</v>
      </c>
      <c r="F494">
        <v>9693200</v>
      </c>
      <c r="G494">
        <v>563.04999999999995</v>
      </c>
      <c r="H494" s="45">
        <f t="shared" si="29"/>
        <v>7.0437262357414321E-2</v>
      </c>
      <c r="I494">
        <v>13224600</v>
      </c>
      <c r="J494" s="38" t="s">
        <v>518</v>
      </c>
      <c r="K494" s="45">
        <f t="shared" si="30"/>
        <v>-2.4304617877396462E-3</v>
      </c>
    </row>
    <row r="495" spans="1:11" x14ac:dyDescent="0.25">
      <c r="A495" s="8">
        <v>45103</v>
      </c>
      <c r="B495">
        <v>7261.64</v>
      </c>
      <c r="C495">
        <f t="shared" si="28"/>
        <v>7.0714845402288784E-3</v>
      </c>
      <c r="D495" s="35">
        <v>9837.4500000000007</v>
      </c>
      <c r="E495" s="45">
        <f t="shared" si="31"/>
        <v>-7.5612364311365976E-3</v>
      </c>
      <c r="F495">
        <v>7398800</v>
      </c>
      <c r="G495">
        <v>621.9</v>
      </c>
      <c r="H495" s="45">
        <f t="shared" si="29"/>
        <v>0.10452002486457701</v>
      </c>
      <c r="I495">
        <v>10350500</v>
      </c>
      <c r="J495" s="38" t="s">
        <v>378</v>
      </c>
      <c r="K495" s="45">
        <f t="shared" si="30"/>
        <v>4.2772062804548039E-3</v>
      </c>
    </row>
    <row r="496" spans="1:11" x14ac:dyDescent="0.25">
      <c r="A496" s="8">
        <v>45104</v>
      </c>
      <c r="B496">
        <v>7280.37</v>
      </c>
      <c r="C496">
        <f t="shared" si="28"/>
        <v>2.5793071537558721E-3</v>
      </c>
      <c r="D496" s="35">
        <v>9866.9</v>
      </c>
      <c r="E496" s="45">
        <f t="shared" si="31"/>
        <v>2.9936619754102889E-3</v>
      </c>
      <c r="F496">
        <v>10005200</v>
      </c>
      <c r="G496">
        <v>605.15</v>
      </c>
      <c r="H496" s="45">
        <f t="shared" si="29"/>
        <v>-2.6933590609422686E-2</v>
      </c>
      <c r="I496">
        <v>13731500</v>
      </c>
      <c r="J496" s="38" t="s">
        <v>505</v>
      </c>
      <c r="K496" s="45">
        <f t="shared" si="30"/>
        <v>9.3266483368374953E-3</v>
      </c>
    </row>
    <row r="497" spans="1:11" x14ac:dyDescent="0.25">
      <c r="A497" s="58">
        <v>45105</v>
      </c>
      <c r="B497">
        <v>7303.96</v>
      </c>
      <c r="C497">
        <f t="shared" si="28"/>
        <v>3.2402199338770199E-3</v>
      </c>
      <c r="D497" s="35">
        <v>9927.7999999999993</v>
      </c>
      <c r="E497" s="45">
        <f t="shared" si="31"/>
        <v>6.1721513342589684E-3</v>
      </c>
      <c r="F497">
        <v>6682200</v>
      </c>
      <c r="G497">
        <v>613.9</v>
      </c>
      <c r="H497" s="45">
        <f t="shared" si="29"/>
        <v>1.4459224985540864E-2</v>
      </c>
      <c r="I497">
        <v>9686100</v>
      </c>
      <c r="J497" s="38" t="s">
        <v>519</v>
      </c>
      <c r="K497" s="45">
        <f t="shared" si="30"/>
        <v>1.4421536160666992E-3</v>
      </c>
    </row>
    <row r="498" spans="1:11" x14ac:dyDescent="0.25">
      <c r="A498" s="62">
        <v>45107</v>
      </c>
      <c r="B498">
        <v>7306.76</v>
      </c>
      <c r="C498">
        <f t="shared" si="28"/>
        <v>3.8335368758857236E-4</v>
      </c>
      <c r="D498" s="35">
        <v>10004.9</v>
      </c>
      <c r="E498" s="45">
        <f t="shared" si="31"/>
        <v>7.7660710328573135E-3</v>
      </c>
      <c r="F498">
        <v>4498900</v>
      </c>
      <c r="G498">
        <v>608.45000000000005</v>
      </c>
      <c r="H498" s="45">
        <f t="shared" si="29"/>
        <v>-8.8776673725361466E-3</v>
      </c>
      <c r="I498">
        <v>9477200</v>
      </c>
      <c r="J498" s="38" t="s">
        <v>520</v>
      </c>
      <c r="K498" s="45">
        <f t="shared" si="30"/>
        <v>-3.0401621419808844E-3</v>
      </c>
    </row>
    <row r="499" spans="1:11" x14ac:dyDescent="0.25">
      <c r="A499" s="8">
        <v>45110</v>
      </c>
      <c r="B499">
        <v>7272.54</v>
      </c>
      <c r="C499">
        <f t="shared" si="28"/>
        <v>-4.683334336970213E-3</v>
      </c>
      <c r="D499" s="35">
        <v>10104.35</v>
      </c>
      <c r="E499" s="45">
        <f t="shared" si="31"/>
        <v>9.9401293366250254E-3</v>
      </c>
      <c r="F499">
        <v>3056200</v>
      </c>
      <c r="G499">
        <v>607.70000000000005</v>
      </c>
      <c r="H499" s="45">
        <f t="shared" si="29"/>
        <v>-1.2326403155559218E-3</v>
      </c>
      <c r="I499">
        <v>6178600</v>
      </c>
      <c r="J499" s="38" t="s">
        <v>521</v>
      </c>
      <c r="K499" s="45">
        <f t="shared" si="30"/>
        <v>8.5063128611169159E-3</v>
      </c>
    </row>
    <row r="500" spans="1:11" x14ac:dyDescent="0.25">
      <c r="A500" s="8">
        <v>45111</v>
      </c>
      <c r="B500">
        <v>7287.47</v>
      </c>
      <c r="C500">
        <f t="shared" si="28"/>
        <v>2.0529278628924619E-3</v>
      </c>
      <c r="D500" s="35">
        <v>10164.4</v>
      </c>
      <c r="E500" s="45">
        <f t="shared" si="31"/>
        <v>5.9429849520256095E-3</v>
      </c>
      <c r="F500">
        <v>4133600</v>
      </c>
      <c r="G500">
        <v>606.5</v>
      </c>
      <c r="H500" s="45">
        <f t="shared" si="29"/>
        <v>-1.974658548625996E-3</v>
      </c>
      <c r="I500">
        <v>9683600</v>
      </c>
      <c r="J500" s="38" t="s">
        <v>522</v>
      </c>
      <c r="K500" s="45">
        <f t="shared" si="30"/>
        <v>2.2810460983502256E-3</v>
      </c>
    </row>
    <row r="501" spans="1:11" x14ac:dyDescent="0.25">
      <c r="A501" s="8">
        <v>45112</v>
      </c>
      <c r="B501">
        <v>7211.17</v>
      </c>
      <c r="C501">
        <f t="shared" si="28"/>
        <v>-1.0470025948648876E-2</v>
      </c>
      <c r="D501" s="35">
        <v>10182.799999999999</v>
      </c>
      <c r="E501" s="45">
        <f t="shared" si="31"/>
        <v>1.8102396599897208E-3</v>
      </c>
      <c r="F501">
        <v>4535500</v>
      </c>
      <c r="G501">
        <v>607.95000000000005</v>
      </c>
      <c r="H501" s="45">
        <f t="shared" si="29"/>
        <v>2.3907666941467287E-3</v>
      </c>
      <c r="I501">
        <v>9412300</v>
      </c>
      <c r="J501" s="38" t="s">
        <v>523</v>
      </c>
      <c r="K501" s="45">
        <f t="shared" si="30"/>
        <v>1.4078543452948011E-2</v>
      </c>
    </row>
    <row r="502" spans="1:11" x14ac:dyDescent="0.25">
      <c r="A502" s="8">
        <v>45113</v>
      </c>
      <c r="B502">
        <v>7243.28</v>
      </c>
      <c r="C502">
        <f t="shared" si="28"/>
        <v>4.4528141757855799E-3</v>
      </c>
      <c r="D502" s="35">
        <v>10205.299999999999</v>
      </c>
      <c r="E502" s="45">
        <f t="shared" si="31"/>
        <v>2.2096083591940374E-3</v>
      </c>
      <c r="F502">
        <v>5476900</v>
      </c>
      <c r="G502">
        <v>608.85</v>
      </c>
      <c r="H502" s="45">
        <f t="shared" si="29"/>
        <v>1.4803849000739611E-3</v>
      </c>
      <c r="I502">
        <v>8675600</v>
      </c>
      <c r="J502" s="38" t="s">
        <v>524</v>
      </c>
      <c r="K502" s="45">
        <f t="shared" si="30"/>
        <v>1.4613778705636626E-3</v>
      </c>
    </row>
    <row r="503" spans="1:11" x14ac:dyDescent="0.25">
      <c r="A503" s="8">
        <v>45114</v>
      </c>
      <c r="B503">
        <v>7283.28</v>
      </c>
      <c r="C503">
        <f t="shared" si="28"/>
        <v>5.52236003578499E-3</v>
      </c>
      <c r="D503" s="35">
        <v>10264.200000000001</v>
      </c>
      <c r="E503" s="45">
        <f t="shared" si="31"/>
        <v>5.7715108816007721E-3</v>
      </c>
      <c r="F503">
        <v>6481600</v>
      </c>
      <c r="G503">
        <v>601.95000000000005</v>
      </c>
      <c r="H503" s="45">
        <f t="shared" si="29"/>
        <v>-1.1332840601133265E-2</v>
      </c>
      <c r="I503">
        <v>10081800</v>
      </c>
      <c r="J503" s="38" t="s">
        <v>525</v>
      </c>
      <c r="K503" s="45">
        <f t="shared" si="30"/>
        <v>-1.3550135501354976E-2</v>
      </c>
    </row>
    <row r="504" spans="1:11" x14ac:dyDescent="0.25">
      <c r="A504" s="8">
        <v>45117</v>
      </c>
      <c r="B504">
        <v>7361.89</v>
      </c>
      <c r="C504">
        <f t="shared" si="28"/>
        <v>1.0793214046418642E-2</v>
      </c>
      <c r="D504" s="35">
        <v>10178.1</v>
      </c>
      <c r="E504" s="45">
        <f t="shared" si="31"/>
        <v>-8.3883790261296554E-3</v>
      </c>
      <c r="F504">
        <v>3162100</v>
      </c>
      <c r="G504">
        <v>610.15</v>
      </c>
      <c r="H504" s="45">
        <f t="shared" si="29"/>
        <v>1.3622393886535411E-2</v>
      </c>
      <c r="I504">
        <v>6688000</v>
      </c>
      <c r="J504" s="38" t="s">
        <v>526</v>
      </c>
      <c r="K504" s="45">
        <f t="shared" si="30"/>
        <v>2.1132713440406015E-3</v>
      </c>
    </row>
    <row r="505" spans="1:11" x14ac:dyDescent="0.25">
      <c r="A505" s="8">
        <v>45118</v>
      </c>
      <c r="B505">
        <v>7321.23</v>
      </c>
      <c r="C505">
        <f t="shared" si="28"/>
        <v>-5.5230382415386581E-3</v>
      </c>
      <c r="D505" s="35">
        <v>10175.4</v>
      </c>
      <c r="E505" s="45">
        <f t="shared" si="31"/>
        <v>-2.6527544433641026E-4</v>
      </c>
      <c r="F505">
        <v>4601700</v>
      </c>
      <c r="G505">
        <v>609.04999999999995</v>
      </c>
      <c r="H505" s="45">
        <f t="shared" si="29"/>
        <v>-1.8028353683521292E-3</v>
      </c>
      <c r="I505">
        <v>8731200</v>
      </c>
      <c r="J505" s="38" t="s">
        <v>527</v>
      </c>
      <c r="K505" s="45">
        <f t="shared" si="30"/>
        <v>-3.637705609447428E-3</v>
      </c>
    </row>
    <row r="506" spans="1:11" x14ac:dyDescent="0.25">
      <c r="A506" s="8">
        <v>45119</v>
      </c>
      <c r="B506">
        <v>7351.03</v>
      </c>
      <c r="C506">
        <f t="shared" si="28"/>
        <v>4.0703542983897556E-3</v>
      </c>
      <c r="D506" s="35">
        <v>10230.549999999999</v>
      </c>
      <c r="E506" s="45">
        <f t="shared" si="31"/>
        <v>5.4199343514751419E-3</v>
      </c>
      <c r="F506">
        <v>4283600</v>
      </c>
      <c r="G506">
        <v>610.1</v>
      </c>
      <c r="H506" s="45">
        <f t="shared" si="29"/>
        <v>1.7239963878172837E-3</v>
      </c>
      <c r="I506">
        <v>7072500</v>
      </c>
      <c r="J506" s="38" t="s">
        <v>528</v>
      </c>
      <c r="K506" s="45">
        <f t="shared" si="30"/>
        <v>-5.820413778507838E-4</v>
      </c>
    </row>
    <row r="507" spans="1:11" x14ac:dyDescent="0.25">
      <c r="A507" s="8">
        <v>45120</v>
      </c>
      <c r="B507">
        <v>7343.14</v>
      </c>
      <c r="C507">
        <f t="shared" si="28"/>
        <v>-1.0733189770684159E-3</v>
      </c>
      <c r="D507" s="35">
        <v>10218.6</v>
      </c>
      <c r="E507" s="45">
        <f t="shared" si="31"/>
        <v>-1.1680701428563589E-3</v>
      </c>
      <c r="F507">
        <v>3793300</v>
      </c>
      <c r="G507">
        <v>608.79999999999995</v>
      </c>
      <c r="H507" s="45">
        <f t="shared" si="29"/>
        <v>-2.1307982297985584E-3</v>
      </c>
      <c r="I507">
        <v>5151600</v>
      </c>
      <c r="J507" s="38" t="s">
        <v>529</v>
      </c>
      <c r="K507" s="45">
        <f t="shared" si="30"/>
        <v>1.1965268953833208E-2</v>
      </c>
    </row>
    <row r="508" spans="1:11" x14ac:dyDescent="0.25">
      <c r="A508" s="8">
        <v>45121</v>
      </c>
      <c r="B508">
        <v>7357.12</v>
      </c>
      <c r="C508">
        <f t="shared" si="28"/>
        <v>1.9038177128585243E-3</v>
      </c>
      <c r="D508" s="35">
        <v>10212.1</v>
      </c>
      <c r="E508" s="45">
        <f t="shared" si="31"/>
        <v>-6.3609496408512101E-4</v>
      </c>
      <c r="F508">
        <v>3465300</v>
      </c>
      <c r="G508">
        <v>612.65</v>
      </c>
      <c r="H508" s="45">
        <f t="shared" si="29"/>
        <v>6.3239159001313716E-3</v>
      </c>
      <c r="I508">
        <v>6382700</v>
      </c>
      <c r="J508" s="38" t="s">
        <v>530</v>
      </c>
      <c r="K508" s="45">
        <f t="shared" si="30"/>
        <v>4.5516375431620126E-3</v>
      </c>
    </row>
    <row r="509" spans="1:11" x14ac:dyDescent="0.25">
      <c r="A509" s="8">
        <v>45124</v>
      </c>
      <c r="B509">
        <v>7441.18</v>
      </c>
      <c r="C509">
        <f t="shared" si="28"/>
        <v>1.1425666565177739E-2</v>
      </c>
      <c r="D509" s="35">
        <v>10296.35</v>
      </c>
      <c r="E509" s="45">
        <f t="shared" si="31"/>
        <v>8.2500171365340602E-3</v>
      </c>
      <c r="F509">
        <v>2649600</v>
      </c>
      <c r="G509">
        <v>615.79999999999995</v>
      </c>
      <c r="H509" s="45">
        <f t="shared" si="29"/>
        <v>5.141597976005885E-3</v>
      </c>
      <c r="I509">
        <v>4552200</v>
      </c>
      <c r="J509" s="38" t="s">
        <v>531</v>
      </c>
      <c r="K509" s="45">
        <f t="shared" si="30"/>
        <v>9.0099473985731926E-3</v>
      </c>
    </row>
    <row r="510" spans="1:11" x14ac:dyDescent="0.25">
      <c r="A510" s="8">
        <v>45125</v>
      </c>
      <c r="B510">
        <v>7440.31</v>
      </c>
      <c r="C510">
        <f t="shared" si="28"/>
        <v>-1.1691694059279278E-4</v>
      </c>
      <c r="D510" s="35">
        <v>10360.299999999999</v>
      </c>
      <c r="E510" s="45">
        <f t="shared" si="31"/>
        <v>6.2109388278368538E-3</v>
      </c>
      <c r="F510">
        <v>2782600</v>
      </c>
      <c r="G510">
        <v>620.20000000000005</v>
      </c>
      <c r="H510" s="45">
        <f t="shared" si="29"/>
        <v>7.1451770055215302E-3</v>
      </c>
      <c r="I510">
        <v>4420400</v>
      </c>
      <c r="J510" s="38" t="s">
        <v>532</v>
      </c>
      <c r="K510" s="45">
        <f t="shared" si="30"/>
        <v>6.9681015794362811E-3</v>
      </c>
    </row>
    <row r="511" spans="1:11" x14ac:dyDescent="0.25">
      <c r="A511" s="8">
        <v>45126</v>
      </c>
      <c r="B511">
        <v>7426.17</v>
      </c>
      <c r="C511">
        <f t="shared" si="28"/>
        <v>-1.9004584486399523E-3</v>
      </c>
      <c r="D511" s="35">
        <v>10367.950000000001</v>
      </c>
      <c r="E511" s="45">
        <f t="shared" si="31"/>
        <v>7.3839560630495349E-4</v>
      </c>
      <c r="F511">
        <v>2325600</v>
      </c>
      <c r="G511">
        <v>618</v>
      </c>
      <c r="H511" s="45">
        <f t="shared" si="29"/>
        <v>-3.5472428248952692E-3</v>
      </c>
      <c r="I511">
        <v>4997300</v>
      </c>
      <c r="J511" s="38" t="s">
        <v>533</v>
      </c>
      <c r="K511" s="45">
        <f t="shared" si="30"/>
        <v>-2.0503357424778157E-3</v>
      </c>
    </row>
    <row r="512" spans="1:11" x14ac:dyDescent="0.25">
      <c r="A512" s="8">
        <v>45127</v>
      </c>
      <c r="B512">
        <v>7354.74</v>
      </c>
      <c r="C512">
        <f t="shared" si="28"/>
        <v>-9.6186863484137852E-3</v>
      </c>
      <c r="D512" s="35">
        <v>10416.35</v>
      </c>
      <c r="E512" s="45">
        <f t="shared" si="31"/>
        <v>4.6682323892379696E-3</v>
      </c>
      <c r="F512">
        <v>2554500</v>
      </c>
      <c r="G512">
        <v>631.75</v>
      </c>
      <c r="H512" s="45">
        <f t="shared" si="29"/>
        <v>2.2249190938511409E-2</v>
      </c>
      <c r="I512">
        <v>5103300</v>
      </c>
      <c r="J512" s="38" t="s">
        <v>534</v>
      </c>
      <c r="K512" s="45">
        <f t="shared" si="30"/>
        <v>2.2754121937438976E-2</v>
      </c>
    </row>
    <row r="513" spans="1:11" x14ac:dyDescent="0.25">
      <c r="A513" s="8">
        <v>45128</v>
      </c>
      <c r="B513">
        <v>7354.98</v>
      </c>
      <c r="C513">
        <f t="shared" si="28"/>
        <v>3.2632016903288985E-5</v>
      </c>
      <c r="D513" s="35">
        <v>10475.15</v>
      </c>
      <c r="E513" s="45">
        <f t="shared" si="31"/>
        <v>5.6449716071367284E-3</v>
      </c>
      <c r="F513">
        <v>2781500</v>
      </c>
      <c r="G513">
        <v>633</v>
      </c>
      <c r="H513" s="45">
        <f t="shared" si="29"/>
        <v>1.9786307874951614E-3</v>
      </c>
      <c r="I513">
        <v>6955600</v>
      </c>
      <c r="J513" s="38" t="s">
        <v>535</v>
      </c>
      <c r="K513" s="45">
        <f t="shared" si="30"/>
        <v>1.4061872237847162E-3</v>
      </c>
    </row>
    <row r="514" spans="1:11" x14ac:dyDescent="0.25">
      <c r="A514" s="8">
        <v>45131</v>
      </c>
      <c r="B514">
        <v>7330.43</v>
      </c>
      <c r="C514">
        <f t="shared" si="28"/>
        <v>-3.3378744741656696E-3</v>
      </c>
      <c r="D514" s="35">
        <v>10374.65</v>
      </c>
      <c r="E514" s="45">
        <f t="shared" si="31"/>
        <v>-9.5941346901953217E-3</v>
      </c>
      <c r="F514">
        <v>2105800</v>
      </c>
      <c r="G514">
        <v>634</v>
      </c>
      <c r="H514" s="45">
        <f t="shared" si="29"/>
        <v>1.5797788309637184E-3</v>
      </c>
      <c r="I514">
        <v>6055900</v>
      </c>
      <c r="J514" s="38" t="s">
        <v>536</v>
      </c>
      <c r="K514" s="45">
        <f t="shared" si="30"/>
        <v>-5.015045135406182E-3</v>
      </c>
    </row>
    <row r="515" spans="1:11" x14ac:dyDescent="0.25">
      <c r="A515" s="8">
        <v>45132</v>
      </c>
      <c r="B515">
        <v>7353.89</v>
      </c>
      <c r="C515">
        <f t="shared" si="28"/>
        <v>3.2003579599013676E-3</v>
      </c>
      <c r="D515" s="35">
        <v>10344.1</v>
      </c>
      <c r="E515" s="45">
        <f t="shared" si="31"/>
        <v>-2.9446776517760842E-3</v>
      </c>
      <c r="F515">
        <v>2015200</v>
      </c>
      <c r="G515">
        <v>634.15</v>
      </c>
      <c r="H515" s="45">
        <f t="shared" si="29"/>
        <v>2.3659305993684043E-4</v>
      </c>
      <c r="I515">
        <v>5334600</v>
      </c>
      <c r="J515" s="38" t="s">
        <v>537</v>
      </c>
      <c r="K515" s="45">
        <f t="shared" si="30"/>
        <v>2.7217741935483541E-3</v>
      </c>
    </row>
    <row r="516" spans="1:11" x14ac:dyDescent="0.25">
      <c r="A516" s="8">
        <v>45133</v>
      </c>
      <c r="B516">
        <v>7310.41</v>
      </c>
      <c r="C516">
        <f t="shared" ref="C516:C579" si="32">B516/B515-1</f>
        <v>-5.9125170488001366E-3</v>
      </c>
      <c r="D516" s="35">
        <v>10361.9</v>
      </c>
      <c r="E516" s="45">
        <f t="shared" si="31"/>
        <v>1.7207876954010715E-3</v>
      </c>
      <c r="F516">
        <v>2619100</v>
      </c>
      <c r="G516">
        <v>635.20000000000005</v>
      </c>
      <c r="H516" s="45">
        <f t="shared" ref="H516:H579" si="33">G516/G515-1</f>
        <v>1.6557596783095541E-3</v>
      </c>
      <c r="I516">
        <v>4682800</v>
      </c>
      <c r="J516" s="38" t="s">
        <v>538</v>
      </c>
      <c r="K516" s="45">
        <f t="shared" ref="K516:K579" si="34">J516/J515-1</f>
        <v>1.7593244194229474E-3</v>
      </c>
    </row>
    <row r="517" spans="1:11" x14ac:dyDescent="0.25">
      <c r="A517" s="8">
        <v>45134</v>
      </c>
      <c r="B517">
        <v>7264.47</v>
      </c>
      <c r="C517">
        <f t="shared" si="32"/>
        <v>-6.2841892588787474E-3</v>
      </c>
      <c r="D517" s="35">
        <v>10411.549999999999</v>
      </c>
      <c r="E517" s="45">
        <f t="shared" ref="E517:E580" si="35">D517/D516-1</f>
        <v>4.791592275547929E-3</v>
      </c>
      <c r="F517">
        <v>2917400</v>
      </c>
      <c r="G517">
        <v>639.9</v>
      </c>
      <c r="H517" s="45">
        <f t="shared" si="33"/>
        <v>7.3992443324935042E-3</v>
      </c>
      <c r="I517">
        <v>5337600</v>
      </c>
      <c r="J517" s="38" t="s">
        <v>539</v>
      </c>
      <c r="K517" s="45">
        <f t="shared" si="34"/>
        <v>-6.2220884138692867E-3</v>
      </c>
    </row>
    <row r="518" spans="1:11" x14ac:dyDescent="0.25">
      <c r="A518" s="8">
        <v>45135</v>
      </c>
      <c r="B518">
        <v>7284.31</v>
      </c>
      <c r="C518">
        <f t="shared" si="32"/>
        <v>2.7311008235975098E-3</v>
      </c>
      <c r="D518" s="35">
        <v>10372.15</v>
      </c>
      <c r="E518" s="45">
        <f t="shared" si="35"/>
        <v>-3.7842588279362044E-3</v>
      </c>
      <c r="F518">
        <v>2436400</v>
      </c>
      <c r="G518">
        <v>637.35</v>
      </c>
      <c r="H518" s="45">
        <f t="shared" si="33"/>
        <v>-3.9849976558836708E-3</v>
      </c>
      <c r="I518">
        <v>5252300</v>
      </c>
      <c r="J518" s="38" t="s">
        <v>540</v>
      </c>
      <c r="K518" s="45">
        <f t="shared" si="34"/>
        <v>6.0085836909871126E-3</v>
      </c>
    </row>
    <row r="519" spans="1:11" x14ac:dyDescent="0.25">
      <c r="A519" s="8">
        <v>45138</v>
      </c>
      <c r="B519">
        <v>7276.84</v>
      </c>
      <c r="C519">
        <f t="shared" si="32"/>
        <v>-1.0254917761600701E-3</v>
      </c>
      <c r="D519" s="35">
        <v>10386.6</v>
      </c>
      <c r="E519" s="45">
        <f t="shared" si="35"/>
        <v>1.3931537820028872E-3</v>
      </c>
      <c r="F519">
        <v>4896900</v>
      </c>
      <c r="G519">
        <v>635.29999999999995</v>
      </c>
      <c r="H519" s="45">
        <f t="shared" si="33"/>
        <v>-3.2164430846475245E-3</v>
      </c>
      <c r="I519">
        <v>11436100</v>
      </c>
      <c r="J519" s="38" t="s">
        <v>541</v>
      </c>
      <c r="K519" s="45">
        <f t="shared" si="34"/>
        <v>2.1080104396706822E-3</v>
      </c>
    </row>
    <row r="520" spans="1:11" x14ac:dyDescent="0.25">
      <c r="A520" s="8">
        <v>45139</v>
      </c>
      <c r="B520">
        <v>7229.2</v>
      </c>
      <c r="C520">
        <f t="shared" si="32"/>
        <v>-6.5467977858520987E-3</v>
      </c>
      <c r="D520" s="35">
        <v>10445.9</v>
      </c>
      <c r="E520" s="45">
        <f t="shared" si="35"/>
        <v>5.7092792636666001E-3</v>
      </c>
      <c r="F520">
        <v>2211700</v>
      </c>
      <c r="G520">
        <v>636.04999999999995</v>
      </c>
      <c r="H520" s="45">
        <f t="shared" si="33"/>
        <v>1.1805446245867213E-3</v>
      </c>
      <c r="I520">
        <v>5300000</v>
      </c>
      <c r="J520" s="38" t="s">
        <v>542</v>
      </c>
      <c r="K520" s="45">
        <f t="shared" si="34"/>
        <v>-3.7563858559551688E-3</v>
      </c>
    </row>
    <row r="521" spans="1:11" x14ac:dyDescent="0.25">
      <c r="A521" s="8">
        <v>45140</v>
      </c>
      <c r="B521">
        <v>7158.97</v>
      </c>
      <c r="C521">
        <f t="shared" si="32"/>
        <v>-9.7147678857963937E-3</v>
      </c>
      <c r="D521" s="35">
        <v>10437.5</v>
      </c>
      <c r="E521" s="45">
        <f t="shared" si="35"/>
        <v>-8.0414325237654349E-4</v>
      </c>
      <c r="F521">
        <v>2504700</v>
      </c>
      <c r="G521">
        <v>629.1</v>
      </c>
      <c r="H521" s="45">
        <f t="shared" si="33"/>
        <v>-1.092681392972239E-2</v>
      </c>
      <c r="I521">
        <v>7271600</v>
      </c>
      <c r="J521" s="38" t="s">
        <v>543</v>
      </c>
      <c r="K521" s="45">
        <f t="shared" si="34"/>
        <v>-7.6416469760192118E-3</v>
      </c>
    </row>
    <row r="522" spans="1:11" x14ac:dyDescent="0.25">
      <c r="A522" s="8">
        <v>45141</v>
      </c>
      <c r="B522">
        <v>7127.18</v>
      </c>
      <c r="C522">
        <f t="shared" si="32"/>
        <v>-4.4405829330197433E-3</v>
      </c>
      <c r="D522" s="35">
        <v>10320.9</v>
      </c>
      <c r="E522" s="45">
        <f t="shared" si="35"/>
        <v>-1.1171257485030006E-2</v>
      </c>
      <c r="F522">
        <v>3874100</v>
      </c>
      <c r="G522">
        <v>615.85</v>
      </c>
      <c r="H522" s="45">
        <f t="shared" si="33"/>
        <v>-2.1061834366555399E-2</v>
      </c>
      <c r="I522">
        <v>7772600</v>
      </c>
      <c r="J522" s="38" t="s">
        <v>544</v>
      </c>
      <c r="K522" s="45">
        <f t="shared" si="34"/>
        <v>-2.2240235067632619E-2</v>
      </c>
    </row>
    <row r="523" spans="1:11" x14ac:dyDescent="0.25">
      <c r="A523" s="8">
        <v>45142</v>
      </c>
      <c r="B523">
        <v>7128.8</v>
      </c>
      <c r="C523">
        <f t="shared" si="32"/>
        <v>2.272988755720462E-4</v>
      </c>
      <c r="D523" s="35">
        <v>10262.6</v>
      </c>
      <c r="E523" s="45">
        <f t="shared" si="35"/>
        <v>-5.6487321842086935E-3</v>
      </c>
      <c r="F523">
        <v>2083900</v>
      </c>
      <c r="G523">
        <v>619.65</v>
      </c>
      <c r="H523" s="45">
        <f t="shared" si="33"/>
        <v>6.1703336851506307E-3</v>
      </c>
      <c r="I523">
        <v>5257000</v>
      </c>
      <c r="J523" s="38" t="s">
        <v>545</v>
      </c>
      <c r="K523" s="45">
        <f t="shared" si="34"/>
        <v>5.6994818652849055E-3</v>
      </c>
    </row>
    <row r="524" spans="1:11" x14ac:dyDescent="0.25">
      <c r="A524" s="8">
        <v>45145</v>
      </c>
      <c r="B524">
        <v>7131.52</v>
      </c>
      <c r="C524">
        <f t="shared" si="32"/>
        <v>3.8155089215585747E-4</v>
      </c>
      <c r="D524" s="35">
        <v>10337.35</v>
      </c>
      <c r="E524" s="45">
        <f t="shared" si="35"/>
        <v>7.283729269385919E-3</v>
      </c>
      <c r="F524">
        <v>3424900</v>
      </c>
      <c r="G524">
        <v>625.20000000000005</v>
      </c>
      <c r="H524" s="45">
        <f t="shared" si="33"/>
        <v>8.956669087388125E-3</v>
      </c>
      <c r="I524">
        <v>5758600</v>
      </c>
      <c r="J524" s="38" t="s">
        <v>546</v>
      </c>
      <c r="K524" s="45">
        <f t="shared" si="34"/>
        <v>5.3065430190624152E-3</v>
      </c>
    </row>
    <row r="525" spans="1:11" x14ac:dyDescent="0.25">
      <c r="A525" s="8">
        <v>45146</v>
      </c>
      <c r="B525">
        <v>7070.53</v>
      </c>
      <c r="C525">
        <f t="shared" si="32"/>
        <v>-8.5521740105897193E-3</v>
      </c>
      <c r="D525" s="35">
        <v>10378.25</v>
      </c>
      <c r="E525" s="45">
        <f t="shared" si="35"/>
        <v>3.9565265759600177E-3</v>
      </c>
      <c r="F525">
        <v>4942700</v>
      </c>
      <c r="G525">
        <v>628.25</v>
      </c>
      <c r="H525" s="45">
        <f t="shared" si="33"/>
        <v>4.8784388995519734E-3</v>
      </c>
      <c r="I525">
        <v>7883300</v>
      </c>
      <c r="J525" s="38" t="s">
        <v>547</v>
      </c>
      <c r="K525" s="45">
        <f t="shared" si="34"/>
        <v>4.3560703120997246E-3</v>
      </c>
    </row>
    <row r="526" spans="1:11" x14ac:dyDescent="0.25">
      <c r="A526" s="8">
        <v>45147</v>
      </c>
      <c r="B526">
        <v>7158.5</v>
      </c>
      <c r="C526">
        <f t="shared" si="32"/>
        <v>1.2441783006365892E-2</v>
      </c>
      <c r="D526" s="35">
        <v>10370.6</v>
      </c>
      <c r="E526" s="45">
        <f t="shared" si="35"/>
        <v>-7.3711849300217569E-4</v>
      </c>
      <c r="F526">
        <v>3849300</v>
      </c>
      <c r="G526">
        <v>625.95000000000005</v>
      </c>
      <c r="H526" s="45">
        <f t="shared" si="33"/>
        <v>-3.6609629924392317E-3</v>
      </c>
      <c r="I526">
        <v>8647100</v>
      </c>
      <c r="J526" s="38" t="s">
        <v>548</v>
      </c>
      <c r="K526" s="45">
        <f t="shared" si="34"/>
        <v>-7.3476885396468461E-3</v>
      </c>
    </row>
    <row r="527" spans="1:11" x14ac:dyDescent="0.25">
      <c r="A527" s="8">
        <v>45148</v>
      </c>
      <c r="B527">
        <v>7167.53</v>
      </c>
      <c r="C527">
        <f t="shared" si="32"/>
        <v>1.2614374519801519E-3</v>
      </c>
      <c r="D527" s="35">
        <v>10401.6</v>
      </c>
      <c r="E527" s="45">
        <f t="shared" si="35"/>
        <v>2.9892195244247688E-3</v>
      </c>
      <c r="F527">
        <v>2272900</v>
      </c>
      <c r="G527">
        <v>626.15</v>
      </c>
      <c r="H527" s="45">
        <f t="shared" si="33"/>
        <v>3.1951433820576192E-4</v>
      </c>
      <c r="I527">
        <v>5418400</v>
      </c>
      <c r="J527" s="38" t="s">
        <v>549</v>
      </c>
      <c r="K527" s="45">
        <f t="shared" si="34"/>
        <v>-8.8413693841883356E-3</v>
      </c>
    </row>
    <row r="528" spans="1:11" x14ac:dyDescent="0.25">
      <c r="A528" s="8">
        <v>45149</v>
      </c>
      <c r="B528">
        <v>7136.36</v>
      </c>
      <c r="C528">
        <f t="shared" si="32"/>
        <v>-4.3487784494797843E-3</v>
      </c>
      <c r="D528" s="35">
        <v>10358.75</v>
      </c>
      <c r="E528" s="45">
        <f t="shared" si="35"/>
        <v>-4.1195585294570014E-3</v>
      </c>
      <c r="F528">
        <v>2670700</v>
      </c>
      <c r="G528">
        <v>626.1</v>
      </c>
      <c r="H528" s="45">
        <f t="shared" si="33"/>
        <v>-7.9853070350521804E-5</v>
      </c>
      <c r="I528">
        <v>5360300</v>
      </c>
      <c r="J528" s="38" t="s">
        <v>550</v>
      </c>
      <c r="K528" s="45">
        <f t="shared" si="34"/>
        <v>-1.1668914013069132E-2</v>
      </c>
    </row>
    <row r="529" spans="1:11" x14ac:dyDescent="0.25">
      <c r="A529" s="8">
        <v>45152</v>
      </c>
      <c r="B529">
        <v>7137.53</v>
      </c>
      <c r="C529">
        <f t="shared" si="32"/>
        <v>1.6394912812689455E-4</v>
      </c>
      <c r="D529" s="35">
        <v>10304.6</v>
      </c>
      <c r="E529" s="45">
        <f t="shared" si="35"/>
        <v>-5.2274647037527933E-3</v>
      </c>
      <c r="F529">
        <v>3957200</v>
      </c>
      <c r="G529">
        <v>620.04999999999995</v>
      </c>
      <c r="H529" s="45">
        <f t="shared" si="33"/>
        <v>-9.6629931320876272E-3</v>
      </c>
      <c r="I529">
        <v>8448400</v>
      </c>
      <c r="J529" s="38" t="s">
        <v>551</v>
      </c>
      <c r="K529" s="45">
        <f t="shared" si="34"/>
        <v>7.0315369680431505E-3</v>
      </c>
    </row>
    <row r="530" spans="1:11" x14ac:dyDescent="0.25">
      <c r="A530" s="8">
        <v>45154</v>
      </c>
      <c r="B530">
        <v>7170.9</v>
      </c>
      <c r="C530">
        <f t="shared" si="32"/>
        <v>4.6752868289170468E-3</v>
      </c>
      <c r="D530" s="35">
        <v>10289.15</v>
      </c>
      <c r="E530" s="45">
        <f t="shared" si="35"/>
        <v>-1.4993303961338134E-3</v>
      </c>
      <c r="F530">
        <v>2404100</v>
      </c>
      <c r="G530">
        <v>616.25</v>
      </c>
      <c r="H530" s="45">
        <f t="shared" si="33"/>
        <v>-6.1285380211272278E-3</v>
      </c>
      <c r="I530">
        <v>6742200</v>
      </c>
      <c r="J530" s="38" t="s">
        <v>552</v>
      </c>
      <c r="K530" s="45">
        <f t="shared" si="34"/>
        <v>-3.178573289562725E-3</v>
      </c>
    </row>
    <row r="531" spans="1:11" x14ac:dyDescent="0.25">
      <c r="A531" s="8">
        <v>45155</v>
      </c>
      <c r="B531">
        <v>7191.18</v>
      </c>
      <c r="C531">
        <f t="shared" si="32"/>
        <v>2.8280968916036819E-3</v>
      </c>
      <c r="D531" s="35">
        <v>10302.799999999999</v>
      </c>
      <c r="E531" s="45">
        <f t="shared" si="35"/>
        <v>1.3266401986558041E-3</v>
      </c>
      <c r="F531">
        <v>2525300</v>
      </c>
      <c r="G531">
        <v>620.5</v>
      </c>
      <c r="H531" s="45">
        <f t="shared" si="33"/>
        <v>6.8965517241379448E-3</v>
      </c>
      <c r="I531">
        <v>4753200</v>
      </c>
      <c r="J531" s="38" t="s">
        <v>553</v>
      </c>
      <c r="K531" s="45">
        <f t="shared" si="34"/>
        <v>-5.0705697856769927E-3</v>
      </c>
    </row>
    <row r="532" spans="1:11" x14ac:dyDescent="0.25">
      <c r="A532" s="8">
        <v>45156</v>
      </c>
      <c r="B532">
        <v>7227.08</v>
      </c>
      <c r="C532">
        <f t="shared" si="32"/>
        <v>4.9922265886821471E-3</v>
      </c>
      <c r="D532" s="35">
        <v>10263.950000000001</v>
      </c>
      <c r="E532" s="45">
        <f t="shared" si="35"/>
        <v>-3.7708195830258306E-3</v>
      </c>
      <c r="F532">
        <v>4408200</v>
      </c>
      <c r="G532">
        <v>619.75</v>
      </c>
      <c r="H532" s="45">
        <f t="shared" si="33"/>
        <v>-1.208702659145855E-3</v>
      </c>
      <c r="I532">
        <v>8099300</v>
      </c>
      <c r="J532" s="38" t="s">
        <v>554</v>
      </c>
      <c r="K532" s="45">
        <f t="shared" si="34"/>
        <v>-1.0508064939841466E-3</v>
      </c>
    </row>
    <row r="533" spans="1:11" x14ac:dyDescent="0.25">
      <c r="A533" s="8">
        <v>45159</v>
      </c>
      <c r="B533">
        <v>7181.5</v>
      </c>
      <c r="C533">
        <f t="shared" si="32"/>
        <v>-6.3068348489292436E-3</v>
      </c>
      <c r="D533" s="35">
        <v>10235.65</v>
      </c>
      <c r="E533" s="45">
        <f t="shared" si="35"/>
        <v>-2.7572230963713862E-3</v>
      </c>
      <c r="F533">
        <v>2470300</v>
      </c>
      <c r="G533">
        <v>620.95000000000005</v>
      </c>
      <c r="H533" s="45">
        <f t="shared" si="33"/>
        <v>1.936264622831807E-3</v>
      </c>
      <c r="I533">
        <v>5170800</v>
      </c>
      <c r="J533" s="38" t="s">
        <v>555</v>
      </c>
      <c r="K533" s="45">
        <f t="shared" si="34"/>
        <v>4.7861989165307595E-3</v>
      </c>
    </row>
    <row r="534" spans="1:11" x14ac:dyDescent="0.25">
      <c r="A534" s="8">
        <v>45160</v>
      </c>
      <c r="B534">
        <v>7189.42</v>
      </c>
      <c r="C534">
        <f t="shared" si="32"/>
        <v>1.1028336698462038E-3</v>
      </c>
      <c r="D534" s="35">
        <v>10290.75</v>
      </c>
      <c r="E534" s="45">
        <f t="shared" si="35"/>
        <v>5.3831461607225517E-3</v>
      </c>
      <c r="F534">
        <v>4216700</v>
      </c>
      <c r="G534">
        <v>620.20000000000005</v>
      </c>
      <c r="H534" s="45">
        <f t="shared" si="33"/>
        <v>-1.2078267171269363E-3</v>
      </c>
      <c r="I534">
        <v>8835800</v>
      </c>
      <c r="J534" s="38" t="s">
        <v>556</v>
      </c>
      <c r="K534" s="45">
        <f t="shared" si="34"/>
        <v>-3.3500837520938909E-3</v>
      </c>
    </row>
    <row r="535" spans="1:11" x14ac:dyDescent="0.25">
      <c r="A535" s="63">
        <v>45161</v>
      </c>
      <c r="B535">
        <v>7208.04</v>
      </c>
      <c r="C535">
        <f t="shared" si="32"/>
        <v>2.5899168500380654E-3</v>
      </c>
      <c r="D535" s="35">
        <v>10317.25</v>
      </c>
      <c r="E535" s="45">
        <f t="shared" si="35"/>
        <v>2.5751281490660194E-3</v>
      </c>
      <c r="F535">
        <v>3198100</v>
      </c>
      <c r="G535">
        <v>621.65</v>
      </c>
      <c r="H535" s="45">
        <f t="shared" si="33"/>
        <v>2.3379554982263517E-3</v>
      </c>
      <c r="I535">
        <v>6949800</v>
      </c>
      <c r="J535" s="38" t="s">
        <v>557</v>
      </c>
      <c r="K535" s="45">
        <f t="shared" si="34"/>
        <v>1.5598739495798375E-2</v>
      </c>
    </row>
    <row r="536" spans="1:11" x14ac:dyDescent="0.25">
      <c r="A536" s="8">
        <v>45162</v>
      </c>
      <c r="B536">
        <v>7133.99</v>
      </c>
      <c r="C536">
        <f t="shared" si="32"/>
        <v>-1.0273250425913316E-2</v>
      </c>
      <c r="D536" s="35">
        <v>10340.049999999999</v>
      </c>
      <c r="E536" s="45">
        <f t="shared" si="35"/>
        <v>2.209891201628178E-3</v>
      </c>
      <c r="F536">
        <v>2391500</v>
      </c>
      <c r="G536">
        <v>624.29999999999995</v>
      </c>
      <c r="H536" s="45">
        <f t="shared" si="33"/>
        <v>4.2628488699427702E-3</v>
      </c>
      <c r="I536">
        <v>6969800</v>
      </c>
      <c r="J536" s="38" t="s">
        <v>558</v>
      </c>
      <c r="K536" s="45">
        <f t="shared" si="34"/>
        <v>2.1720018617159553E-3</v>
      </c>
    </row>
    <row r="537" spans="1:11" x14ac:dyDescent="0.25">
      <c r="A537" s="8">
        <v>45163</v>
      </c>
      <c r="B537">
        <v>7063.74</v>
      </c>
      <c r="C537">
        <f t="shared" si="32"/>
        <v>-9.8472243443009644E-3</v>
      </c>
      <c r="D537" s="35">
        <v>10325.9</v>
      </c>
      <c r="E537" s="45">
        <f t="shared" si="35"/>
        <v>-1.3684653362411314E-3</v>
      </c>
      <c r="F537">
        <v>3226700</v>
      </c>
      <c r="G537">
        <v>620.9</v>
      </c>
      <c r="H537" s="45">
        <f t="shared" si="33"/>
        <v>-5.4460996315873755E-3</v>
      </c>
      <c r="I537">
        <v>8282700</v>
      </c>
      <c r="J537" s="38" t="s">
        <v>559</v>
      </c>
      <c r="K537" s="45">
        <f t="shared" si="34"/>
        <v>1.4964652458846484E-3</v>
      </c>
    </row>
    <row r="538" spans="1:11" x14ac:dyDescent="0.25">
      <c r="A538" s="8">
        <v>45166</v>
      </c>
      <c r="B538">
        <v>6958.35</v>
      </c>
      <c r="C538">
        <f t="shared" si="32"/>
        <v>-1.4919858318680923E-2</v>
      </c>
      <c r="D538" s="35">
        <v>10254.450000000001</v>
      </c>
      <c r="E538" s="45">
        <f t="shared" si="35"/>
        <v>-6.9194937003068668E-3</v>
      </c>
      <c r="F538">
        <v>3553800</v>
      </c>
      <c r="G538">
        <v>623.04999999999995</v>
      </c>
      <c r="H538" s="45">
        <f t="shared" si="33"/>
        <v>3.4627154131099402E-3</v>
      </c>
      <c r="I538">
        <v>9490800</v>
      </c>
      <c r="J538" s="38" t="s">
        <v>560</v>
      </c>
      <c r="K538" s="45">
        <f t="shared" si="34"/>
        <v>1.5457543281116592E-4</v>
      </c>
    </row>
    <row r="539" spans="1:11" x14ac:dyDescent="0.25">
      <c r="A539" s="8">
        <v>45167</v>
      </c>
      <c r="B539">
        <v>6969.09</v>
      </c>
      <c r="C539">
        <f t="shared" si="32"/>
        <v>1.5434693569595925E-3</v>
      </c>
      <c r="D539" s="35">
        <v>10284.65</v>
      </c>
      <c r="E539" s="45">
        <f t="shared" si="35"/>
        <v>2.9450628751419572E-3</v>
      </c>
      <c r="F539">
        <v>3311400</v>
      </c>
      <c r="G539">
        <v>620.4</v>
      </c>
      <c r="H539" s="45">
        <f t="shared" si="33"/>
        <v>-4.2532702030334546E-3</v>
      </c>
      <c r="I539">
        <v>7933900</v>
      </c>
      <c r="J539" s="38" t="s">
        <v>561</v>
      </c>
      <c r="K539" s="45">
        <f t="shared" si="34"/>
        <v>-2.8849621348718824E-3</v>
      </c>
    </row>
    <row r="540" spans="1:11" x14ac:dyDescent="0.25">
      <c r="A540" s="8">
        <v>45168</v>
      </c>
      <c r="B540">
        <v>7030.74</v>
      </c>
      <c r="C540">
        <f t="shared" si="32"/>
        <v>8.8462051716937662E-3</v>
      </c>
      <c r="D540" s="35">
        <v>10311.549999999999</v>
      </c>
      <c r="E540" s="45">
        <f t="shared" si="35"/>
        <v>2.6155484143846053E-3</v>
      </c>
      <c r="F540">
        <v>3662900</v>
      </c>
      <c r="G540">
        <v>615.79999999999995</v>
      </c>
      <c r="H540" s="45">
        <f t="shared" si="33"/>
        <v>-7.4145712443585143E-3</v>
      </c>
      <c r="I540">
        <v>7878500</v>
      </c>
      <c r="J540" s="38" t="s">
        <v>562</v>
      </c>
      <c r="K540" s="45">
        <f t="shared" si="34"/>
        <v>-9.1449237923018067E-3</v>
      </c>
    </row>
    <row r="541" spans="1:11" x14ac:dyDescent="0.25">
      <c r="A541" s="8">
        <v>45169</v>
      </c>
      <c r="B541">
        <v>6937.6</v>
      </c>
      <c r="C541">
        <f t="shared" si="32"/>
        <v>-1.3247538665915548E-2</v>
      </c>
      <c r="D541" s="35">
        <v>10330.049999999999</v>
      </c>
      <c r="E541" s="45">
        <f t="shared" si="35"/>
        <v>1.7941046690361784E-3</v>
      </c>
      <c r="F541">
        <v>2735300</v>
      </c>
      <c r="G541">
        <v>624.85</v>
      </c>
      <c r="H541" s="45">
        <f t="shared" si="33"/>
        <v>1.4696329977265554E-2</v>
      </c>
      <c r="I541">
        <v>6592600</v>
      </c>
      <c r="J541" s="38" t="s">
        <v>563</v>
      </c>
      <c r="K541" s="45">
        <f t="shared" si="34"/>
        <v>-1.5642924183956186E-4</v>
      </c>
    </row>
    <row r="542" spans="1:11" x14ac:dyDescent="0.25">
      <c r="A542" s="8">
        <v>45170</v>
      </c>
      <c r="B542">
        <v>7049.18</v>
      </c>
      <c r="C542">
        <f t="shared" si="32"/>
        <v>1.6083371771217658E-2</v>
      </c>
      <c r="D542" s="35">
        <v>10284.950000000001</v>
      </c>
      <c r="E542" s="45">
        <f t="shared" si="35"/>
        <v>-4.3659033596157304E-3</v>
      </c>
      <c r="F542">
        <v>2674500</v>
      </c>
      <c r="G542">
        <v>624.70000000000005</v>
      </c>
      <c r="H542" s="45">
        <f t="shared" si="33"/>
        <v>-2.4005761382728252E-4</v>
      </c>
      <c r="I542">
        <v>5018300</v>
      </c>
      <c r="J542" s="38" t="s">
        <v>531</v>
      </c>
      <c r="K542" s="45">
        <f t="shared" si="34"/>
        <v>1.0378096479791488E-2</v>
      </c>
    </row>
    <row r="543" spans="1:11" x14ac:dyDescent="0.25">
      <c r="A543" s="8">
        <v>45173</v>
      </c>
      <c r="B543">
        <v>7015.85</v>
      </c>
      <c r="C543">
        <f t="shared" si="32"/>
        <v>-4.7282095222422882E-3</v>
      </c>
      <c r="D543" s="35">
        <v>10378.950000000001</v>
      </c>
      <c r="E543" s="45">
        <f t="shared" si="35"/>
        <v>9.1395680095673892E-3</v>
      </c>
      <c r="F543">
        <v>2760900</v>
      </c>
      <c r="G543">
        <v>624.54999999999995</v>
      </c>
      <c r="H543" s="45">
        <f t="shared" si="33"/>
        <v>-2.4011525532274813E-4</v>
      </c>
      <c r="I543">
        <v>5991800</v>
      </c>
      <c r="J543" s="38" t="s">
        <v>564</v>
      </c>
      <c r="K543" s="45">
        <f t="shared" si="34"/>
        <v>-1.3936203158873006E-3</v>
      </c>
    </row>
    <row r="544" spans="1:11" x14ac:dyDescent="0.25">
      <c r="A544" s="8">
        <v>45174</v>
      </c>
      <c r="B544">
        <v>7071.86</v>
      </c>
      <c r="C544">
        <f t="shared" si="32"/>
        <v>7.9833519815843967E-3</v>
      </c>
      <c r="D544" s="35">
        <v>10440.75</v>
      </c>
      <c r="E544" s="45">
        <f t="shared" si="35"/>
        <v>5.9543595450406439E-3</v>
      </c>
      <c r="F544">
        <v>2676300</v>
      </c>
      <c r="G544">
        <v>626.4</v>
      </c>
      <c r="H544" s="45">
        <f t="shared" si="33"/>
        <v>2.9621327355695559E-3</v>
      </c>
      <c r="I544">
        <v>6022800</v>
      </c>
      <c r="J544" s="38" t="s">
        <v>565</v>
      </c>
      <c r="K544" s="45">
        <f t="shared" si="34"/>
        <v>1.0854396030390845E-3</v>
      </c>
    </row>
    <row r="545" spans="1:11" x14ac:dyDescent="0.25">
      <c r="A545" s="8">
        <v>45175</v>
      </c>
      <c r="B545">
        <v>7011.21</v>
      </c>
      <c r="C545">
        <f t="shared" si="32"/>
        <v>-8.576244439228109E-3</v>
      </c>
      <c r="D545" s="35">
        <v>10478.200000000001</v>
      </c>
      <c r="E545" s="45">
        <f t="shared" si="35"/>
        <v>3.5869070708522965E-3</v>
      </c>
      <c r="F545">
        <v>2336100</v>
      </c>
      <c r="G545">
        <v>620.75</v>
      </c>
      <c r="H545" s="45">
        <f t="shared" si="33"/>
        <v>-9.0197956577267036E-3</v>
      </c>
      <c r="I545">
        <v>4113800</v>
      </c>
      <c r="J545" s="38" t="s">
        <v>566</v>
      </c>
      <c r="K545" s="45">
        <f t="shared" si="34"/>
        <v>-1.1255679471292801E-2</v>
      </c>
    </row>
    <row r="546" spans="1:11" x14ac:dyDescent="0.25">
      <c r="A546" s="8">
        <v>45176</v>
      </c>
      <c r="B546">
        <v>7010.21</v>
      </c>
      <c r="C546">
        <f t="shared" si="32"/>
        <v>-1.426287331287579E-4</v>
      </c>
      <c r="D546" s="35">
        <v>10500.85</v>
      </c>
      <c r="E546" s="45">
        <f t="shared" si="35"/>
        <v>2.161630814452753E-3</v>
      </c>
      <c r="F546">
        <v>3186900</v>
      </c>
      <c r="G546">
        <v>635.04999999999995</v>
      </c>
      <c r="H546" s="45">
        <f t="shared" si="33"/>
        <v>2.3036649214659644E-2</v>
      </c>
      <c r="I546">
        <v>5740900</v>
      </c>
      <c r="J546" s="38" t="s">
        <v>567</v>
      </c>
      <c r="K546" s="45">
        <f t="shared" si="34"/>
        <v>8.5117493472584016E-3</v>
      </c>
    </row>
    <row r="547" spans="1:11" x14ac:dyDescent="0.25">
      <c r="A547" s="8">
        <v>45177</v>
      </c>
      <c r="B547">
        <v>6935.31</v>
      </c>
      <c r="C547">
        <f t="shared" si="32"/>
        <v>-1.0684416016067955E-2</v>
      </c>
      <c r="D547" s="35">
        <v>10564.2</v>
      </c>
      <c r="E547" s="45">
        <f t="shared" si="35"/>
        <v>6.0328449601698697E-3</v>
      </c>
      <c r="F547">
        <v>5433400</v>
      </c>
      <c r="G547">
        <v>633.29999999999995</v>
      </c>
      <c r="H547" s="45">
        <f t="shared" si="33"/>
        <v>-2.7556885284623078E-3</v>
      </c>
      <c r="I547">
        <v>16222400</v>
      </c>
      <c r="J547" s="38" t="s">
        <v>560</v>
      </c>
      <c r="K547" s="45">
        <f t="shared" si="34"/>
        <v>5.0743022834360829E-3</v>
      </c>
    </row>
    <row r="548" spans="1:11" x14ac:dyDescent="0.25">
      <c r="A548" s="8">
        <v>45180</v>
      </c>
      <c r="B548">
        <v>7008.32</v>
      </c>
      <c r="C548">
        <f t="shared" si="32"/>
        <v>1.0527287172455102E-2</v>
      </c>
      <c r="D548" s="35">
        <v>10624.35</v>
      </c>
      <c r="E548" s="45">
        <f t="shared" si="35"/>
        <v>5.6937581643663471E-3</v>
      </c>
      <c r="F548">
        <v>6135700</v>
      </c>
      <c r="G548">
        <v>632.35</v>
      </c>
      <c r="H548" s="45">
        <f t="shared" si="33"/>
        <v>-1.500078951523709E-3</v>
      </c>
      <c r="I548">
        <v>10377200</v>
      </c>
      <c r="J548" s="38" t="s">
        <v>568</v>
      </c>
      <c r="K548" s="45">
        <f t="shared" si="34"/>
        <v>7.9336458708980651E-3</v>
      </c>
    </row>
    <row r="549" spans="1:11" x14ac:dyDescent="0.25">
      <c r="A549" s="8">
        <v>45181</v>
      </c>
      <c r="B549">
        <v>7043.01</v>
      </c>
      <c r="C549">
        <f t="shared" si="32"/>
        <v>4.9498310579425553E-3</v>
      </c>
      <c r="D549" s="35">
        <v>10725.4</v>
      </c>
      <c r="E549" s="45">
        <f t="shared" si="35"/>
        <v>9.5111700951115985E-3</v>
      </c>
      <c r="F549">
        <v>3425500</v>
      </c>
      <c r="G549">
        <v>637.45000000000005</v>
      </c>
      <c r="H549" s="45">
        <f t="shared" si="33"/>
        <v>8.0651537914129268E-3</v>
      </c>
      <c r="I549">
        <v>6717900</v>
      </c>
      <c r="J549" s="38" t="s">
        <v>569</v>
      </c>
      <c r="K549" s="45">
        <f t="shared" si="34"/>
        <v>1.2522361359570633E-2</v>
      </c>
    </row>
    <row r="550" spans="1:11" x14ac:dyDescent="0.25">
      <c r="A550" s="8">
        <v>45182</v>
      </c>
      <c r="B550">
        <v>7032.03</v>
      </c>
      <c r="C550">
        <f t="shared" si="32"/>
        <v>-1.5589925330221632E-3</v>
      </c>
      <c r="D550" s="35">
        <v>10645.05</v>
      </c>
      <c r="E550" s="45">
        <f t="shared" si="35"/>
        <v>-7.4915620862625598E-3</v>
      </c>
      <c r="F550">
        <v>2925400</v>
      </c>
      <c r="G550">
        <v>637.04999999999995</v>
      </c>
      <c r="H550" s="45">
        <f t="shared" si="33"/>
        <v>-6.2750019609392194E-4</v>
      </c>
      <c r="I550">
        <v>5933800</v>
      </c>
      <c r="J550" s="38" t="s">
        <v>570</v>
      </c>
      <c r="K550" s="45">
        <f t="shared" si="34"/>
        <v>-7.0671378091879955E-4</v>
      </c>
    </row>
    <row r="551" spans="1:11" x14ac:dyDescent="0.25">
      <c r="A551" s="8">
        <v>45183</v>
      </c>
      <c r="B551">
        <v>7124.69</v>
      </c>
      <c r="C551">
        <f t="shared" si="32"/>
        <v>1.3176849359288756E-2</v>
      </c>
      <c r="D551" s="35">
        <v>10681</v>
      </c>
      <c r="E551" s="45">
        <f t="shared" si="35"/>
        <v>3.3771565187576957E-3</v>
      </c>
      <c r="F551">
        <v>3020400</v>
      </c>
      <c r="G551">
        <v>636.9</v>
      </c>
      <c r="H551" s="45">
        <f t="shared" si="33"/>
        <v>-2.3546032493526603E-4</v>
      </c>
      <c r="I551">
        <v>6216600</v>
      </c>
      <c r="J551" s="38" t="s">
        <v>571</v>
      </c>
      <c r="K551" s="45">
        <f t="shared" si="34"/>
        <v>-2.1216407355020284E-3</v>
      </c>
    </row>
    <row r="552" spans="1:11" x14ac:dyDescent="0.25">
      <c r="A552" s="8">
        <v>45184</v>
      </c>
      <c r="B552">
        <v>7117.29</v>
      </c>
      <c r="C552">
        <f t="shared" si="32"/>
        <v>-1.0386416812520061E-3</v>
      </c>
      <c r="D552" s="35">
        <v>10721.05</v>
      </c>
      <c r="E552" s="45">
        <f t="shared" si="35"/>
        <v>3.7496489092780916E-3</v>
      </c>
      <c r="F552">
        <v>1741200</v>
      </c>
      <c r="G552">
        <v>639.35</v>
      </c>
      <c r="H552" s="45">
        <f t="shared" si="33"/>
        <v>3.8467577327681024E-3</v>
      </c>
      <c r="I552">
        <v>5185200</v>
      </c>
      <c r="J552" s="38" t="s">
        <v>572</v>
      </c>
      <c r="K552" s="45">
        <f t="shared" si="34"/>
        <v>4.809152576693343E-3</v>
      </c>
    </row>
    <row r="553" spans="1:11" x14ac:dyDescent="0.25">
      <c r="A553" s="8">
        <v>45187</v>
      </c>
      <c r="B553">
        <v>7110.08</v>
      </c>
      <c r="C553">
        <f t="shared" si="32"/>
        <v>-1.0130260253551349E-3</v>
      </c>
      <c r="D553" s="35">
        <v>10763.6</v>
      </c>
      <c r="E553" s="45">
        <f t="shared" si="35"/>
        <v>3.9688276801246314E-3</v>
      </c>
      <c r="F553">
        <v>2161400</v>
      </c>
      <c r="G553">
        <v>641.25</v>
      </c>
      <c r="H553" s="45">
        <f t="shared" si="33"/>
        <v>2.9717682020802272E-3</v>
      </c>
      <c r="I553">
        <v>5404900</v>
      </c>
      <c r="J553" s="38" t="s">
        <v>573</v>
      </c>
      <c r="K553" s="45">
        <f t="shared" si="34"/>
        <v>-2.2671167313215168E-3</v>
      </c>
    </row>
    <row r="554" spans="1:11" x14ac:dyDescent="0.25">
      <c r="A554" s="8">
        <v>45189</v>
      </c>
      <c r="B554">
        <v>7144.6</v>
      </c>
      <c r="C554">
        <f t="shared" si="32"/>
        <v>4.8550789864529875E-3</v>
      </c>
      <c r="D554" s="35">
        <v>10733</v>
      </c>
      <c r="E554" s="45">
        <f t="shared" si="35"/>
        <v>-2.8429150098480127E-3</v>
      </c>
      <c r="F554">
        <v>2512400</v>
      </c>
      <c r="G554">
        <v>633.6</v>
      </c>
      <c r="H554" s="45">
        <f t="shared" si="33"/>
        <v>-1.1929824561403457E-2</v>
      </c>
      <c r="I554">
        <v>7267700</v>
      </c>
      <c r="J554" s="38" t="s">
        <v>574</v>
      </c>
      <c r="K554" s="45">
        <f t="shared" si="34"/>
        <v>-3.0801858210462996E-3</v>
      </c>
    </row>
    <row r="555" spans="1:11" x14ac:dyDescent="0.25">
      <c r="A555" s="8">
        <v>45190</v>
      </c>
      <c r="B555">
        <v>7066.81</v>
      </c>
      <c r="C555">
        <f t="shared" si="32"/>
        <v>-1.0887943341824635E-2</v>
      </c>
      <c r="D555" s="35">
        <v>10626.85</v>
      </c>
      <c r="E555" s="45">
        <f t="shared" si="35"/>
        <v>-9.8900586974750571E-3</v>
      </c>
      <c r="F555">
        <v>2925500</v>
      </c>
      <c r="G555">
        <v>617.4</v>
      </c>
      <c r="H555" s="45">
        <f t="shared" si="33"/>
        <v>-2.5568181818181879E-2</v>
      </c>
      <c r="I555">
        <v>6090800</v>
      </c>
      <c r="J555" s="38" t="s">
        <v>575</v>
      </c>
      <c r="K555" s="45">
        <f t="shared" si="34"/>
        <v>-2.8212531023653953E-2</v>
      </c>
    </row>
    <row r="556" spans="1:11" x14ac:dyDescent="0.25">
      <c r="A556" s="8">
        <v>45191</v>
      </c>
      <c r="B556">
        <v>7079.86</v>
      </c>
      <c r="C556">
        <f t="shared" si="32"/>
        <v>1.8466606573543931E-3</v>
      </c>
      <c r="D556" s="35">
        <v>10540.85</v>
      </c>
      <c r="E556" s="45">
        <f t="shared" si="35"/>
        <v>-8.0927085636853802E-3</v>
      </c>
      <c r="F556">
        <v>4791600</v>
      </c>
      <c r="G556">
        <v>613.45000000000005</v>
      </c>
      <c r="H556" s="45">
        <f t="shared" si="33"/>
        <v>-6.3977972141235906E-3</v>
      </c>
      <c r="I556">
        <v>8447000</v>
      </c>
      <c r="J556" s="38" t="s">
        <v>576</v>
      </c>
      <c r="K556" s="45">
        <f t="shared" si="34"/>
        <v>-9.3818409256749558E-3</v>
      </c>
    </row>
    <row r="557" spans="1:11" x14ac:dyDescent="0.25">
      <c r="A557" s="8">
        <v>45194</v>
      </c>
      <c r="B557">
        <v>6989.64</v>
      </c>
      <c r="C557">
        <f t="shared" si="32"/>
        <v>-1.274318983708711E-2</v>
      </c>
      <c r="D557" s="35">
        <v>10511.45</v>
      </c>
      <c r="E557" s="45">
        <f t="shared" si="35"/>
        <v>-2.7891488826802258E-3</v>
      </c>
      <c r="F557">
        <v>2977900</v>
      </c>
      <c r="G557">
        <v>616.1</v>
      </c>
      <c r="H557" s="45">
        <f t="shared" si="33"/>
        <v>4.3198304670306609E-3</v>
      </c>
      <c r="I557">
        <v>6717900</v>
      </c>
      <c r="J557" s="38" t="s">
        <v>577</v>
      </c>
      <c r="K557" s="45">
        <f t="shared" si="34"/>
        <v>6.3664106071767979E-3</v>
      </c>
    </row>
    <row r="558" spans="1:11" x14ac:dyDescent="0.25">
      <c r="A558" s="8">
        <v>45195</v>
      </c>
      <c r="B558">
        <v>6937.69</v>
      </c>
      <c r="C558">
        <f t="shared" si="32"/>
        <v>-7.4324285657059175E-3</v>
      </c>
      <c r="D558" s="35">
        <v>10518.7</v>
      </c>
      <c r="E558" s="45">
        <f t="shared" si="35"/>
        <v>6.8972406280765064E-4</v>
      </c>
      <c r="F558">
        <v>3552500</v>
      </c>
      <c r="G558">
        <v>614.20000000000005</v>
      </c>
      <c r="H558" s="45">
        <f t="shared" si="33"/>
        <v>-3.0839149488719464E-3</v>
      </c>
      <c r="I558">
        <v>6624200</v>
      </c>
      <c r="J558" s="38" t="s">
        <v>578</v>
      </c>
      <c r="K558" s="45">
        <f t="shared" si="34"/>
        <v>-7.9991634861713568E-3</v>
      </c>
    </row>
    <row r="559" spans="1:11" x14ac:dyDescent="0.25">
      <c r="A559" s="8">
        <v>45196</v>
      </c>
      <c r="B559">
        <v>6996.13</v>
      </c>
      <c r="C559">
        <f t="shared" si="32"/>
        <v>8.4235530846723528E-3</v>
      </c>
      <c r="D559" s="35">
        <v>10515.65</v>
      </c>
      <c r="E559" s="45">
        <f t="shared" si="35"/>
        <v>-2.8995978590518057E-4</v>
      </c>
      <c r="F559">
        <v>2633300</v>
      </c>
      <c r="G559">
        <v>614.85</v>
      </c>
      <c r="H559" s="45">
        <f t="shared" si="33"/>
        <v>1.0582872028654933E-3</v>
      </c>
      <c r="I559">
        <v>6793400</v>
      </c>
      <c r="J559" s="38" t="s">
        <v>579</v>
      </c>
      <c r="K559" s="45">
        <f t="shared" si="34"/>
        <v>-5.9028143775693431E-3</v>
      </c>
    </row>
    <row r="560" spans="1:11" x14ac:dyDescent="0.25">
      <c r="A560" s="8">
        <v>45197</v>
      </c>
      <c r="B560">
        <v>7034.64</v>
      </c>
      <c r="C560">
        <f t="shared" si="32"/>
        <v>5.5044717579575408E-3</v>
      </c>
      <c r="D560" s="35">
        <v>10549.85</v>
      </c>
      <c r="E560" s="45">
        <f t="shared" si="35"/>
        <v>3.2522953883022954E-3</v>
      </c>
      <c r="F560">
        <v>4053200</v>
      </c>
      <c r="G560">
        <v>620.70000000000005</v>
      </c>
      <c r="H560" s="45">
        <f t="shared" si="33"/>
        <v>9.5145157355451815E-3</v>
      </c>
      <c r="I560">
        <v>7712900</v>
      </c>
      <c r="J560" s="38" t="s">
        <v>580</v>
      </c>
      <c r="K560" s="45">
        <f t="shared" si="34"/>
        <v>-5.3016647227233094E-4</v>
      </c>
    </row>
    <row r="561" spans="1:11" x14ac:dyDescent="0.25">
      <c r="A561" s="8">
        <v>45198</v>
      </c>
      <c r="B561">
        <v>7113.12</v>
      </c>
      <c r="C561">
        <f t="shared" si="32"/>
        <v>1.1156221213878714E-2</v>
      </c>
      <c r="D561" s="35">
        <v>10436.15</v>
      </c>
      <c r="E561" s="45">
        <f t="shared" si="35"/>
        <v>-1.07774044180724E-2</v>
      </c>
      <c r="F561">
        <v>2906800</v>
      </c>
      <c r="G561">
        <v>621.4</v>
      </c>
      <c r="H561" s="45">
        <f t="shared" si="33"/>
        <v>1.1277589817946243E-3</v>
      </c>
      <c r="I561">
        <v>6306500</v>
      </c>
      <c r="J561" s="38" t="s">
        <v>581</v>
      </c>
      <c r="K561" s="45">
        <f t="shared" si="34"/>
        <v>9.8663271801400221E-3</v>
      </c>
    </row>
    <row r="562" spans="1:11" x14ac:dyDescent="0.25">
      <c r="A562" s="63">
        <v>45202</v>
      </c>
      <c r="B562">
        <v>7140.96</v>
      </c>
      <c r="C562">
        <f t="shared" si="32"/>
        <v>3.9138943248533398E-3</v>
      </c>
      <c r="D562" s="35">
        <v>10510.25</v>
      </c>
      <c r="E562" s="45">
        <f t="shared" si="35"/>
        <v>7.1003195622907356E-3</v>
      </c>
      <c r="F562">
        <v>2453100</v>
      </c>
      <c r="G562">
        <v>616.15</v>
      </c>
      <c r="H562" s="45">
        <f t="shared" si="33"/>
        <v>-8.4486643064048961E-3</v>
      </c>
      <c r="I562">
        <v>6628600</v>
      </c>
      <c r="J562" s="38" t="s">
        <v>582</v>
      </c>
      <c r="K562" s="45">
        <f t="shared" si="34"/>
        <v>-1.2186154007773897E-2</v>
      </c>
    </row>
    <row r="563" spans="1:11" x14ac:dyDescent="0.25">
      <c r="A563" s="8">
        <v>45203</v>
      </c>
      <c r="B563">
        <v>7121.02</v>
      </c>
      <c r="C563">
        <f t="shared" si="32"/>
        <v>-2.7923416459411099E-3</v>
      </c>
      <c r="D563" s="35">
        <v>10474.6</v>
      </c>
      <c r="E563" s="45">
        <f t="shared" si="35"/>
        <v>-3.3919269284745646E-3</v>
      </c>
      <c r="F563">
        <v>2676800</v>
      </c>
      <c r="G563">
        <v>611.1</v>
      </c>
      <c r="H563" s="45">
        <f t="shared" si="33"/>
        <v>-8.19605615515695E-3</v>
      </c>
      <c r="I563">
        <v>5379300</v>
      </c>
      <c r="J563" s="38" t="s">
        <v>583</v>
      </c>
      <c r="K563" s="45">
        <f t="shared" si="34"/>
        <v>-1.0900776347974039E-2</v>
      </c>
    </row>
    <row r="564" spans="1:11" x14ac:dyDescent="0.25">
      <c r="A564" s="8">
        <v>45204</v>
      </c>
      <c r="B564">
        <v>7155.95</v>
      </c>
      <c r="C564">
        <f t="shared" si="32"/>
        <v>4.9051961657178289E-3</v>
      </c>
      <c r="D564" s="35">
        <v>10399.549999999999</v>
      </c>
      <c r="E564" s="45">
        <f t="shared" si="35"/>
        <v>-7.1649514062590569E-3</v>
      </c>
      <c r="F564">
        <v>2180900</v>
      </c>
      <c r="G564">
        <v>619.70000000000005</v>
      </c>
      <c r="H564" s="45">
        <f t="shared" si="33"/>
        <v>1.4072983145148044E-2</v>
      </c>
      <c r="I564">
        <v>4650800</v>
      </c>
      <c r="J564" s="38" t="s">
        <v>584</v>
      </c>
      <c r="K564" s="45">
        <f t="shared" si="34"/>
        <v>1.1612278909736151E-2</v>
      </c>
    </row>
    <row r="565" spans="1:11" x14ac:dyDescent="0.25">
      <c r="A565" s="8">
        <v>45205</v>
      </c>
      <c r="B565">
        <v>7153.98</v>
      </c>
      <c r="C565">
        <f t="shared" si="32"/>
        <v>-2.752953835619687E-4</v>
      </c>
      <c r="D565" s="35">
        <v>10445</v>
      </c>
      <c r="E565" s="45">
        <f t="shared" si="35"/>
        <v>4.3703814107340921E-3</v>
      </c>
      <c r="F565">
        <v>5200600</v>
      </c>
      <c r="G565">
        <v>628.35</v>
      </c>
      <c r="H565" s="45">
        <f t="shared" si="33"/>
        <v>1.39583669517509E-2</v>
      </c>
      <c r="I565">
        <v>5718800</v>
      </c>
      <c r="J565" s="38" t="s">
        <v>585</v>
      </c>
      <c r="K565" s="45">
        <f t="shared" si="34"/>
        <v>4.6234787691981083E-3</v>
      </c>
    </row>
    <row r="566" spans="1:11" x14ac:dyDescent="0.25">
      <c r="A566" s="8">
        <v>45208</v>
      </c>
      <c r="B566">
        <v>7129.24</v>
      </c>
      <c r="C566">
        <f t="shared" si="32"/>
        <v>-3.4582148678078406E-3</v>
      </c>
      <c r="D566" s="35">
        <v>10503.75</v>
      </c>
      <c r="E566" s="45">
        <f t="shared" si="35"/>
        <v>5.6247008137864096E-3</v>
      </c>
      <c r="F566">
        <v>3053700</v>
      </c>
      <c r="G566">
        <v>619.04999999999995</v>
      </c>
      <c r="H566" s="45">
        <f t="shared" si="33"/>
        <v>-1.4800668417283447E-2</v>
      </c>
      <c r="I566">
        <v>5114600</v>
      </c>
      <c r="J566" s="38" t="s">
        <v>586</v>
      </c>
      <c r="K566" s="45">
        <f t="shared" si="34"/>
        <v>-6.9826491747778663E-3</v>
      </c>
    </row>
    <row r="567" spans="1:11" x14ac:dyDescent="0.25">
      <c r="A567" s="8">
        <v>45209</v>
      </c>
      <c r="B567">
        <v>7164.47</v>
      </c>
      <c r="C567">
        <f t="shared" si="32"/>
        <v>4.9416207057133565E-3</v>
      </c>
      <c r="D567" s="35">
        <v>10411.75</v>
      </c>
      <c r="E567" s="45">
        <f t="shared" si="35"/>
        <v>-8.758776627394993E-3</v>
      </c>
      <c r="F567">
        <v>3039600</v>
      </c>
      <c r="G567">
        <v>629.54999999999995</v>
      </c>
      <c r="H567" s="45">
        <f t="shared" si="33"/>
        <v>1.6961473225102885E-2</v>
      </c>
      <c r="I567">
        <v>5104800</v>
      </c>
      <c r="J567" s="38" t="s">
        <v>587</v>
      </c>
      <c r="K567" s="45">
        <f t="shared" si="34"/>
        <v>1.342424888131255E-2</v>
      </c>
    </row>
    <row r="568" spans="1:11" x14ac:dyDescent="0.25">
      <c r="A568" s="8">
        <v>45210</v>
      </c>
      <c r="B568">
        <v>7184.9</v>
      </c>
      <c r="C568">
        <f t="shared" si="32"/>
        <v>2.8515717143067221E-3</v>
      </c>
      <c r="D568" s="35">
        <v>10518.45</v>
      </c>
      <c r="E568" s="45">
        <f t="shared" si="35"/>
        <v>1.024803707349875E-2</v>
      </c>
      <c r="F568">
        <v>2679800</v>
      </c>
      <c r="G568">
        <v>634.20000000000005</v>
      </c>
      <c r="H568" s="45">
        <f t="shared" si="33"/>
        <v>7.3862282582799477E-3</v>
      </c>
      <c r="I568">
        <v>4389900</v>
      </c>
      <c r="J568" s="38" t="s">
        <v>588</v>
      </c>
      <c r="K568" s="45">
        <f t="shared" si="34"/>
        <v>1.9974768713204583E-3</v>
      </c>
    </row>
    <row r="569" spans="1:11" x14ac:dyDescent="0.25">
      <c r="A569" s="8">
        <v>45211</v>
      </c>
      <c r="B569">
        <v>7134.33</v>
      </c>
      <c r="C569">
        <f t="shared" si="32"/>
        <v>-7.0383721415746558E-3</v>
      </c>
      <c r="D569" s="35">
        <v>10581.1</v>
      </c>
      <c r="E569" s="45">
        <f t="shared" si="35"/>
        <v>5.9562007710260989E-3</v>
      </c>
      <c r="F569">
        <v>3111100</v>
      </c>
      <c r="G569">
        <v>637.65</v>
      </c>
      <c r="H569" s="45">
        <f t="shared" si="33"/>
        <v>5.4399243140963449E-3</v>
      </c>
      <c r="I569">
        <v>5918800</v>
      </c>
      <c r="J569" s="38" t="s">
        <v>589</v>
      </c>
      <c r="K569" s="45">
        <f t="shared" si="34"/>
        <v>1.2065890252859202E-3</v>
      </c>
    </row>
    <row r="570" spans="1:11" x14ac:dyDescent="0.25">
      <c r="A570" s="8">
        <v>45212</v>
      </c>
      <c r="B570">
        <v>7190.65</v>
      </c>
      <c r="C570">
        <f t="shared" si="32"/>
        <v>7.8942241247601519E-3</v>
      </c>
      <c r="D570" s="35">
        <v>10579.85</v>
      </c>
      <c r="E570" s="45">
        <f t="shared" si="35"/>
        <v>-1.181351655309415E-4</v>
      </c>
      <c r="F570">
        <v>3100600</v>
      </c>
      <c r="G570">
        <v>630.70000000000005</v>
      </c>
      <c r="H570" s="45">
        <f t="shared" si="33"/>
        <v>-1.0899396220497071E-2</v>
      </c>
      <c r="I570">
        <v>5572100</v>
      </c>
      <c r="J570" s="38" t="s">
        <v>590</v>
      </c>
      <c r="K570" s="45">
        <f t="shared" si="34"/>
        <v>-3.0914330626146125E-3</v>
      </c>
    </row>
    <row r="571" spans="1:11" x14ac:dyDescent="0.25">
      <c r="A571" s="8">
        <v>45215</v>
      </c>
      <c r="B571">
        <v>7206.08</v>
      </c>
      <c r="C571">
        <f t="shared" si="32"/>
        <v>2.145842170040213E-3</v>
      </c>
      <c r="D571" s="35">
        <v>10561.3</v>
      </c>
      <c r="E571" s="45">
        <f t="shared" si="35"/>
        <v>-1.7533329867627234E-3</v>
      </c>
      <c r="F571">
        <v>5158500</v>
      </c>
      <c r="G571">
        <v>631.95000000000005</v>
      </c>
      <c r="H571" s="45">
        <f t="shared" si="33"/>
        <v>1.9819248454098215E-3</v>
      </c>
      <c r="I571">
        <v>6072500</v>
      </c>
      <c r="J571" s="38" t="s">
        <v>591</v>
      </c>
      <c r="K571" s="45">
        <f t="shared" si="34"/>
        <v>1.0511931041734535E-4</v>
      </c>
    </row>
    <row r="572" spans="1:11" x14ac:dyDescent="0.25">
      <c r="A572" s="8">
        <v>45216</v>
      </c>
      <c r="B572">
        <v>7169.21</v>
      </c>
      <c r="C572">
        <f t="shared" si="32"/>
        <v>-5.1165127225898388E-3</v>
      </c>
      <c r="D572" s="35">
        <v>10559.55</v>
      </c>
      <c r="E572" s="45">
        <f t="shared" si="35"/>
        <v>-1.6569929838183839E-4</v>
      </c>
      <c r="F572">
        <v>3253300</v>
      </c>
      <c r="G572">
        <v>644.25</v>
      </c>
      <c r="H572" s="45">
        <f t="shared" si="33"/>
        <v>1.9463565155471096E-2</v>
      </c>
      <c r="I572">
        <v>4310300</v>
      </c>
      <c r="J572" s="38" t="s">
        <v>592</v>
      </c>
      <c r="K572" s="45">
        <f t="shared" si="34"/>
        <v>2.6277065377338094E-3</v>
      </c>
    </row>
    <row r="573" spans="1:11" x14ac:dyDescent="0.25">
      <c r="A573" s="8">
        <v>45217</v>
      </c>
      <c r="B573">
        <v>7184.49</v>
      </c>
      <c r="C573">
        <f t="shared" si="32"/>
        <v>2.1313366465760542E-3</v>
      </c>
      <c r="D573" s="35">
        <v>10600.8</v>
      </c>
      <c r="E573" s="45">
        <f t="shared" si="35"/>
        <v>3.9064164666107182E-3</v>
      </c>
      <c r="F573">
        <v>4340300</v>
      </c>
      <c r="G573">
        <v>637.25</v>
      </c>
      <c r="H573" s="45">
        <f t="shared" si="33"/>
        <v>-1.0865347303065542E-2</v>
      </c>
      <c r="I573">
        <v>4660500</v>
      </c>
      <c r="J573" s="38" t="s">
        <v>593</v>
      </c>
      <c r="K573" s="45">
        <f t="shared" si="34"/>
        <v>-1.064052835727014E-2</v>
      </c>
    </row>
    <row r="574" spans="1:11" x14ac:dyDescent="0.25">
      <c r="A574" s="8">
        <v>45218</v>
      </c>
      <c r="B574">
        <v>7199.32</v>
      </c>
      <c r="C574">
        <f t="shared" si="32"/>
        <v>2.064168785814946E-3</v>
      </c>
      <c r="D574" s="35">
        <v>10519.25</v>
      </c>
      <c r="E574" s="45">
        <f t="shared" si="35"/>
        <v>-7.692815636555661E-3</v>
      </c>
      <c r="F574">
        <v>3819600</v>
      </c>
      <c r="G574">
        <v>631.5</v>
      </c>
      <c r="H574" s="45">
        <f t="shared" si="33"/>
        <v>-9.0231463318948268E-3</v>
      </c>
      <c r="I574">
        <v>5423200</v>
      </c>
      <c r="J574" s="38" t="s">
        <v>594</v>
      </c>
      <c r="K574" s="45">
        <f t="shared" si="34"/>
        <v>-8.4768211920529524E-3</v>
      </c>
    </row>
    <row r="575" spans="1:11" x14ac:dyDescent="0.25">
      <c r="A575" s="8">
        <v>45219</v>
      </c>
      <c r="B575">
        <v>7180.57</v>
      </c>
      <c r="C575">
        <f t="shared" si="32"/>
        <v>-2.6044126389714872E-3</v>
      </c>
      <c r="D575" s="35">
        <v>10495.55</v>
      </c>
      <c r="E575" s="45">
        <f t="shared" si="35"/>
        <v>-2.2530123345295694E-3</v>
      </c>
      <c r="F575">
        <v>2709600</v>
      </c>
      <c r="G575">
        <v>668.05</v>
      </c>
      <c r="H575" s="45">
        <f t="shared" si="33"/>
        <v>5.7878068091844703E-2</v>
      </c>
      <c r="I575">
        <v>4900300</v>
      </c>
      <c r="J575" s="38" t="s">
        <v>595</v>
      </c>
      <c r="K575" s="45">
        <f t="shared" si="34"/>
        <v>-3.2059845044082325E-3</v>
      </c>
    </row>
    <row r="576" spans="1:11" x14ac:dyDescent="0.25">
      <c r="A576" s="8">
        <v>45222</v>
      </c>
      <c r="B576">
        <v>7212.13</v>
      </c>
      <c r="C576">
        <f t="shared" si="32"/>
        <v>4.395194253381085E-3</v>
      </c>
      <c r="D576" s="35">
        <v>10435</v>
      </c>
      <c r="E576" s="45">
        <f t="shared" si="35"/>
        <v>-5.7691116711366952E-3</v>
      </c>
      <c r="F576">
        <v>3227000</v>
      </c>
      <c r="G576">
        <v>654.25</v>
      </c>
      <c r="H576" s="45">
        <f t="shared" si="33"/>
        <v>-2.0657136441883051E-2</v>
      </c>
      <c r="I576">
        <v>4881300</v>
      </c>
      <c r="J576" s="38" t="s">
        <v>596</v>
      </c>
      <c r="K576" s="45">
        <f t="shared" si="34"/>
        <v>-3.0018761726078314E-3</v>
      </c>
    </row>
    <row r="577" spans="1:11" x14ac:dyDescent="0.25">
      <c r="A577" s="8">
        <v>45224</v>
      </c>
      <c r="B577">
        <v>7200.11</v>
      </c>
      <c r="C577">
        <f t="shared" si="32"/>
        <v>-1.6666366246865794E-3</v>
      </c>
      <c r="D577" s="35">
        <v>10266.15</v>
      </c>
      <c r="E577" s="45">
        <f t="shared" si="35"/>
        <v>-1.6181121226641171E-2</v>
      </c>
      <c r="F577">
        <v>3316900</v>
      </c>
      <c r="G577">
        <v>648.65</v>
      </c>
      <c r="H577" s="45">
        <f t="shared" si="33"/>
        <v>-8.5594191822697674E-3</v>
      </c>
      <c r="I577">
        <v>5514700</v>
      </c>
      <c r="J577" s="38" t="s">
        <v>597</v>
      </c>
      <c r="K577" s="45">
        <f t="shared" si="34"/>
        <v>-1.4893273831926512E-2</v>
      </c>
    </row>
    <row r="578" spans="1:11" x14ac:dyDescent="0.25">
      <c r="A578" s="8">
        <v>45225</v>
      </c>
      <c r="B578">
        <v>7213.02</v>
      </c>
      <c r="C578">
        <f t="shared" si="32"/>
        <v>1.7930281620699429E-3</v>
      </c>
      <c r="D578" s="35">
        <v>10185.75</v>
      </c>
      <c r="E578" s="45">
        <f t="shared" si="35"/>
        <v>-7.8315629520316898E-3</v>
      </c>
      <c r="F578">
        <v>3202000</v>
      </c>
      <c r="G578">
        <v>644.5</v>
      </c>
      <c r="H578" s="45">
        <f t="shared" si="33"/>
        <v>-6.3979033377012939E-3</v>
      </c>
      <c r="I578">
        <v>5416800</v>
      </c>
      <c r="J578" s="38" t="s">
        <v>365</v>
      </c>
      <c r="K578" s="45">
        <f t="shared" si="34"/>
        <v>-8.1322999672525098E-3</v>
      </c>
    </row>
    <row r="579" spans="1:11" x14ac:dyDescent="0.25">
      <c r="A579" s="8">
        <v>45226</v>
      </c>
      <c r="B579">
        <v>7235.14</v>
      </c>
      <c r="C579">
        <f t="shared" si="32"/>
        <v>3.0666766486160402E-3</v>
      </c>
      <c r="D579" s="35">
        <v>10052.5</v>
      </c>
      <c r="E579" s="45">
        <f t="shared" si="35"/>
        <v>-1.3082001816262956E-2</v>
      </c>
      <c r="F579">
        <v>2852600</v>
      </c>
      <c r="G579">
        <v>635.9</v>
      </c>
      <c r="H579" s="45">
        <f t="shared" si="33"/>
        <v>-1.3343677269200938E-2</v>
      </c>
      <c r="I579">
        <v>5395600</v>
      </c>
      <c r="J579" s="38" t="s">
        <v>598</v>
      </c>
      <c r="K579" s="45">
        <f t="shared" si="34"/>
        <v>4.5121884113794586E-3</v>
      </c>
    </row>
    <row r="580" spans="1:11" x14ac:dyDescent="0.25">
      <c r="A580" s="8">
        <v>45229</v>
      </c>
      <c r="B580">
        <v>7256.39</v>
      </c>
      <c r="C580">
        <f t="shared" ref="C580:C643" si="36">B580/B579-1</f>
        <v>2.9370544315658886E-3</v>
      </c>
      <c r="D580" s="35">
        <v>10173.65</v>
      </c>
      <c r="E580" s="45">
        <f t="shared" si="35"/>
        <v>1.205172842576463E-2</v>
      </c>
      <c r="F580">
        <v>5180200</v>
      </c>
      <c r="G580">
        <v>636.15</v>
      </c>
      <c r="H580" s="45">
        <f t="shared" ref="H580:H643" si="37">G580/G579-1</f>
        <v>3.9314357603403849E-4</v>
      </c>
      <c r="I580">
        <v>6483900</v>
      </c>
      <c r="J580" s="38" t="s">
        <v>599</v>
      </c>
      <c r="K580" s="45">
        <f t="shared" ref="K580:K643" si="38">J580/J579-1</f>
        <v>1.33114215283483E-2</v>
      </c>
    </row>
    <row r="581" spans="1:11" x14ac:dyDescent="0.25">
      <c r="A581" s="8">
        <v>45230</v>
      </c>
      <c r="B581">
        <v>7289.76</v>
      </c>
      <c r="C581">
        <f t="shared" si="36"/>
        <v>4.5987054168807884E-3</v>
      </c>
      <c r="D581" s="35">
        <v>10213.6</v>
      </c>
      <c r="E581" s="45">
        <f t="shared" ref="E581:E644" si="39">D581/D580-1</f>
        <v>3.9268109282313279E-3</v>
      </c>
      <c r="F581">
        <v>2953900</v>
      </c>
      <c r="G581">
        <v>639.1</v>
      </c>
      <c r="H581" s="45">
        <f t="shared" si="37"/>
        <v>4.6372710838640252E-3</v>
      </c>
      <c r="I581">
        <v>4736000</v>
      </c>
      <c r="J581" s="38" t="s">
        <v>600</v>
      </c>
      <c r="K581" s="45">
        <f t="shared" si="38"/>
        <v>-1.0325440588171642E-2</v>
      </c>
    </row>
    <row r="582" spans="1:11" x14ac:dyDescent="0.25">
      <c r="A582" s="8">
        <v>45231</v>
      </c>
      <c r="B582">
        <v>7346.32</v>
      </c>
      <c r="C582">
        <f t="shared" si="36"/>
        <v>7.7588288228966906E-3</v>
      </c>
      <c r="D582" s="35">
        <v>10198.35</v>
      </c>
      <c r="E582" s="45">
        <f t="shared" si="39"/>
        <v>-1.4931072295762959E-3</v>
      </c>
      <c r="F582">
        <v>3426500</v>
      </c>
      <c r="G582">
        <v>626.95000000000005</v>
      </c>
      <c r="H582" s="45">
        <f t="shared" si="37"/>
        <v>-1.9011109372555124E-2</v>
      </c>
      <c r="I582">
        <v>11885700</v>
      </c>
      <c r="J582" s="38" t="s">
        <v>601</v>
      </c>
      <c r="K582" s="45">
        <f t="shared" si="38"/>
        <v>-1.4202217730923117E-3</v>
      </c>
    </row>
    <row r="583" spans="1:11" x14ac:dyDescent="0.25">
      <c r="A583" s="8">
        <v>45232</v>
      </c>
      <c r="B583">
        <v>7325.69</v>
      </c>
      <c r="C583">
        <f t="shared" si="36"/>
        <v>-2.8082087358024532E-3</v>
      </c>
      <c r="D583" s="35">
        <v>10151.950000000001</v>
      </c>
      <c r="E583" s="45">
        <f t="shared" si="39"/>
        <v>-4.5497555977191961E-3</v>
      </c>
      <c r="F583">
        <v>1575000</v>
      </c>
      <c r="G583">
        <v>626.25</v>
      </c>
      <c r="H583" s="45">
        <f t="shared" si="37"/>
        <v>-1.1165164686179896E-3</v>
      </c>
      <c r="I583">
        <v>4182900</v>
      </c>
      <c r="J583" s="38" t="s">
        <v>602</v>
      </c>
      <c r="K583" s="45">
        <f t="shared" si="38"/>
        <v>6.4547891253214917E-3</v>
      </c>
    </row>
    <row r="584" spans="1:11" x14ac:dyDescent="0.25">
      <c r="A584" s="8">
        <v>45233</v>
      </c>
      <c r="B584">
        <v>7314.25</v>
      </c>
      <c r="C584">
        <f t="shared" si="36"/>
        <v>-1.5616276419012642E-3</v>
      </c>
      <c r="D584" s="35">
        <v>10248.15</v>
      </c>
      <c r="E584" s="45">
        <f t="shared" si="39"/>
        <v>9.4760119976948776E-3</v>
      </c>
      <c r="F584">
        <v>3087000</v>
      </c>
      <c r="G584">
        <v>643.79999999999995</v>
      </c>
      <c r="H584" s="45">
        <f t="shared" si="37"/>
        <v>2.8023952095808324E-2</v>
      </c>
      <c r="I584">
        <v>5062300</v>
      </c>
      <c r="J584" s="38" t="s">
        <v>603</v>
      </c>
      <c r="K584" s="45">
        <f t="shared" si="38"/>
        <v>1.5055166041632706E-2</v>
      </c>
    </row>
    <row r="585" spans="1:11" x14ac:dyDescent="0.25">
      <c r="A585" s="8">
        <v>45236</v>
      </c>
      <c r="B585">
        <v>7320.09</v>
      </c>
      <c r="C585">
        <f t="shared" si="36"/>
        <v>7.9844139863971542E-4</v>
      </c>
      <c r="D585" s="35">
        <v>10311.25</v>
      </c>
      <c r="E585" s="45">
        <f t="shared" si="39"/>
        <v>6.1572088620873711E-3</v>
      </c>
      <c r="F585">
        <v>3217200</v>
      </c>
      <c r="G585">
        <v>653.65</v>
      </c>
      <c r="H585" s="45">
        <f t="shared" si="37"/>
        <v>1.5299782541161822E-2</v>
      </c>
      <c r="I585">
        <v>5629900</v>
      </c>
      <c r="J585" s="38" t="s">
        <v>604</v>
      </c>
      <c r="K585" s="45">
        <f t="shared" si="38"/>
        <v>1.2475904904690527E-2</v>
      </c>
    </row>
    <row r="586" spans="1:11" x14ac:dyDescent="0.25">
      <c r="A586" s="8">
        <v>45237</v>
      </c>
      <c r="B586">
        <v>7246.55</v>
      </c>
      <c r="C586">
        <f t="shared" si="36"/>
        <v>-1.0046324567047682E-2</v>
      </c>
      <c r="D586" s="35">
        <v>10405.65</v>
      </c>
      <c r="E586" s="45">
        <f t="shared" si="39"/>
        <v>9.1550490968601572E-3</v>
      </c>
      <c r="F586">
        <v>2864400</v>
      </c>
      <c r="G586">
        <v>650.25</v>
      </c>
      <c r="H586" s="45">
        <f t="shared" si="37"/>
        <v>-5.2015604681403538E-3</v>
      </c>
      <c r="I586">
        <v>6719900</v>
      </c>
      <c r="J586" s="38" t="s">
        <v>605</v>
      </c>
      <c r="K586" s="45">
        <f t="shared" si="38"/>
        <v>2.8028980908560985E-3</v>
      </c>
    </row>
    <row r="587" spans="1:11" x14ac:dyDescent="0.25">
      <c r="A587" s="8">
        <v>45238</v>
      </c>
      <c r="B587">
        <v>7209.06</v>
      </c>
      <c r="C587">
        <f t="shared" si="36"/>
        <v>-5.1734963534371126E-3</v>
      </c>
      <c r="D587" s="35">
        <v>10418.1</v>
      </c>
      <c r="E587" s="45">
        <f t="shared" si="39"/>
        <v>1.196465381787748E-3</v>
      </c>
      <c r="F587">
        <v>4969900</v>
      </c>
      <c r="G587">
        <v>641.20000000000005</v>
      </c>
      <c r="H587" s="45">
        <f t="shared" si="37"/>
        <v>-1.3917723952325933E-2</v>
      </c>
      <c r="I587">
        <v>10338800</v>
      </c>
      <c r="J587" s="38" t="s">
        <v>594</v>
      </c>
      <c r="K587" s="45">
        <f t="shared" si="38"/>
        <v>-1.3026052104208485E-2</v>
      </c>
    </row>
    <row r="588" spans="1:11" x14ac:dyDescent="0.25">
      <c r="A588" s="8">
        <v>45239</v>
      </c>
      <c r="B588">
        <v>7210.32</v>
      </c>
      <c r="C588">
        <f t="shared" si="36"/>
        <v>1.7478006841376015E-4</v>
      </c>
      <c r="D588" s="35">
        <v>10457.950000000001</v>
      </c>
      <c r="E588" s="45">
        <f t="shared" si="39"/>
        <v>3.8250736698630661E-3</v>
      </c>
      <c r="F588">
        <v>2812800</v>
      </c>
      <c r="G588">
        <v>660</v>
      </c>
      <c r="H588" s="45">
        <f t="shared" si="37"/>
        <v>2.932002495321262E-2</v>
      </c>
      <c r="I588">
        <v>6521700</v>
      </c>
      <c r="J588" s="38" t="s">
        <v>606</v>
      </c>
      <c r="K588" s="45">
        <f t="shared" si="38"/>
        <v>1.7098584023511609E-3</v>
      </c>
    </row>
    <row r="589" spans="1:11" x14ac:dyDescent="0.25">
      <c r="A589" s="8">
        <v>45240</v>
      </c>
      <c r="B589">
        <v>7267.92</v>
      </c>
      <c r="C589">
        <f t="shared" si="36"/>
        <v>7.9885497453651144E-3</v>
      </c>
      <c r="D589" s="35">
        <v>10435.799999999999</v>
      </c>
      <c r="E589" s="45">
        <f t="shared" si="39"/>
        <v>-2.1180059189421785E-3</v>
      </c>
      <c r="F589">
        <v>2595700</v>
      </c>
      <c r="G589">
        <v>656.35</v>
      </c>
      <c r="H589" s="45">
        <f t="shared" si="37"/>
        <v>-5.5303030303029965E-3</v>
      </c>
      <c r="I589">
        <v>5998900</v>
      </c>
      <c r="J589" s="38" t="s">
        <v>586</v>
      </c>
      <c r="K589" s="45">
        <f t="shared" si="38"/>
        <v>1.3335467008055435E-3</v>
      </c>
    </row>
    <row r="590" spans="1:11" x14ac:dyDescent="0.25">
      <c r="A590" s="8">
        <v>45242</v>
      </c>
      <c r="B590">
        <v>7262.31</v>
      </c>
      <c r="C590">
        <f t="shared" si="36"/>
        <v>-7.7188521612781003E-4</v>
      </c>
      <c r="D590" s="35">
        <v>10457.549999999999</v>
      </c>
      <c r="E590" s="45">
        <f t="shared" si="39"/>
        <v>2.0841717932502668E-3</v>
      </c>
      <c r="F590">
        <v>2591500</v>
      </c>
      <c r="G590">
        <v>656.55</v>
      </c>
      <c r="H590" s="45">
        <f t="shared" si="37"/>
        <v>3.0471547192800763E-4</v>
      </c>
      <c r="I590">
        <v>5825300</v>
      </c>
      <c r="J590" s="38" t="s">
        <v>607</v>
      </c>
      <c r="K590" s="45">
        <f t="shared" si="38"/>
        <v>3.9953121670572855E-3</v>
      </c>
    </row>
    <row r="591" spans="1:11" x14ac:dyDescent="0.25">
      <c r="A591" s="8">
        <v>45243</v>
      </c>
      <c r="B591">
        <v>7217.78</v>
      </c>
      <c r="C591">
        <f t="shared" si="36"/>
        <v>-6.1316578333892036E-3</v>
      </c>
      <c r="D591" s="35">
        <v>10482.450000000001</v>
      </c>
      <c r="E591" s="45">
        <f t="shared" si="39"/>
        <v>2.3810548359799455E-3</v>
      </c>
      <c r="F591">
        <v>2677400</v>
      </c>
      <c r="G591">
        <v>649.9</v>
      </c>
      <c r="H591" s="45">
        <f t="shared" si="37"/>
        <v>-1.0128703069073097E-2</v>
      </c>
      <c r="I591">
        <v>8345800</v>
      </c>
      <c r="J591" s="38" t="s">
        <v>608</v>
      </c>
      <c r="K591" s="45">
        <f t="shared" si="38"/>
        <v>-8.3832970764577963E-3</v>
      </c>
    </row>
    <row r="592" spans="1:11" x14ac:dyDescent="0.25">
      <c r="A592" s="8">
        <v>45245</v>
      </c>
      <c r="B592">
        <v>7245.59</v>
      </c>
      <c r="C592">
        <f t="shared" si="36"/>
        <v>3.8529852669380027E-3</v>
      </c>
      <c r="D592" s="35">
        <v>10599.45</v>
      </c>
      <c r="E592" s="45">
        <f t="shared" si="39"/>
        <v>1.1161512814275243E-2</v>
      </c>
      <c r="F592">
        <v>2909500</v>
      </c>
      <c r="G592">
        <v>674.8</v>
      </c>
      <c r="H592" s="45">
        <f t="shared" si="37"/>
        <v>3.8313586705646996E-2</v>
      </c>
      <c r="I592">
        <v>6777600</v>
      </c>
      <c r="J592" s="38" t="s">
        <v>609</v>
      </c>
      <c r="K592" s="45">
        <f t="shared" si="38"/>
        <v>7.1164856332601722E-3</v>
      </c>
    </row>
    <row r="593" spans="1:11" x14ac:dyDescent="0.25">
      <c r="A593" s="8">
        <v>45246</v>
      </c>
      <c r="B593">
        <v>7289.67</v>
      </c>
      <c r="C593">
        <f t="shared" si="36"/>
        <v>6.0837005682077283E-3</v>
      </c>
      <c r="D593" s="35">
        <v>10651.85</v>
      </c>
      <c r="E593" s="45">
        <f t="shared" si="39"/>
        <v>4.9436527366986116E-3</v>
      </c>
      <c r="F593">
        <v>7175400</v>
      </c>
      <c r="G593">
        <v>693.3</v>
      </c>
      <c r="H593" s="45">
        <f t="shared" si="37"/>
        <v>2.7415530527563625E-2</v>
      </c>
      <c r="I593">
        <v>11411500</v>
      </c>
      <c r="J593" s="38" t="s">
        <v>610</v>
      </c>
      <c r="K593" s="45">
        <f t="shared" si="38"/>
        <v>-5.4191903092126736E-3</v>
      </c>
    </row>
    <row r="594" spans="1:11" x14ac:dyDescent="0.25">
      <c r="A594" s="8">
        <v>45247</v>
      </c>
      <c r="B594">
        <v>7251.87</v>
      </c>
      <c r="C594">
        <f t="shared" si="36"/>
        <v>-5.1854199161278647E-3</v>
      </c>
      <c r="D594" s="35">
        <v>10649.5</v>
      </c>
      <c r="E594" s="45">
        <f t="shared" si="39"/>
        <v>-2.2061895351510596E-4</v>
      </c>
      <c r="F594">
        <v>3966300</v>
      </c>
      <c r="G594">
        <v>675</v>
      </c>
      <c r="H594" s="45">
        <f t="shared" si="37"/>
        <v>-2.6395499783643417E-2</v>
      </c>
      <c r="I594">
        <v>9550100</v>
      </c>
      <c r="J594" s="38" t="s">
        <v>611</v>
      </c>
      <c r="K594" s="45">
        <f t="shared" si="38"/>
        <v>-1.5117521367521314E-2</v>
      </c>
    </row>
    <row r="595" spans="1:11" x14ac:dyDescent="0.25">
      <c r="A595" s="8">
        <v>45250</v>
      </c>
      <c r="B595">
        <v>7254.57</v>
      </c>
      <c r="C595">
        <f t="shared" si="36"/>
        <v>3.7231776079815759E-4</v>
      </c>
      <c r="D595" s="35">
        <v>10631.8</v>
      </c>
      <c r="E595" s="45">
        <f t="shared" si="39"/>
        <v>-1.6620498614958734E-3</v>
      </c>
      <c r="F595">
        <v>5211000</v>
      </c>
      <c r="G595">
        <v>687.2</v>
      </c>
      <c r="H595" s="45">
        <f t="shared" si="37"/>
        <v>1.8074074074074131E-2</v>
      </c>
      <c r="I595">
        <v>9276100</v>
      </c>
      <c r="J595" s="38" t="s">
        <v>612</v>
      </c>
      <c r="K595" s="45">
        <f t="shared" si="38"/>
        <v>-4.339100721375555E-4</v>
      </c>
    </row>
    <row r="596" spans="1:11" x14ac:dyDescent="0.25">
      <c r="A596" s="8">
        <v>45251</v>
      </c>
      <c r="B596">
        <v>7330.58</v>
      </c>
      <c r="C596">
        <f t="shared" si="36"/>
        <v>1.0477533472004641E-2</v>
      </c>
      <c r="D596" s="35">
        <v>10667.35</v>
      </c>
      <c r="E596" s="45">
        <f t="shared" si="39"/>
        <v>3.3437423578321912E-3</v>
      </c>
      <c r="F596">
        <v>3025100</v>
      </c>
      <c r="G596">
        <v>682.6</v>
      </c>
      <c r="H596" s="45">
        <f t="shared" si="37"/>
        <v>-6.6938300349244084E-3</v>
      </c>
      <c r="I596">
        <v>7758700</v>
      </c>
      <c r="J596" s="38" t="s">
        <v>613</v>
      </c>
      <c r="K596" s="45">
        <f t="shared" si="38"/>
        <v>5.0463942699006115E-3</v>
      </c>
    </row>
    <row r="597" spans="1:11" x14ac:dyDescent="0.25">
      <c r="A597" s="8">
        <v>45252</v>
      </c>
      <c r="B597">
        <v>7382.5</v>
      </c>
      <c r="C597">
        <f t="shared" si="36"/>
        <v>7.0826592165966762E-3</v>
      </c>
      <c r="D597" s="35">
        <v>10678.65</v>
      </c>
      <c r="E597" s="45">
        <f t="shared" si="39"/>
        <v>1.0593071381364005E-3</v>
      </c>
      <c r="F597">
        <v>2269800</v>
      </c>
      <c r="G597">
        <v>670.35</v>
      </c>
      <c r="H597" s="45">
        <f t="shared" si="37"/>
        <v>-1.7946088485203626E-2</v>
      </c>
      <c r="I597">
        <v>7256000</v>
      </c>
      <c r="J597" s="38" t="s">
        <v>614</v>
      </c>
      <c r="K597" s="45">
        <f t="shared" si="38"/>
        <v>-3.6173199438506165E-3</v>
      </c>
    </row>
    <row r="598" spans="1:11" x14ac:dyDescent="0.25">
      <c r="A598" s="8">
        <v>45253</v>
      </c>
      <c r="B598">
        <v>7411.85</v>
      </c>
      <c r="C598">
        <f t="shared" si="36"/>
        <v>3.9756180155774423E-3</v>
      </c>
      <c r="D598" s="35">
        <v>10678.9</v>
      </c>
      <c r="E598" s="45">
        <f t="shared" si="39"/>
        <v>2.3411198981193593E-5</v>
      </c>
      <c r="F598">
        <v>3657900</v>
      </c>
      <c r="G598">
        <v>675.05</v>
      </c>
      <c r="H598" s="45">
        <f t="shared" si="37"/>
        <v>7.0112627731779842E-3</v>
      </c>
      <c r="I598">
        <v>10456700</v>
      </c>
      <c r="J598" s="38" t="s">
        <v>615</v>
      </c>
      <c r="K598" s="45">
        <f t="shared" si="38"/>
        <v>2.7092928745586775E-4</v>
      </c>
    </row>
    <row r="599" spans="1:11" x14ac:dyDescent="0.25">
      <c r="A599" s="8">
        <v>45254</v>
      </c>
      <c r="B599">
        <v>7400.83</v>
      </c>
      <c r="C599">
        <f t="shared" si="36"/>
        <v>-1.4868082867300902E-3</v>
      </c>
      <c r="D599" s="35">
        <v>10676.5</v>
      </c>
      <c r="E599" s="45">
        <f t="shared" si="39"/>
        <v>-2.2474224873347826E-4</v>
      </c>
      <c r="F599">
        <v>4250000</v>
      </c>
      <c r="G599">
        <v>668.7</v>
      </c>
      <c r="H599" s="45">
        <f t="shared" si="37"/>
        <v>-9.406710614028424E-3</v>
      </c>
      <c r="I599">
        <v>10491400</v>
      </c>
      <c r="J599" s="38" t="s">
        <v>616</v>
      </c>
      <c r="K599" s="45">
        <f t="shared" si="38"/>
        <v>6.9339111592632285E-3</v>
      </c>
    </row>
    <row r="600" spans="1:11" x14ac:dyDescent="0.25">
      <c r="A600" s="8">
        <v>45258</v>
      </c>
      <c r="B600">
        <v>7403.4</v>
      </c>
      <c r="C600">
        <f t="shared" si="36"/>
        <v>3.472583480501612E-4</v>
      </c>
      <c r="D600" s="35">
        <v>10742.95</v>
      </c>
      <c r="E600" s="45">
        <f t="shared" si="39"/>
        <v>6.2239497962817136E-3</v>
      </c>
      <c r="F600">
        <v>3240700</v>
      </c>
      <c r="G600">
        <v>668.1</v>
      </c>
      <c r="H600" s="45">
        <f t="shared" si="37"/>
        <v>-8.9726334679229858E-4</v>
      </c>
      <c r="I600">
        <v>10375700</v>
      </c>
      <c r="J600" s="38" t="s">
        <v>617</v>
      </c>
      <c r="K600" s="45">
        <f t="shared" si="38"/>
        <v>-4.1962556488056579E-3</v>
      </c>
    </row>
    <row r="601" spans="1:11" x14ac:dyDescent="0.25">
      <c r="A601" s="8">
        <v>45259</v>
      </c>
      <c r="B601">
        <v>7403.59</v>
      </c>
      <c r="C601">
        <f t="shared" si="36"/>
        <v>2.5663884161364336E-5</v>
      </c>
      <c r="D601" s="35">
        <v>10846.45</v>
      </c>
      <c r="E601" s="45">
        <f t="shared" si="39"/>
        <v>9.6342252360850367E-3</v>
      </c>
      <c r="F601">
        <v>6213200</v>
      </c>
      <c r="G601">
        <v>664.45</v>
      </c>
      <c r="H601" s="45">
        <f t="shared" si="37"/>
        <v>-5.4632540038915822E-3</v>
      </c>
      <c r="I601">
        <v>9809100</v>
      </c>
      <c r="J601" s="38" t="s">
        <v>618</v>
      </c>
      <c r="K601" s="45">
        <f t="shared" si="38"/>
        <v>1.5235008103727798E-2</v>
      </c>
    </row>
    <row r="602" spans="1:11" x14ac:dyDescent="0.25">
      <c r="A602" s="8">
        <v>45260</v>
      </c>
      <c r="B602">
        <v>7372.44</v>
      </c>
      <c r="C602">
        <f t="shared" si="36"/>
        <v>-4.2074182930174064E-3</v>
      </c>
      <c r="D602" s="35">
        <v>10887.35</v>
      </c>
      <c r="E602" s="45">
        <f t="shared" si="39"/>
        <v>3.7708190237357719E-3</v>
      </c>
      <c r="F602">
        <v>2541300</v>
      </c>
      <c r="G602">
        <v>680.45</v>
      </c>
      <c r="H602" s="45">
        <f t="shared" si="37"/>
        <v>2.4080066220182106E-2</v>
      </c>
      <c r="I602">
        <v>8589100</v>
      </c>
      <c r="J602" s="38" t="s">
        <v>619</v>
      </c>
      <c r="K602" s="45">
        <f t="shared" si="38"/>
        <v>-4.9489144316730016E-3</v>
      </c>
    </row>
    <row r="603" spans="1:11" x14ac:dyDescent="0.25">
      <c r="A603" s="8">
        <v>45261</v>
      </c>
      <c r="B603">
        <v>7414.57</v>
      </c>
      <c r="C603">
        <f t="shared" si="36"/>
        <v>5.714525991395103E-3</v>
      </c>
      <c r="D603" s="35">
        <v>10969</v>
      </c>
      <c r="E603" s="45">
        <f t="shared" si="39"/>
        <v>7.4995292702080274E-3</v>
      </c>
      <c r="F603">
        <v>2872700</v>
      </c>
      <c r="G603">
        <v>682.5</v>
      </c>
      <c r="H603" s="45">
        <f t="shared" si="37"/>
        <v>3.0127121757659303E-3</v>
      </c>
      <c r="I603">
        <v>8521100</v>
      </c>
      <c r="J603" s="38" t="s">
        <v>620</v>
      </c>
      <c r="K603" s="45">
        <f t="shared" si="38"/>
        <v>1.2567516979517634E-2</v>
      </c>
    </row>
    <row r="604" spans="1:11" x14ac:dyDescent="0.25">
      <c r="A604" s="8">
        <v>45264</v>
      </c>
      <c r="B604">
        <v>7453.41</v>
      </c>
      <c r="C604">
        <f t="shared" si="36"/>
        <v>5.2383347921727275E-3</v>
      </c>
      <c r="D604" s="35">
        <v>11180.75</v>
      </c>
      <c r="E604" s="45">
        <f t="shared" si="39"/>
        <v>1.9304403318442853E-2</v>
      </c>
      <c r="F604">
        <v>2108600</v>
      </c>
      <c r="G604">
        <v>699.35</v>
      </c>
      <c r="H604" s="45">
        <f t="shared" si="37"/>
        <v>2.4688644688644734E-2</v>
      </c>
      <c r="I604">
        <v>7538600</v>
      </c>
      <c r="J604" s="38" t="s">
        <v>621</v>
      </c>
      <c r="K604" s="45">
        <f t="shared" si="38"/>
        <v>4.7005387134255727E-2</v>
      </c>
    </row>
    <row r="605" spans="1:11" x14ac:dyDescent="0.25">
      <c r="A605" s="8">
        <v>45265</v>
      </c>
      <c r="B605">
        <v>7412.41</v>
      </c>
      <c r="C605">
        <f t="shared" si="36"/>
        <v>-5.5008378715245554E-3</v>
      </c>
      <c r="D605" s="35">
        <v>11275.95</v>
      </c>
      <c r="E605" s="45">
        <f t="shared" si="39"/>
        <v>8.5146345280953106E-3</v>
      </c>
      <c r="F605">
        <v>4230400</v>
      </c>
      <c r="G605">
        <v>716.1</v>
      </c>
      <c r="H605" s="45">
        <f t="shared" si="37"/>
        <v>2.3950811467791544E-2</v>
      </c>
      <c r="I605">
        <v>7590300</v>
      </c>
      <c r="J605" s="38" t="s">
        <v>622</v>
      </c>
      <c r="K605" s="45">
        <f t="shared" si="38"/>
        <v>2.2447538337368789E-2</v>
      </c>
    </row>
    <row r="606" spans="1:11" x14ac:dyDescent="0.25">
      <c r="A606" s="8">
        <v>45266</v>
      </c>
      <c r="B606">
        <v>7447.16</v>
      </c>
      <c r="C606">
        <f t="shared" si="36"/>
        <v>4.6880839025364995E-3</v>
      </c>
      <c r="D606" s="35">
        <v>11337.2</v>
      </c>
      <c r="E606" s="45">
        <f t="shared" si="39"/>
        <v>5.4319148275754348E-3</v>
      </c>
      <c r="F606">
        <v>2364800</v>
      </c>
      <c r="G606">
        <v>722.55</v>
      </c>
      <c r="H606" s="45">
        <f t="shared" si="37"/>
        <v>9.0071219103475819E-3</v>
      </c>
      <c r="I606">
        <v>6344300</v>
      </c>
      <c r="J606" s="38" t="s">
        <v>623</v>
      </c>
      <c r="K606" s="45">
        <f t="shared" si="38"/>
        <v>-1.0064630716858258E-2</v>
      </c>
    </row>
    <row r="607" spans="1:11" x14ac:dyDescent="0.25">
      <c r="A607" s="8">
        <v>45267</v>
      </c>
      <c r="B607">
        <v>7423.25</v>
      </c>
      <c r="C607">
        <f t="shared" si="36"/>
        <v>-3.2106198873127489E-3</v>
      </c>
      <c r="D607" s="35">
        <v>11348.45</v>
      </c>
      <c r="E607" s="45">
        <f t="shared" si="39"/>
        <v>9.9230850650955382E-4</v>
      </c>
      <c r="F607">
        <v>1534200</v>
      </c>
      <c r="G607">
        <v>727.25</v>
      </c>
      <c r="H607" s="45">
        <f t="shared" si="37"/>
        <v>6.504740156390687E-3</v>
      </c>
      <c r="I607">
        <v>5442900</v>
      </c>
      <c r="J607" s="38" t="s">
        <v>624</v>
      </c>
      <c r="K607" s="45">
        <f t="shared" si="38"/>
        <v>-4.2362322452030865E-3</v>
      </c>
    </row>
    <row r="608" spans="1:11" x14ac:dyDescent="0.25">
      <c r="A608" s="8">
        <v>45268</v>
      </c>
      <c r="B608">
        <v>7428.07</v>
      </c>
      <c r="C608">
        <f t="shared" si="36"/>
        <v>6.4931128548817441E-4</v>
      </c>
      <c r="D608" s="35">
        <v>11358.8</v>
      </c>
      <c r="E608" s="45">
        <f t="shared" si="39"/>
        <v>9.120188219535752E-4</v>
      </c>
      <c r="F608">
        <v>1954400</v>
      </c>
      <c r="G608">
        <v>724.45</v>
      </c>
      <c r="H608" s="45">
        <f t="shared" si="37"/>
        <v>-3.8501203162598641E-3</v>
      </c>
      <c r="I608">
        <v>6355700</v>
      </c>
      <c r="J608" s="38" t="s">
        <v>625</v>
      </c>
      <c r="K608" s="45">
        <f t="shared" si="38"/>
        <v>1.1861861861861778E-2</v>
      </c>
    </row>
    <row r="609" spans="1:11" x14ac:dyDescent="0.25">
      <c r="A609" s="8">
        <v>45271</v>
      </c>
      <c r="B609">
        <v>7465.44</v>
      </c>
      <c r="C609">
        <f t="shared" si="36"/>
        <v>5.0309165099413633E-3</v>
      </c>
      <c r="D609" s="35">
        <v>11396.5</v>
      </c>
      <c r="E609" s="45">
        <f t="shared" si="39"/>
        <v>3.3190125717506014E-3</v>
      </c>
      <c r="F609">
        <v>1864700</v>
      </c>
      <c r="G609">
        <v>721.65</v>
      </c>
      <c r="H609" s="45">
        <f t="shared" si="37"/>
        <v>-3.8650010352682118E-3</v>
      </c>
      <c r="I609">
        <v>4984000</v>
      </c>
      <c r="J609" s="38" t="s">
        <v>626</v>
      </c>
      <c r="K609" s="45">
        <f t="shared" si="38"/>
        <v>6.182915368254438E-3</v>
      </c>
    </row>
    <row r="610" spans="1:11" x14ac:dyDescent="0.25">
      <c r="A610" s="8">
        <v>45272</v>
      </c>
      <c r="B610">
        <v>7516.78</v>
      </c>
      <c r="C610">
        <f t="shared" si="36"/>
        <v>6.8770226537218093E-3</v>
      </c>
      <c r="D610" s="35">
        <v>11342.55</v>
      </c>
      <c r="E610" s="45">
        <f t="shared" si="39"/>
        <v>-4.7339095336288439E-3</v>
      </c>
      <c r="F610">
        <v>1899700</v>
      </c>
      <c r="G610">
        <v>722.85</v>
      </c>
      <c r="H610" s="45">
        <f t="shared" si="37"/>
        <v>1.6628559551028488E-3</v>
      </c>
      <c r="I610">
        <v>5605900</v>
      </c>
      <c r="J610" s="38" t="s">
        <v>627</v>
      </c>
      <c r="K610" s="45">
        <f t="shared" si="38"/>
        <v>-1.3764624913971124E-3</v>
      </c>
    </row>
    <row r="611" spans="1:11" x14ac:dyDescent="0.25">
      <c r="A611" s="8">
        <v>45273</v>
      </c>
      <c r="B611">
        <v>7476.66</v>
      </c>
      <c r="C611">
        <f t="shared" si="36"/>
        <v>-5.3373918087266103E-3</v>
      </c>
      <c r="D611" s="35">
        <v>11376.7</v>
      </c>
      <c r="E611" s="45">
        <f t="shared" si="39"/>
        <v>3.0107868160158535E-3</v>
      </c>
      <c r="F611">
        <v>2005900</v>
      </c>
      <c r="G611">
        <v>723.75</v>
      </c>
      <c r="H611" s="45">
        <f t="shared" si="37"/>
        <v>1.2450715916165755E-3</v>
      </c>
      <c r="I611">
        <v>6301000</v>
      </c>
      <c r="J611" s="38" t="s">
        <v>628</v>
      </c>
      <c r="K611" s="45">
        <f t="shared" si="38"/>
        <v>-1.7721768238654345E-3</v>
      </c>
    </row>
    <row r="612" spans="1:11" x14ac:dyDescent="0.25">
      <c r="A612" s="8">
        <v>45274</v>
      </c>
      <c r="B612">
        <v>7502.1</v>
      </c>
      <c r="C612">
        <f t="shared" si="36"/>
        <v>3.4025888565216711E-3</v>
      </c>
      <c r="D612" s="35">
        <v>11520.35</v>
      </c>
      <c r="E612" s="45">
        <f t="shared" si="39"/>
        <v>1.2626684363655549E-2</v>
      </c>
      <c r="F612">
        <v>2573700</v>
      </c>
      <c r="G612">
        <v>728.2</v>
      </c>
      <c r="H612" s="45">
        <f t="shared" si="37"/>
        <v>6.1485319516407788E-3</v>
      </c>
      <c r="I612">
        <v>10899900</v>
      </c>
      <c r="J612" s="38" t="s">
        <v>629</v>
      </c>
      <c r="K612" s="45">
        <f t="shared" si="38"/>
        <v>1.9479238583686831E-2</v>
      </c>
    </row>
    <row r="613" spans="1:11" x14ac:dyDescent="0.25">
      <c r="A613" s="8">
        <v>45275</v>
      </c>
      <c r="B613">
        <v>7556.59</v>
      </c>
      <c r="C613">
        <f t="shared" si="36"/>
        <v>7.2632996094426083E-3</v>
      </c>
      <c r="D613" s="35">
        <v>11627.8</v>
      </c>
      <c r="E613" s="45">
        <f t="shared" si="39"/>
        <v>9.3269735728513936E-3</v>
      </c>
      <c r="F613">
        <v>2295600</v>
      </c>
      <c r="G613">
        <v>732.7</v>
      </c>
      <c r="H613" s="45">
        <f t="shared" si="37"/>
        <v>6.1796209832463145E-3</v>
      </c>
      <c r="I613">
        <v>10498100</v>
      </c>
      <c r="J613" s="38" t="s">
        <v>630</v>
      </c>
      <c r="K613" s="45">
        <f t="shared" si="38"/>
        <v>3.6279204759832595E-3</v>
      </c>
    </row>
    <row r="614" spans="1:11" x14ac:dyDescent="0.25">
      <c r="A614" s="8">
        <v>45278</v>
      </c>
      <c r="B614">
        <v>7566.54</v>
      </c>
      <c r="C614">
        <f t="shared" si="36"/>
        <v>1.3167314886741721E-3</v>
      </c>
      <c r="D614" s="35">
        <v>11627</v>
      </c>
      <c r="E614" s="45">
        <f t="shared" si="39"/>
        <v>-6.880063296577088E-5</v>
      </c>
      <c r="F614">
        <v>2070500</v>
      </c>
      <c r="G614">
        <v>732.7</v>
      </c>
      <c r="H614" s="45">
        <f t="shared" si="37"/>
        <v>0</v>
      </c>
      <c r="I614">
        <v>9844300</v>
      </c>
      <c r="J614" s="38" t="s">
        <v>631</v>
      </c>
      <c r="K614" s="45">
        <f t="shared" si="38"/>
        <v>-1.5374975901291776E-2</v>
      </c>
    </row>
    <row r="615" spans="1:11" x14ac:dyDescent="0.25">
      <c r="A615" s="8">
        <v>45279</v>
      </c>
      <c r="B615">
        <v>7515.18</v>
      </c>
      <c r="C615">
        <f t="shared" si="36"/>
        <v>-6.7877788262534766E-3</v>
      </c>
      <c r="D615" s="35">
        <v>11637.45</v>
      </c>
      <c r="E615" s="45">
        <f t="shared" si="39"/>
        <v>8.9877010406813618E-4</v>
      </c>
      <c r="F615">
        <v>4378700</v>
      </c>
      <c r="G615">
        <v>748.15</v>
      </c>
      <c r="H615" s="45">
        <f t="shared" si="37"/>
        <v>2.1086392793776332E-2</v>
      </c>
      <c r="I615">
        <v>11328600</v>
      </c>
      <c r="J615" s="38" t="s">
        <v>632</v>
      </c>
      <c r="K615" s="45">
        <f t="shared" si="38"/>
        <v>-5.8740026433011794E-3</v>
      </c>
    </row>
    <row r="616" spans="1:11" x14ac:dyDescent="0.25">
      <c r="A616" s="8">
        <v>45280</v>
      </c>
      <c r="B616">
        <v>7453.29</v>
      </c>
      <c r="C616">
        <f t="shared" si="36"/>
        <v>-8.2353316886621952E-3</v>
      </c>
      <c r="D616" s="35">
        <v>11417.2</v>
      </c>
      <c r="E616" s="45">
        <f t="shared" si="39"/>
        <v>-1.8925967458506832E-2</v>
      </c>
      <c r="F616">
        <v>2657200</v>
      </c>
      <c r="G616">
        <v>721.8</v>
      </c>
      <c r="H616" s="45">
        <f t="shared" si="37"/>
        <v>-3.5220209850965745E-2</v>
      </c>
      <c r="I616">
        <v>8251000</v>
      </c>
      <c r="J616" s="38" t="s">
        <v>633</v>
      </c>
      <c r="K616" s="45">
        <f t="shared" si="38"/>
        <v>-8.6661086217934002E-3</v>
      </c>
    </row>
    <row r="617" spans="1:11" x14ac:dyDescent="0.25">
      <c r="A617" s="8">
        <v>45281</v>
      </c>
      <c r="B617">
        <v>7452.71</v>
      </c>
      <c r="C617">
        <f t="shared" si="36"/>
        <v>-7.7817983736072627E-5</v>
      </c>
      <c r="D617" s="35">
        <v>11507.65</v>
      </c>
      <c r="E617" s="45">
        <f t="shared" si="39"/>
        <v>7.9222576463580108E-3</v>
      </c>
      <c r="F617">
        <v>1309000</v>
      </c>
      <c r="G617">
        <v>738.4</v>
      </c>
      <c r="H617" s="45">
        <f t="shared" si="37"/>
        <v>2.2998060404544329E-2</v>
      </c>
      <c r="I617">
        <v>6294500</v>
      </c>
      <c r="J617" s="38" t="s">
        <v>634</v>
      </c>
      <c r="K617" s="45">
        <f t="shared" si="38"/>
        <v>-2.2351363433169569E-3</v>
      </c>
    </row>
    <row r="618" spans="1:11" x14ac:dyDescent="0.25">
      <c r="A618" s="8">
        <v>45282</v>
      </c>
      <c r="B618">
        <v>7505.58</v>
      </c>
      <c r="C618">
        <f t="shared" si="36"/>
        <v>7.0940637700915854E-3</v>
      </c>
      <c r="D618" s="35">
        <v>11569.1</v>
      </c>
      <c r="E618" s="45">
        <f t="shared" si="39"/>
        <v>5.339926049193533E-3</v>
      </c>
      <c r="F618">
        <v>2417900</v>
      </c>
      <c r="G618">
        <v>731.6</v>
      </c>
      <c r="H618" s="45">
        <f t="shared" si="37"/>
        <v>-9.2091007583964268E-3</v>
      </c>
      <c r="I618">
        <v>8070900</v>
      </c>
      <c r="J618" s="38" t="s">
        <v>635</v>
      </c>
      <c r="K618" s="45">
        <f t="shared" si="38"/>
        <v>-1.0055754679410667E-2</v>
      </c>
    </row>
    <row r="619" spans="1:11" x14ac:dyDescent="0.25">
      <c r="A619" s="8">
        <v>45286</v>
      </c>
      <c r="B619">
        <v>7528.39</v>
      </c>
      <c r="C619">
        <f t="shared" si="36"/>
        <v>3.0390722635693646E-3</v>
      </c>
      <c r="D619" s="35">
        <v>11629.85</v>
      </c>
      <c r="E619" s="45">
        <f t="shared" si="39"/>
        <v>5.2510566941248449E-3</v>
      </c>
      <c r="F619">
        <v>2693700</v>
      </c>
      <c r="G619">
        <v>721.2</v>
      </c>
      <c r="H619" s="45">
        <f t="shared" si="37"/>
        <v>-1.4215418261344981E-2</v>
      </c>
      <c r="I619">
        <v>8411400</v>
      </c>
      <c r="J619" s="38" t="s">
        <v>636</v>
      </c>
      <c r="K619" s="45">
        <f t="shared" si="38"/>
        <v>8.0458614100376025E-4</v>
      </c>
    </row>
    <row r="620" spans="1:11" x14ac:dyDescent="0.25">
      <c r="A620" s="8">
        <v>45287</v>
      </c>
      <c r="B620">
        <v>7590.83</v>
      </c>
      <c r="C620">
        <f t="shared" si="36"/>
        <v>8.2939380133069118E-3</v>
      </c>
      <c r="D620" s="35">
        <v>11727</v>
      </c>
      <c r="E620" s="45">
        <f t="shared" si="39"/>
        <v>8.3535041294600099E-3</v>
      </c>
      <c r="F620">
        <v>3197400</v>
      </c>
      <c r="G620">
        <v>732</v>
      </c>
      <c r="H620" s="45">
        <f t="shared" si="37"/>
        <v>1.4975041597337757E-2</v>
      </c>
      <c r="I620">
        <v>9666300</v>
      </c>
      <c r="J620" s="38" t="s">
        <v>637</v>
      </c>
      <c r="K620" s="45">
        <f t="shared" si="38"/>
        <v>7.1852075168323815E-3</v>
      </c>
    </row>
    <row r="621" spans="1:11" x14ac:dyDescent="0.25">
      <c r="A621" s="8">
        <v>45288</v>
      </c>
      <c r="B621">
        <v>7558.33</v>
      </c>
      <c r="C621">
        <f t="shared" si="36"/>
        <v>-4.2814817351989332E-3</v>
      </c>
      <c r="D621" s="35">
        <v>11790.05</v>
      </c>
      <c r="E621" s="45">
        <f t="shared" si="39"/>
        <v>5.3764816236034907E-3</v>
      </c>
      <c r="F621">
        <v>2120200</v>
      </c>
      <c r="G621">
        <v>720.05</v>
      </c>
      <c r="H621" s="45">
        <f t="shared" si="37"/>
        <v>-1.6325136612021951E-2</v>
      </c>
      <c r="I621">
        <v>7432200</v>
      </c>
      <c r="J621" s="38" t="s">
        <v>638</v>
      </c>
      <c r="K621" s="45">
        <f t="shared" si="38"/>
        <v>3.6418059366425393E-3</v>
      </c>
    </row>
    <row r="622" spans="1:11" x14ac:dyDescent="0.25">
      <c r="A622" s="8">
        <v>45289</v>
      </c>
      <c r="B622">
        <v>7564.78</v>
      </c>
      <c r="C622">
        <f t="shared" si="36"/>
        <v>8.5336311063421988E-4</v>
      </c>
      <c r="D622" s="35">
        <v>11798.7</v>
      </c>
      <c r="E622" s="45">
        <f t="shared" si="39"/>
        <v>7.3366949249598079E-4</v>
      </c>
      <c r="F622">
        <v>2318300</v>
      </c>
      <c r="G622">
        <v>718</v>
      </c>
      <c r="H622" s="45">
        <f t="shared" si="37"/>
        <v>-2.8470245121865467E-3</v>
      </c>
      <c r="I622">
        <v>6592400</v>
      </c>
      <c r="J622" s="38" t="s">
        <v>639</v>
      </c>
      <c r="K622" s="45">
        <f t="shared" si="38"/>
        <v>-9.2454518341783531E-3</v>
      </c>
    </row>
    <row r="623" spans="1:11" x14ac:dyDescent="0.25">
      <c r="A623" s="8">
        <v>45292</v>
      </c>
      <c r="B623">
        <v>7480.16</v>
      </c>
      <c r="C623">
        <f t="shared" si="36"/>
        <v>-1.1186049032489986E-2</v>
      </c>
      <c r="D623" s="35">
        <v>11817.5</v>
      </c>
      <c r="E623" s="45">
        <f t="shared" si="39"/>
        <v>1.593395882597104E-3</v>
      </c>
      <c r="F623">
        <v>2644800</v>
      </c>
      <c r="G623">
        <v>709.95</v>
      </c>
      <c r="H623" s="45">
        <f t="shared" si="37"/>
        <v>-1.121169916434539E-2</v>
      </c>
      <c r="I623">
        <v>7155900</v>
      </c>
      <c r="J623" s="38" t="s">
        <v>640</v>
      </c>
      <c r="K623" s="45">
        <f t="shared" si="38"/>
        <v>2.8095524784266246E-3</v>
      </c>
    </row>
    <row r="624" spans="1:11" x14ac:dyDescent="0.25">
      <c r="A624" s="8">
        <v>45293</v>
      </c>
      <c r="B624">
        <v>7461.77</v>
      </c>
      <c r="C624">
        <f t="shared" si="36"/>
        <v>-2.4585035614210771E-3</v>
      </c>
      <c r="D624" s="35">
        <v>11782.6</v>
      </c>
      <c r="E624" s="45">
        <f t="shared" si="39"/>
        <v>-2.9532473027289452E-3</v>
      </c>
      <c r="F624">
        <v>2619700</v>
      </c>
      <c r="G624">
        <v>719.95</v>
      </c>
      <c r="H624" s="45">
        <f t="shared" si="37"/>
        <v>1.4085498978801292E-2</v>
      </c>
      <c r="I624">
        <v>7365300</v>
      </c>
      <c r="J624" s="38" t="s">
        <v>641</v>
      </c>
      <c r="K624" s="45">
        <f t="shared" si="38"/>
        <v>-1.7160296177706647E-2</v>
      </c>
    </row>
    <row r="625" spans="1:11" x14ac:dyDescent="0.25">
      <c r="A625" s="8">
        <v>45294</v>
      </c>
      <c r="B625">
        <v>7433.24</v>
      </c>
      <c r="C625">
        <f t="shared" si="36"/>
        <v>-3.8234896009928798E-3</v>
      </c>
      <c r="D625" s="35">
        <v>11745.5</v>
      </c>
      <c r="E625" s="45">
        <f t="shared" si="39"/>
        <v>-3.1487108108567696E-3</v>
      </c>
      <c r="F625">
        <v>2451500</v>
      </c>
      <c r="G625">
        <v>720.4</v>
      </c>
      <c r="H625" s="45">
        <f t="shared" si="37"/>
        <v>6.2504340579194739E-4</v>
      </c>
      <c r="I625">
        <v>8655900</v>
      </c>
      <c r="J625" s="38" t="s">
        <v>642</v>
      </c>
      <c r="K625" s="45">
        <f t="shared" si="38"/>
        <v>1.8325273606514259E-3</v>
      </c>
    </row>
    <row r="626" spans="1:11" x14ac:dyDescent="0.25">
      <c r="A626" s="8">
        <v>45295</v>
      </c>
      <c r="B626">
        <v>7458.54</v>
      </c>
      <c r="C626">
        <f t="shared" si="36"/>
        <v>3.4036301801099178E-3</v>
      </c>
      <c r="D626" s="35">
        <v>11850.6</v>
      </c>
      <c r="E626" s="45">
        <f t="shared" si="39"/>
        <v>8.9481077859605573E-3</v>
      </c>
      <c r="F626">
        <v>1743500</v>
      </c>
      <c r="G626">
        <v>725.95</v>
      </c>
      <c r="H626" s="45">
        <f t="shared" si="37"/>
        <v>7.7040533037202596E-3</v>
      </c>
      <c r="I626">
        <v>6435000</v>
      </c>
      <c r="J626" s="38" t="s">
        <v>574</v>
      </c>
      <c r="K626" s="45">
        <f t="shared" si="38"/>
        <v>3.1502464305674938E-3</v>
      </c>
    </row>
    <row r="627" spans="1:11" x14ac:dyDescent="0.25">
      <c r="A627" s="8">
        <v>45296</v>
      </c>
      <c r="B627">
        <v>7486.54</v>
      </c>
      <c r="C627">
        <f t="shared" si="36"/>
        <v>3.7540859203006871E-3</v>
      </c>
      <c r="D627" s="35">
        <v>11872.3</v>
      </c>
      <c r="E627" s="45">
        <f t="shared" si="39"/>
        <v>1.8311309132026388E-3</v>
      </c>
      <c r="F627">
        <v>3120900</v>
      </c>
      <c r="G627">
        <v>757.45</v>
      </c>
      <c r="H627" s="45">
        <f t="shared" si="37"/>
        <v>4.3391418141745186E-2</v>
      </c>
      <c r="I627">
        <v>11513900</v>
      </c>
      <c r="J627" s="38" t="s">
        <v>643</v>
      </c>
      <c r="K627" s="45">
        <f t="shared" si="38"/>
        <v>6.635263131236524E-3</v>
      </c>
    </row>
    <row r="628" spans="1:11" x14ac:dyDescent="0.25">
      <c r="A628" s="8">
        <v>45299</v>
      </c>
      <c r="B628">
        <v>7453.78</v>
      </c>
      <c r="C628">
        <f t="shared" si="36"/>
        <v>-4.3758531978724813E-3</v>
      </c>
      <c r="D628" s="35">
        <v>11759.7</v>
      </c>
      <c r="E628" s="45">
        <f t="shared" si="39"/>
        <v>-9.4842616847619077E-3</v>
      </c>
      <c r="F628">
        <v>1687600</v>
      </c>
      <c r="G628">
        <v>744</v>
      </c>
      <c r="H628" s="45">
        <f t="shared" si="37"/>
        <v>-1.7756947653310484E-2</v>
      </c>
      <c r="I628">
        <v>7215800</v>
      </c>
      <c r="J628" s="38" t="s">
        <v>644</v>
      </c>
      <c r="K628" s="45">
        <f t="shared" si="38"/>
        <v>-1.1774177317097734E-2</v>
      </c>
    </row>
    <row r="629" spans="1:11" x14ac:dyDescent="0.25">
      <c r="A629" s="8">
        <v>45300</v>
      </c>
      <c r="B629">
        <v>7417.42</v>
      </c>
      <c r="C629">
        <f t="shared" si="36"/>
        <v>-4.8780618692797484E-3</v>
      </c>
      <c r="D629" s="35">
        <v>11782.9</v>
      </c>
      <c r="E629" s="45">
        <f t="shared" si="39"/>
        <v>1.9728394431830498E-3</v>
      </c>
      <c r="F629">
        <v>2598000</v>
      </c>
      <c r="G629">
        <v>749.95</v>
      </c>
      <c r="H629" s="45">
        <f t="shared" si="37"/>
        <v>7.9973118279570432E-3</v>
      </c>
      <c r="I629">
        <v>8339000</v>
      </c>
      <c r="J629" s="38" t="s">
        <v>645</v>
      </c>
      <c r="K629" s="45">
        <f t="shared" si="38"/>
        <v>-2.2912423625254252E-3</v>
      </c>
    </row>
    <row r="630" spans="1:11" x14ac:dyDescent="0.25">
      <c r="A630" s="8">
        <v>45301</v>
      </c>
      <c r="B630">
        <v>7434.58</v>
      </c>
      <c r="C630">
        <f t="shared" si="36"/>
        <v>2.3134728787097547E-3</v>
      </c>
      <c r="D630" s="35">
        <v>11820.45</v>
      </c>
      <c r="E630" s="45">
        <f t="shared" si="39"/>
        <v>3.1868215804260469E-3</v>
      </c>
      <c r="F630">
        <v>2639200</v>
      </c>
      <c r="G630">
        <v>743.25</v>
      </c>
      <c r="H630" s="45">
        <f t="shared" si="37"/>
        <v>-8.9339289285953472E-3</v>
      </c>
      <c r="I630">
        <v>6842000</v>
      </c>
      <c r="J630" s="38" t="s">
        <v>646</v>
      </c>
      <c r="K630" s="45">
        <f t="shared" si="38"/>
        <v>1.3574891553967738E-2</v>
      </c>
    </row>
    <row r="631" spans="1:11" x14ac:dyDescent="0.25">
      <c r="A631" s="8">
        <v>45302</v>
      </c>
      <c r="B631">
        <v>7379.86</v>
      </c>
      <c r="C631">
        <f t="shared" si="36"/>
        <v>-7.3602005762262168E-3</v>
      </c>
      <c r="D631" s="35">
        <v>11855.2</v>
      </c>
      <c r="E631" s="45">
        <f t="shared" si="39"/>
        <v>2.9398203960087077E-3</v>
      </c>
      <c r="F631">
        <v>1684500</v>
      </c>
      <c r="G631">
        <v>781.25</v>
      </c>
      <c r="H631" s="45">
        <f t="shared" si="37"/>
        <v>5.1126807938109753E-2</v>
      </c>
      <c r="I631">
        <v>6619700</v>
      </c>
      <c r="J631" s="38" t="s">
        <v>647</v>
      </c>
      <c r="K631" s="45">
        <f t="shared" si="38"/>
        <v>-1.9132974170484873E-3</v>
      </c>
    </row>
    <row r="632" spans="1:11" x14ac:dyDescent="0.25">
      <c r="A632" s="8">
        <v>45303</v>
      </c>
      <c r="B632">
        <v>7413.98</v>
      </c>
      <c r="C632">
        <f t="shared" si="36"/>
        <v>4.6233939397224422E-3</v>
      </c>
      <c r="D632" s="35">
        <v>11960.85</v>
      </c>
      <c r="E632" s="45">
        <f t="shared" si="39"/>
        <v>8.9117011944126467E-3</v>
      </c>
      <c r="F632">
        <v>7024600</v>
      </c>
      <c r="G632">
        <v>768.2</v>
      </c>
      <c r="H632" s="45">
        <f t="shared" si="37"/>
        <v>-1.6703999999999941E-2</v>
      </c>
      <c r="I632">
        <v>11931900</v>
      </c>
      <c r="J632" s="38" t="s">
        <v>648</v>
      </c>
      <c r="K632" s="45">
        <f t="shared" si="38"/>
        <v>1.2460273419764967E-2</v>
      </c>
    </row>
    <row r="633" spans="1:11" x14ac:dyDescent="0.25">
      <c r="A633" s="8">
        <v>45306</v>
      </c>
      <c r="B633">
        <v>7397.06</v>
      </c>
      <c r="C633">
        <f t="shared" si="36"/>
        <v>-2.2821750260991758E-3</v>
      </c>
      <c r="D633" s="35">
        <v>12055.4</v>
      </c>
      <c r="E633" s="45">
        <f t="shared" si="39"/>
        <v>7.9049565875335404E-3</v>
      </c>
      <c r="F633">
        <v>3195200</v>
      </c>
      <c r="G633">
        <v>758.85</v>
      </c>
      <c r="H633" s="45">
        <f t="shared" si="37"/>
        <v>-1.21713095548035E-2</v>
      </c>
      <c r="I633">
        <v>7833600</v>
      </c>
      <c r="J633" s="38" t="s">
        <v>649</v>
      </c>
      <c r="K633" s="45">
        <f t="shared" si="38"/>
        <v>6.3278525161933885E-3</v>
      </c>
    </row>
    <row r="634" spans="1:11" x14ac:dyDescent="0.25">
      <c r="A634" s="8">
        <v>45307</v>
      </c>
      <c r="B634">
        <v>7496.09</v>
      </c>
      <c r="C634">
        <f t="shared" si="36"/>
        <v>1.3387751349860588E-2</v>
      </c>
      <c r="D634" s="35">
        <v>12019.45</v>
      </c>
      <c r="E634" s="45">
        <f t="shared" si="39"/>
        <v>-2.9820661280420824E-3</v>
      </c>
      <c r="F634">
        <v>3635200</v>
      </c>
      <c r="G634">
        <v>784</v>
      </c>
      <c r="H634" s="45">
        <f t="shared" si="37"/>
        <v>3.314225472754817E-2</v>
      </c>
      <c r="I634">
        <v>9500800</v>
      </c>
      <c r="J634" s="38" t="s">
        <v>650</v>
      </c>
      <c r="K634" s="45">
        <f t="shared" si="38"/>
        <v>-7.9219686092002473E-4</v>
      </c>
    </row>
    <row r="635" spans="1:11" x14ac:dyDescent="0.25">
      <c r="A635" s="8">
        <v>45308</v>
      </c>
      <c r="B635">
        <v>7543.85</v>
      </c>
      <c r="C635">
        <f t="shared" si="36"/>
        <v>6.3713215823182345E-3</v>
      </c>
      <c r="D635" s="35">
        <v>11801.35</v>
      </c>
      <c r="E635" s="45">
        <f t="shared" si="39"/>
        <v>-1.8145589024456177E-2</v>
      </c>
      <c r="F635">
        <v>2449900</v>
      </c>
      <c r="G635">
        <v>769.95</v>
      </c>
      <c r="H635" s="45">
        <f t="shared" si="37"/>
        <v>-1.7920918367346883E-2</v>
      </c>
      <c r="I635">
        <v>7784400</v>
      </c>
      <c r="J635" s="38" t="s">
        <v>651</v>
      </c>
      <c r="K635" s="45">
        <f t="shared" si="38"/>
        <v>-2.7055150884495283E-2</v>
      </c>
    </row>
    <row r="636" spans="1:11" x14ac:dyDescent="0.25">
      <c r="A636" s="8">
        <v>45309</v>
      </c>
      <c r="B636">
        <v>7531.13</v>
      </c>
      <c r="C636">
        <f t="shared" si="36"/>
        <v>-1.6861416915766592E-3</v>
      </c>
      <c r="D636" s="35">
        <v>11749.35</v>
      </c>
      <c r="E636" s="45">
        <f t="shared" si="39"/>
        <v>-4.4062755532205955E-3</v>
      </c>
      <c r="F636">
        <v>2028300</v>
      </c>
      <c r="G636">
        <v>763.65</v>
      </c>
      <c r="H636" s="45">
        <f t="shared" si="37"/>
        <v>-8.1823495032146143E-3</v>
      </c>
      <c r="I636">
        <v>6484500</v>
      </c>
      <c r="J636" s="38" t="s">
        <v>652</v>
      </c>
      <c r="K636" s="45">
        <f t="shared" si="38"/>
        <v>4.6855105678635933E-3</v>
      </c>
    </row>
    <row r="637" spans="1:11" x14ac:dyDescent="0.25">
      <c r="A637" s="8">
        <v>45310</v>
      </c>
      <c r="B637">
        <v>7618.96</v>
      </c>
      <c r="C637">
        <f t="shared" si="36"/>
        <v>1.1662260510706846E-2</v>
      </c>
      <c r="D637" s="35">
        <v>11862.3</v>
      </c>
      <c r="E637" s="45">
        <f t="shared" si="39"/>
        <v>9.6132977568970102E-3</v>
      </c>
      <c r="F637">
        <v>2073400</v>
      </c>
      <c r="G637">
        <v>763.75</v>
      </c>
      <c r="H637" s="45">
        <f t="shared" si="37"/>
        <v>1.3095004255880838E-4</v>
      </c>
      <c r="I637">
        <v>8132600</v>
      </c>
      <c r="J637" s="38" t="s">
        <v>653</v>
      </c>
      <c r="K637" s="45">
        <f t="shared" si="38"/>
        <v>1.3027829877832353E-2</v>
      </c>
    </row>
    <row r="638" spans="1:11" x14ac:dyDescent="0.25">
      <c r="A638" s="8">
        <v>45311</v>
      </c>
      <c r="B638">
        <v>7625.24</v>
      </c>
      <c r="C638">
        <f t="shared" si="36"/>
        <v>8.2425947898401297E-4</v>
      </c>
      <c r="D638" s="35">
        <v>11862.45</v>
      </c>
      <c r="E638" s="45">
        <f t="shared" si="39"/>
        <v>1.2645102551944731E-5</v>
      </c>
      <c r="F638">
        <v>2499800</v>
      </c>
      <c r="G638">
        <v>756.8</v>
      </c>
      <c r="H638" s="45">
        <f t="shared" si="37"/>
        <v>-9.0998363338788968E-3</v>
      </c>
      <c r="I638">
        <v>9214000</v>
      </c>
      <c r="J638" s="38" t="s">
        <v>654</v>
      </c>
      <c r="K638" s="45">
        <f t="shared" si="38"/>
        <v>9.5076060848680033E-3</v>
      </c>
    </row>
    <row r="639" spans="1:11" x14ac:dyDescent="0.25">
      <c r="A639" s="8">
        <v>45314</v>
      </c>
      <c r="B639">
        <v>7594.64</v>
      </c>
      <c r="C639">
        <f t="shared" si="36"/>
        <v>-4.0129884436423957E-3</v>
      </c>
      <c r="D639" s="35">
        <v>11626.8</v>
      </c>
      <c r="E639" s="45">
        <f t="shared" si="39"/>
        <v>-1.9865204911295842E-2</v>
      </c>
      <c r="F639">
        <v>2452900</v>
      </c>
      <c r="G639">
        <v>758.15</v>
      </c>
      <c r="H639" s="45">
        <f t="shared" si="37"/>
        <v>1.783826638477759E-3</v>
      </c>
      <c r="I639">
        <v>7520100</v>
      </c>
      <c r="J639" s="38" t="s">
        <v>655</v>
      </c>
      <c r="K639" s="45">
        <f t="shared" si="38"/>
        <v>2.0174482006543037E-2</v>
      </c>
    </row>
    <row r="640" spans="1:11" x14ac:dyDescent="0.25">
      <c r="A640" s="67">
        <v>45315</v>
      </c>
      <c r="B640">
        <v>7663.82</v>
      </c>
      <c r="C640">
        <f t="shared" si="36"/>
        <v>9.1090558604489669E-3</v>
      </c>
      <c r="D640" s="35">
        <v>11769.4</v>
      </c>
      <c r="E640" s="45">
        <f t="shared" si="39"/>
        <v>1.2264767605876026E-2</v>
      </c>
      <c r="F640">
        <v>2645200</v>
      </c>
      <c r="G640">
        <v>764.65</v>
      </c>
      <c r="H640" s="45">
        <f t="shared" si="37"/>
        <v>8.5735012860252979E-3</v>
      </c>
      <c r="I640">
        <v>7879300</v>
      </c>
      <c r="J640" s="38" t="s">
        <v>653</v>
      </c>
      <c r="K640" s="45">
        <f t="shared" si="38"/>
        <v>-2.9007336864097844E-2</v>
      </c>
    </row>
    <row r="641" spans="1:11" x14ac:dyDescent="0.25">
      <c r="A641" s="8">
        <v>45316</v>
      </c>
      <c r="B641">
        <v>7637.51</v>
      </c>
      <c r="C641">
        <f t="shared" si="36"/>
        <v>-3.4330138233934493E-3</v>
      </c>
      <c r="D641" s="35">
        <v>11724.75</v>
      </c>
      <c r="E641" s="45">
        <f t="shared" si="39"/>
        <v>-3.7937362992165324E-3</v>
      </c>
      <c r="F641">
        <v>3963100</v>
      </c>
      <c r="G641">
        <v>776.15</v>
      </c>
      <c r="H641" s="45">
        <f t="shared" si="37"/>
        <v>1.5039560583273381E-2</v>
      </c>
      <c r="I641">
        <v>6406500</v>
      </c>
      <c r="J641" s="38" t="s">
        <v>656</v>
      </c>
      <c r="K641" s="45">
        <f t="shared" si="38"/>
        <v>1.0758606885508337E-2</v>
      </c>
    </row>
    <row r="642" spans="1:11" x14ac:dyDescent="0.25">
      <c r="A642" s="8">
        <v>45320</v>
      </c>
      <c r="B642">
        <v>7578.25</v>
      </c>
      <c r="C642">
        <f t="shared" si="36"/>
        <v>-7.7590733105423748E-3</v>
      </c>
      <c r="D642" s="35">
        <v>11925.9</v>
      </c>
      <c r="E642" s="45">
        <f t="shared" si="39"/>
        <v>1.7156016119746598E-2</v>
      </c>
      <c r="F642">
        <v>3265500</v>
      </c>
      <c r="G642">
        <v>774.3</v>
      </c>
      <c r="H642" s="45">
        <f t="shared" si="37"/>
        <v>-2.3835598788893853E-3</v>
      </c>
      <c r="I642">
        <v>11601300</v>
      </c>
      <c r="J642" s="38" t="s">
        <v>657</v>
      </c>
      <c r="K642" s="45">
        <f t="shared" si="38"/>
        <v>6.3864547749887812E-3</v>
      </c>
    </row>
    <row r="643" spans="1:11" x14ac:dyDescent="0.25">
      <c r="A643" s="8">
        <v>45321</v>
      </c>
      <c r="B643">
        <v>7577.29</v>
      </c>
      <c r="C643">
        <f t="shared" si="36"/>
        <v>-1.2667832283175251E-4</v>
      </c>
      <c r="D643" s="35">
        <v>11829.6</v>
      </c>
      <c r="E643" s="45">
        <f t="shared" si="39"/>
        <v>-8.0748622745452359E-3</v>
      </c>
      <c r="F643">
        <v>4318000</v>
      </c>
      <c r="G643">
        <v>772.2</v>
      </c>
      <c r="H643" s="45">
        <f t="shared" si="37"/>
        <v>-2.7121270825259947E-3</v>
      </c>
      <c r="I643">
        <v>10317800</v>
      </c>
      <c r="J643" s="38" t="s">
        <v>658</v>
      </c>
      <c r="K643" s="45">
        <f t="shared" si="38"/>
        <v>4.9193231011401828E-4</v>
      </c>
    </row>
    <row r="644" spans="1:11" x14ac:dyDescent="0.25">
      <c r="A644" s="8">
        <v>45322</v>
      </c>
      <c r="B644">
        <v>7583.14</v>
      </c>
      <c r="C644">
        <f t="shared" ref="C644:C707" si="40">B644/B643-1</f>
        <v>7.7204383097395635E-4</v>
      </c>
      <c r="D644" s="35">
        <v>11953.8</v>
      </c>
      <c r="E644" s="45">
        <f t="shared" si="39"/>
        <v>1.0499087035909849E-2</v>
      </c>
      <c r="F644">
        <v>3020600</v>
      </c>
      <c r="G644">
        <v>820.5</v>
      </c>
      <c r="H644" s="45">
        <f t="shared" ref="H644:H707" si="41">G644/G643-1</f>
        <v>6.2548562548562447E-2</v>
      </c>
      <c r="I644">
        <v>7203300</v>
      </c>
      <c r="J644" s="38" t="s">
        <v>659</v>
      </c>
      <c r="K644" s="45">
        <f t="shared" ref="K644:K707" si="42">J644/J643-1</f>
        <v>1.1063034713344688E-2</v>
      </c>
    </row>
    <row r="645" spans="1:11" x14ac:dyDescent="0.25">
      <c r="A645" s="8">
        <v>45323</v>
      </c>
      <c r="B645">
        <v>7646.29</v>
      </c>
      <c r="C645">
        <f t="shared" si="40"/>
        <v>8.3276848376794277E-3</v>
      </c>
      <c r="D645" s="35">
        <v>11937.65</v>
      </c>
      <c r="E645" s="45">
        <f t="shared" ref="E645:E708" si="43">D645/D644-1</f>
        <v>-1.3510348173801923E-3</v>
      </c>
      <c r="F645">
        <v>10684700</v>
      </c>
      <c r="G645">
        <v>820.9</v>
      </c>
      <c r="H645" s="45">
        <f t="shared" si="41"/>
        <v>4.8750761730653736E-4</v>
      </c>
      <c r="I645">
        <v>13634600</v>
      </c>
      <c r="J645" s="38" t="s">
        <v>660</v>
      </c>
      <c r="K645" s="45">
        <f t="shared" si="42"/>
        <v>-2.9178621796430715E-3</v>
      </c>
    </row>
    <row r="646" spans="1:11" x14ac:dyDescent="0.25">
      <c r="A646" s="8">
        <v>45324</v>
      </c>
      <c r="B646">
        <v>7611.89</v>
      </c>
      <c r="C646">
        <f t="shared" si="40"/>
        <v>-4.4989138523388039E-3</v>
      </c>
      <c r="D646" s="35">
        <v>12017.2</v>
      </c>
      <c r="E646" s="45">
        <f t="shared" si="43"/>
        <v>6.6637906120552426E-3</v>
      </c>
      <c r="F646">
        <v>3949000</v>
      </c>
      <c r="G646">
        <v>817.2</v>
      </c>
      <c r="H646" s="45">
        <f t="shared" si="41"/>
        <v>-4.5072481422827604E-3</v>
      </c>
      <c r="I646">
        <v>8019700</v>
      </c>
      <c r="J646" s="38" t="s">
        <v>661</v>
      </c>
      <c r="K646" s="45">
        <f t="shared" si="42"/>
        <v>-1.1217870555528808E-3</v>
      </c>
    </row>
    <row r="647" spans="1:11" x14ac:dyDescent="0.25">
      <c r="A647" s="8">
        <v>45327</v>
      </c>
      <c r="B647">
        <v>7562.84</v>
      </c>
      <c r="C647">
        <f t="shared" si="40"/>
        <v>-6.4438661094682326E-3</v>
      </c>
      <c r="D647" s="35">
        <v>11975.65</v>
      </c>
      <c r="E647" s="45">
        <f t="shared" si="43"/>
        <v>-3.457544186665884E-3</v>
      </c>
      <c r="F647">
        <v>3931300</v>
      </c>
      <c r="G647">
        <v>796.65</v>
      </c>
      <c r="H647" s="45">
        <f t="shared" si="41"/>
        <v>-2.5146842878120523E-2</v>
      </c>
      <c r="I647">
        <v>9583400</v>
      </c>
      <c r="J647" s="38" t="s">
        <v>662</v>
      </c>
      <c r="K647" s="45">
        <f t="shared" si="42"/>
        <v>-4.8828125E-4</v>
      </c>
    </row>
    <row r="648" spans="1:11" x14ac:dyDescent="0.25">
      <c r="A648" s="8">
        <v>45328</v>
      </c>
      <c r="B648">
        <v>7515.02</v>
      </c>
      <c r="C648">
        <f t="shared" si="40"/>
        <v>-6.3230215104378429E-3</v>
      </c>
      <c r="D648" s="35">
        <v>12082.95</v>
      </c>
      <c r="E648" s="45">
        <f t="shared" si="43"/>
        <v>8.9598476909396041E-3</v>
      </c>
      <c r="F648">
        <v>4575200</v>
      </c>
      <c r="G648">
        <v>819</v>
      </c>
      <c r="H648" s="45">
        <f t="shared" si="41"/>
        <v>2.8054980229711868E-2</v>
      </c>
      <c r="I648">
        <v>10153700</v>
      </c>
      <c r="J648" s="38" t="s">
        <v>663</v>
      </c>
      <c r="K648" s="45">
        <f t="shared" si="42"/>
        <v>2.8334147532975695E-3</v>
      </c>
    </row>
    <row r="649" spans="1:11" x14ac:dyDescent="0.25">
      <c r="A649" s="8">
        <v>45329</v>
      </c>
      <c r="B649">
        <v>7519.86</v>
      </c>
      <c r="C649">
        <f t="shared" si="40"/>
        <v>6.4404352882618809E-4</v>
      </c>
      <c r="D649" s="35">
        <v>12126.8</v>
      </c>
      <c r="E649" s="45">
        <f t="shared" si="43"/>
        <v>3.6290806466963144E-3</v>
      </c>
      <c r="F649">
        <v>2647400</v>
      </c>
      <c r="G649">
        <v>808.8</v>
      </c>
      <c r="H649" s="45">
        <f t="shared" si="41"/>
        <v>-1.2454212454212521E-2</v>
      </c>
      <c r="I649">
        <v>8766300</v>
      </c>
      <c r="J649" s="38" t="s">
        <v>664</v>
      </c>
      <c r="K649" s="45">
        <f t="shared" si="42"/>
        <v>-4.140685892439655E-3</v>
      </c>
    </row>
    <row r="650" spans="1:11" x14ac:dyDescent="0.25">
      <c r="A650" s="8">
        <v>45330</v>
      </c>
      <c r="B650">
        <v>7518.9</v>
      </c>
      <c r="C650">
        <f t="shared" si="40"/>
        <v>-1.276619511533239E-4</v>
      </c>
      <c r="D650" s="35">
        <v>12052.65</v>
      </c>
      <c r="E650" s="45">
        <f t="shared" si="43"/>
        <v>-6.1145561895965539E-3</v>
      </c>
      <c r="F650">
        <v>3060200</v>
      </c>
      <c r="G650">
        <v>798.7</v>
      </c>
      <c r="H650" s="45">
        <f t="shared" si="41"/>
        <v>-1.2487636003956415E-2</v>
      </c>
      <c r="I650">
        <v>7859500</v>
      </c>
      <c r="J650" s="38" t="s">
        <v>665</v>
      </c>
      <c r="K650" s="45">
        <f t="shared" si="42"/>
        <v>-3.2138140194687637E-2</v>
      </c>
    </row>
    <row r="651" spans="1:11" x14ac:dyDescent="0.25">
      <c r="A651" s="8">
        <v>45331</v>
      </c>
      <c r="B651">
        <v>7556.45</v>
      </c>
      <c r="C651">
        <f t="shared" si="40"/>
        <v>4.994081581082277E-3</v>
      </c>
      <c r="D651" s="35">
        <v>12055.65</v>
      </c>
      <c r="E651" s="45">
        <f t="shared" si="43"/>
        <v>2.4890791651621669E-4</v>
      </c>
      <c r="F651">
        <v>2340400</v>
      </c>
      <c r="G651">
        <v>804.5</v>
      </c>
      <c r="H651" s="45">
        <f t="shared" si="41"/>
        <v>7.261800425691689E-3</v>
      </c>
      <c r="I651">
        <v>7648300</v>
      </c>
      <c r="J651" s="38" t="s">
        <v>666</v>
      </c>
      <c r="K651" s="45">
        <f t="shared" si="42"/>
        <v>2.1631456585464504E-2</v>
      </c>
    </row>
    <row r="652" spans="1:11" x14ac:dyDescent="0.25">
      <c r="A652" s="8">
        <v>45334</v>
      </c>
      <c r="B652">
        <v>7548.65</v>
      </c>
      <c r="C652">
        <f t="shared" si="40"/>
        <v>-1.0322307432722999E-3</v>
      </c>
      <c r="D652" s="35">
        <v>11914.1</v>
      </c>
      <c r="E652" s="45">
        <f t="shared" si="43"/>
        <v>-1.1741382671195622E-2</v>
      </c>
      <c r="F652">
        <v>2694100</v>
      </c>
      <c r="G652">
        <v>786.9</v>
      </c>
      <c r="H652" s="45">
        <f t="shared" si="41"/>
        <v>-2.1876942200124372E-2</v>
      </c>
      <c r="I652">
        <v>8067000</v>
      </c>
      <c r="J652" s="38" t="s">
        <v>667</v>
      </c>
      <c r="K652" s="45">
        <f t="shared" si="42"/>
        <v>-1.4445433857722345E-2</v>
      </c>
    </row>
    <row r="653" spans="1:11" x14ac:dyDescent="0.25">
      <c r="A653" s="8">
        <v>45335</v>
      </c>
      <c r="B653">
        <v>7575.1</v>
      </c>
      <c r="C653">
        <f t="shared" si="40"/>
        <v>3.5039377902010838E-3</v>
      </c>
      <c r="D653" s="35">
        <v>11983.85</v>
      </c>
      <c r="E653" s="45">
        <f t="shared" si="43"/>
        <v>5.8544078025197788E-3</v>
      </c>
      <c r="F653">
        <v>3246300</v>
      </c>
      <c r="G653">
        <v>785.2</v>
      </c>
      <c r="H653" s="45">
        <f t="shared" si="41"/>
        <v>-2.1603761596136195E-3</v>
      </c>
      <c r="I653">
        <v>8143500</v>
      </c>
      <c r="J653" s="38" t="s">
        <v>668</v>
      </c>
      <c r="K653" s="45">
        <f t="shared" si="42"/>
        <v>2.3792791888364473E-2</v>
      </c>
    </row>
    <row r="654" spans="1:11" x14ac:dyDescent="0.25">
      <c r="A654" s="8">
        <v>45336</v>
      </c>
      <c r="B654">
        <v>7632.5</v>
      </c>
      <c r="C654">
        <f t="shared" si="40"/>
        <v>7.5774577233302942E-3</v>
      </c>
      <c r="D654" s="35">
        <v>12063.45</v>
      </c>
      <c r="E654" s="45">
        <f t="shared" si="43"/>
        <v>6.6422727253763192E-3</v>
      </c>
      <c r="F654">
        <v>3884700</v>
      </c>
      <c r="G654">
        <v>807.4</v>
      </c>
      <c r="H654" s="45">
        <f t="shared" si="41"/>
        <v>2.827305145185921E-2</v>
      </c>
      <c r="I654">
        <v>9644100</v>
      </c>
      <c r="J654" s="38" t="s">
        <v>669</v>
      </c>
      <c r="K654" s="45">
        <f t="shared" si="42"/>
        <v>2.8436948421259878E-3</v>
      </c>
    </row>
    <row r="655" spans="1:11" x14ac:dyDescent="0.25">
      <c r="A655" s="8">
        <v>45337</v>
      </c>
      <c r="B655">
        <v>7632.98</v>
      </c>
      <c r="C655">
        <f t="shared" si="40"/>
        <v>6.2888961676943467E-5</v>
      </c>
      <c r="D655" s="35">
        <v>12124.8</v>
      </c>
      <c r="E655" s="45">
        <f t="shared" si="43"/>
        <v>5.0856098379814529E-3</v>
      </c>
      <c r="F655">
        <v>8181300</v>
      </c>
      <c r="G655">
        <v>813.8</v>
      </c>
      <c r="H655" s="45">
        <f t="shared" si="41"/>
        <v>7.9266782264058033E-3</v>
      </c>
      <c r="I655">
        <v>23316000</v>
      </c>
      <c r="J655" s="38" t="s">
        <v>670</v>
      </c>
      <c r="K655" s="45">
        <f t="shared" si="42"/>
        <v>-5.9157133079105195E-3</v>
      </c>
    </row>
    <row r="656" spans="1:11" x14ac:dyDescent="0.25">
      <c r="A656" s="8">
        <v>45338</v>
      </c>
      <c r="B656">
        <v>7626.23</v>
      </c>
      <c r="C656">
        <f t="shared" si="40"/>
        <v>-8.8432040959096625E-4</v>
      </c>
      <c r="D656" s="35">
        <v>12198.65</v>
      </c>
      <c r="E656" s="45">
        <f t="shared" si="43"/>
        <v>6.0908221166535714E-3</v>
      </c>
      <c r="G656">
        <v>786.45</v>
      </c>
      <c r="H656" s="45">
        <f t="shared" si="41"/>
        <v>-3.3607766035880893E-2</v>
      </c>
      <c r="I656">
        <v>15234500</v>
      </c>
      <c r="J656" s="38" t="s">
        <v>671</v>
      </c>
      <c r="K656" s="45">
        <f t="shared" si="42"/>
        <v>6.4919097034377149E-3</v>
      </c>
    </row>
    <row r="657" spans="1:11" x14ac:dyDescent="0.25">
      <c r="A657" s="8">
        <v>45341</v>
      </c>
      <c r="B657">
        <v>7558.1</v>
      </c>
      <c r="C657">
        <f t="shared" si="40"/>
        <v>-8.9336408684237423E-3</v>
      </c>
      <c r="D657" s="35">
        <v>12240.95</v>
      </c>
      <c r="E657" s="45">
        <f t="shared" si="43"/>
        <v>3.4675968242388056E-3</v>
      </c>
      <c r="G657">
        <v>785.3</v>
      </c>
      <c r="H657" s="45">
        <f t="shared" si="41"/>
        <v>-1.46226714985076E-3</v>
      </c>
      <c r="I657">
        <v>24866200</v>
      </c>
      <c r="J657" s="38" t="s">
        <v>672</v>
      </c>
      <c r="K657" s="45">
        <f t="shared" si="42"/>
        <v>2.0034204739799666E-2</v>
      </c>
    </row>
    <row r="658" spans="1:11" x14ac:dyDescent="0.25">
      <c r="A658" s="8">
        <v>45342</v>
      </c>
      <c r="B658">
        <v>7436.36</v>
      </c>
      <c r="C658">
        <f t="shared" si="40"/>
        <v>-1.6107222714703551E-2</v>
      </c>
      <c r="D658" s="35">
        <v>12269.1</v>
      </c>
      <c r="E658" s="45">
        <f t="shared" si="43"/>
        <v>2.2996581147705086E-3</v>
      </c>
      <c r="G658">
        <v>797.5</v>
      </c>
      <c r="H658" s="45">
        <f t="shared" si="41"/>
        <v>1.5535464153826561E-2</v>
      </c>
      <c r="I658">
        <v>15617200</v>
      </c>
      <c r="J658" s="38" t="s">
        <v>673</v>
      </c>
      <c r="K658" s="45">
        <f t="shared" si="42"/>
        <v>4.7904191616765512E-3</v>
      </c>
    </row>
    <row r="659" spans="1:11" x14ac:dyDescent="0.25">
      <c r="A659" s="8">
        <v>45343</v>
      </c>
      <c r="B659">
        <v>7399.66</v>
      </c>
      <c r="C659">
        <f t="shared" si="40"/>
        <v>-4.9352102372666184E-3</v>
      </c>
      <c r="D659" s="35">
        <v>12181.8</v>
      </c>
      <c r="E659" s="45">
        <f t="shared" si="43"/>
        <v>-7.115436340073944E-3</v>
      </c>
      <c r="G659">
        <v>812.9</v>
      </c>
      <c r="H659" s="45">
        <f t="shared" si="41"/>
        <v>1.9310344827586201E-2</v>
      </c>
      <c r="I659">
        <v>21143300</v>
      </c>
      <c r="J659" s="38" t="s">
        <v>674</v>
      </c>
      <c r="K659" s="45">
        <f t="shared" si="42"/>
        <v>3.0512514898688448E-3</v>
      </c>
    </row>
    <row r="660" spans="1:11" x14ac:dyDescent="0.25">
      <c r="A660" s="8">
        <v>45344</v>
      </c>
      <c r="B660">
        <v>7435.19</v>
      </c>
      <c r="C660">
        <f t="shared" si="40"/>
        <v>4.801571964117235E-3</v>
      </c>
      <c r="D660" s="35">
        <v>12282.4</v>
      </c>
      <c r="E660" s="45">
        <f t="shared" si="43"/>
        <v>8.258221280927236E-3</v>
      </c>
      <c r="G660">
        <v>819.1</v>
      </c>
      <c r="H660" s="45">
        <f t="shared" si="41"/>
        <v>7.6270143929142442E-3</v>
      </c>
      <c r="I660">
        <v>12314500</v>
      </c>
      <c r="J660" s="38" t="s">
        <v>675</v>
      </c>
      <c r="K660" s="45">
        <f t="shared" si="42"/>
        <v>1.0219116878178669E-2</v>
      </c>
    </row>
    <row r="661" spans="1:11" x14ac:dyDescent="0.25">
      <c r="A661" s="8">
        <v>45345</v>
      </c>
      <c r="B661">
        <v>7385.57</v>
      </c>
      <c r="C661">
        <f t="shared" si="40"/>
        <v>-6.6736694018578735E-3</v>
      </c>
      <c r="D661" s="35">
        <v>12292.45</v>
      </c>
      <c r="E661" s="45">
        <f t="shared" si="43"/>
        <v>8.1824399140240089E-4</v>
      </c>
      <c r="G661">
        <v>841.4</v>
      </c>
      <c r="H661" s="45">
        <f t="shared" si="41"/>
        <v>2.7225003052130381E-2</v>
      </c>
      <c r="I661">
        <v>9164900</v>
      </c>
      <c r="J661" s="38" t="s">
        <v>676</v>
      </c>
      <c r="K661" s="45">
        <f t="shared" si="42"/>
        <v>-1.3173990778206912E-3</v>
      </c>
    </row>
    <row r="662" spans="1:11" x14ac:dyDescent="0.25">
      <c r="A662" s="8">
        <v>45348</v>
      </c>
      <c r="B662">
        <v>7380.81</v>
      </c>
      <c r="C662">
        <f t="shared" si="40"/>
        <v>-6.4450001827875969E-4</v>
      </c>
      <c r="D662" s="35">
        <v>12255.15</v>
      </c>
      <c r="E662" s="45">
        <f t="shared" si="43"/>
        <v>-3.0343828935648354E-3</v>
      </c>
      <c r="G662">
        <v>831.95</v>
      </c>
      <c r="H662" s="45">
        <f t="shared" si="41"/>
        <v>-1.1231281198003207E-2</v>
      </c>
      <c r="I662">
        <v>10243200</v>
      </c>
      <c r="J662" s="38" t="s">
        <v>677</v>
      </c>
      <c r="K662" s="45">
        <f t="shared" si="42"/>
        <v>-6.6899086026570576E-3</v>
      </c>
    </row>
    <row r="663" spans="1:11" x14ac:dyDescent="0.25">
      <c r="A663" s="8">
        <v>45349</v>
      </c>
      <c r="B663">
        <v>7322.74</v>
      </c>
      <c r="C663">
        <f t="shared" si="40"/>
        <v>-7.8677001575708783E-3</v>
      </c>
      <c r="D663" s="35">
        <v>12277.55</v>
      </c>
      <c r="E663" s="45">
        <f t="shared" si="43"/>
        <v>1.8278030052671923E-3</v>
      </c>
      <c r="G663">
        <v>821.35</v>
      </c>
      <c r="H663" s="45">
        <f t="shared" si="41"/>
        <v>-1.2741150309513838E-2</v>
      </c>
      <c r="I663">
        <v>9828300</v>
      </c>
      <c r="J663" s="38" t="s">
        <v>678</v>
      </c>
      <c r="K663" s="45">
        <f t="shared" si="42"/>
        <v>5.69151963574277E-3</v>
      </c>
    </row>
    <row r="664" spans="1:11" x14ac:dyDescent="0.25">
      <c r="A664" s="8">
        <v>45350</v>
      </c>
      <c r="B664">
        <v>7293.12</v>
      </c>
      <c r="C664">
        <f t="shared" si="40"/>
        <v>-4.0449340001147416E-3</v>
      </c>
      <c r="D664" s="35">
        <v>12119.45</v>
      </c>
      <c r="E664" s="45">
        <f t="shared" si="43"/>
        <v>-1.2877161974498064E-2</v>
      </c>
      <c r="G664">
        <v>807.15</v>
      </c>
      <c r="H664" s="45">
        <f t="shared" si="41"/>
        <v>-1.7288610214890143E-2</v>
      </c>
      <c r="I664">
        <v>8723300</v>
      </c>
      <c r="J664" s="38" t="s">
        <v>679</v>
      </c>
      <c r="K664" s="45">
        <f t="shared" si="42"/>
        <v>-1.3205055649877395E-2</v>
      </c>
    </row>
    <row r="665" spans="1:11" x14ac:dyDescent="0.25">
      <c r="A665" s="8">
        <v>45351</v>
      </c>
      <c r="B665">
        <v>7362.59</v>
      </c>
      <c r="C665">
        <f t="shared" si="40"/>
        <v>9.5254157342810064E-3</v>
      </c>
      <c r="D665" s="35">
        <v>12160.45</v>
      </c>
      <c r="E665" s="45">
        <f t="shared" si="43"/>
        <v>3.3829918024332883E-3</v>
      </c>
      <c r="G665">
        <v>816.9</v>
      </c>
      <c r="H665" s="45">
        <f t="shared" si="41"/>
        <v>1.2079539119122851E-2</v>
      </c>
      <c r="I665">
        <v>8310100</v>
      </c>
      <c r="J665" s="38" t="s">
        <v>680</v>
      </c>
      <c r="K665" s="45">
        <f t="shared" si="42"/>
        <v>5.7350411011278801E-3</v>
      </c>
    </row>
    <row r="666" spans="1:11" x14ac:dyDescent="0.25">
      <c r="A666" s="8">
        <v>45352</v>
      </c>
      <c r="B666">
        <v>7370.84</v>
      </c>
      <c r="C666">
        <f t="shared" si="40"/>
        <v>1.1205295962426476E-3</v>
      </c>
      <c r="D666" s="35">
        <v>12331.15</v>
      </c>
      <c r="E666" s="45">
        <f t="shared" si="43"/>
        <v>1.4037309474567161E-2</v>
      </c>
      <c r="G666">
        <v>828.6</v>
      </c>
      <c r="H666" s="45">
        <f t="shared" si="41"/>
        <v>1.4322438486962907E-2</v>
      </c>
      <c r="I666">
        <v>8409100</v>
      </c>
      <c r="J666" s="38" t="s">
        <v>681</v>
      </c>
      <c r="K666" s="45">
        <f t="shared" si="42"/>
        <v>3.2978521193689492E-2</v>
      </c>
    </row>
    <row r="667" spans="1:11" x14ac:dyDescent="0.25">
      <c r="A667" s="8">
        <v>45353</v>
      </c>
      <c r="B667">
        <v>7277.91</v>
      </c>
      <c r="C667">
        <f t="shared" si="40"/>
        <v>-1.2607789614209497E-2</v>
      </c>
      <c r="D667" s="35">
        <v>12369.95</v>
      </c>
      <c r="E667" s="45">
        <f t="shared" si="43"/>
        <v>3.1465029620110219E-3</v>
      </c>
      <c r="G667">
        <v>826</v>
      </c>
      <c r="H667" s="45">
        <f t="shared" si="41"/>
        <v>-3.1378228336954583E-3</v>
      </c>
      <c r="I667">
        <v>8032800</v>
      </c>
      <c r="J667" s="38" t="s">
        <v>682</v>
      </c>
      <c r="K667" s="45">
        <f t="shared" si="42"/>
        <v>-2.0701076455975631E-3</v>
      </c>
    </row>
    <row r="668" spans="1:11" x14ac:dyDescent="0.25">
      <c r="A668" s="8">
        <v>45355</v>
      </c>
      <c r="B668">
        <v>7363.07</v>
      </c>
      <c r="C668">
        <f t="shared" si="40"/>
        <v>1.1701161459814591E-2</v>
      </c>
      <c r="D668" s="35">
        <v>12386.95</v>
      </c>
      <c r="E668" s="45">
        <f t="shared" si="43"/>
        <v>1.3742981984568026E-3</v>
      </c>
      <c r="G668">
        <v>834.7</v>
      </c>
      <c r="H668" s="45">
        <f t="shared" si="41"/>
        <v>1.0532687651331862E-2</v>
      </c>
      <c r="I668">
        <v>9548600</v>
      </c>
      <c r="J668" s="38" t="s">
        <v>683</v>
      </c>
      <c r="K668" s="45">
        <f t="shared" si="42"/>
        <v>7.0990642142625404E-3</v>
      </c>
    </row>
    <row r="669" spans="1:11" x14ac:dyDescent="0.25">
      <c r="A669" s="8">
        <v>45356</v>
      </c>
      <c r="B669">
        <v>7234.09</v>
      </c>
      <c r="C669">
        <f t="shared" si="40"/>
        <v>-1.7517149775840735E-2</v>
      </c>
      <c r="D669" s="35">
        <v>12361.55</v>
      </c>
      <c r="E669" s="45">
        <f t="shared" si="43"/>
        <v>-2.0505451301572331E-3</v>
      </c>
      <c r="G669">
        <v>824.8</v>
      </c>
      <c r="H669" s="45">
        <f t="shared" si="41"/>
        <v>-1.1860548700131868E-2</v>
      </c>
      <c r="I669">
        <v>9112000</v>
      </c>
      <c r="J669" s="38" t="s">
        <v>684</v>
      </c>
      <c r="K669" s="45">
        <f t="shared" si="42"/>
        <v>-3.9364672495079134E-3</v>
      </c>
    </row>
    <row r="670" spans="1:11" x14ac:dyDescent="0.25">
      <c r="A670" s="8">
        <v>45357</v>
      </c>
      <c r="B670">
        <v>7254.49</v>
      </c>
      <c r="C670">
        <f t="shared" si="40"/>
        <v>2.8199815042388998E-3</v>
      </c>
      <c r="D670" s="35">
        <v>12391.25</v>
      </c>
      <c r="E670" s="45">
        <f t="shared" si="43"/>
        <v>2.4026113230137813E-3</v>
      </c>
      <c r="G670">
        <v>789.4</v>
      </c>
      <c r="H670" s="45">
        <f t="shared" si="41"/>
        <v>-4.2919495635305505E-2</v>
      </c>
      <c r="I670">
        <v>10659000</v>
      </c>
      <c r="J670" s="38" t="s">
        <v>685</v>
      </c>
      <c r="K670" s="45">
        <f t="shared" si="42"/>
        <v>8.3176324617435515E-3</v>
      </c>
    </row>
    <row r="671" spans="1:11" x14ac:dyDescent="0.25">
      <c r="A671" s="8">
        <v>45358</v>
      </c>
      <c r="B671">
        <v>7374.53</v>
      </c>
      <c r="C671">
        <f t="shared" si="40"/>
        <v>1.6546993654964037E-2</v>
      </c>
      <c r="D671" s="35">
        <v>12417.25</v>
      </c>
      <c r="E671" s="45">
        <f t="shared" si="43"/>
        <v>2.0982548169070636E-3</v>
      </c>
      <c r="G671">
        <v>792</v>
      </c>
      <c r="H671" s="45">
        <f t="shared" si="41"/>
        <v>3.2936407398023171E-3</v>
      </c>
      <c r="I671">
        <v>8230200</v>
      </c>
      <c r="J671" s="38" t="s">
        <v>686</v>
      </c>
      <c r="K671" s="45">
        <f t="shared" si="42"/>
        <v>-8.3401695378724217E-3</v>
      </c>
    </row>
    <row r="672" spans="1:11" x14ac:dyDescent="0.25">
      <c r="A672" s="8">
        <v>45362</v>
      </c>
      <c r="B672">
        <v>7361.84</v>
      </c>
      <c r="C672">
        <f t="shared" si="40"/>
        <v>-1.7207876298557245E-3</v>
      </c>
      <c r="D672" s="35">
        <v>12345.7</v>
      </c>
      <c r="E672" s="45">
        <f t="shared" si="43"/>
        <v>-5.7621454025649221E-3</v>
      </c>
      <c r="G672">
        <v>772.4</v>
      </c>
      <c r="H672" s="45">
        <f t="shared" si="41"/>
        <v>-2.474747474747474E-2</v>
      </c>
      <c r="I672">
        <v>7570700</v>
      </c>
      <c r="J672" s="38" t="s">
        <v>687</v>
      </c>
      <c r="K672" s="45">
        <f t="shared" si="42"/>
        <v>-8.50222896272812E-3</v>
      </c>
    </row>
    <row r="673" spans="1:11" x14ac:dyDescent="0.25">
      <c r="A673" s="8">
        <v>45363</v>
      </c>
      <c r="B673">
        <v>7334.77</v>
      </c>
      <c r="C673">
        <f t="shared" si="40"/>
        <v>-3.6770698629690068E-3</v>
      </c>
      <c r="D673" s="35">
        <v>12293.65</v>
      </c>
      <c r="E673" s="45">
        <f t="shared" si="43"/>
        <v>-4.2160428327272514E-3</v>
      </c>
      <c r="G673">
        <v>753.6</v>
      </c>
      <c r="H673" s="45">
        <f t="shared" si="41"/>
        <v>-2.4339720352149041E-2</v>
      </c>
      <c r="I673">
        <v>7635500</v>
      </c>
      <c r="J673" s="38" t="s">
        <v>688</v>
      </c>
      <c r="K673" s="45">
        <f t="shared" si="42"/>
        <v>-1.7150273477335443E-3</v>
      </c>
    </row>
    <row r="674" spans="1:11" x14ac:dyDescent="0.25">
      <c r="A674" s="8">
        <v>45364</v>
      </c>
      <c r="B674">
        <v>7263.32</v>
      </c>
      <c r="C674">
        <f t="shared" si="40"/>
        <v>-9.7412734141630875E-3</v>
      </c>
      <c r="D674" s="35">
        <v>12008.8</v>
      </c>
      <c r="E674" s="45">
        <f t="shared" si="43"/>
        <v>-2.3170498590735944E-2</v>
      </c>
      <c r="G674">
        <v>751.7</v>
      </c>
      <c r="H674" s="45">
        <f t="shared" si="41"/>
        <v>-2.5212314225052657E-3</v>
      </c>
      <c r="I674">
        <v>7239000</v>
      </c>
      <c r="J674" s="38" t="s">
        <v>689</v>
      </c>
      <c r="K674" s="45">
        <f t="shared" si="42"/>
        <v>6.5933045456656458E-3</v>
      </c>
    </row>
    <row r="675" spans="1:11" x14ac:dyDescent="0.25">
      <c r="A675" s="8">
        <v>45365</v>
      </c>
      <c r="B675">
        <v>7369.55</v>
      </c>
      <c r="C675">
        <f t="shared" si="40"/>
        <v>1.4625543140051711E-2</v>
      </c>
      <c r="D675" s="35">
        <v>12147.85</v>
      </c>
      <c r="E675" s="45">
        <f t="shared" si="43"/>
        <v>1.1579008726933626E-2</v>
      </c>
      <c r="G675">
        <v>740.7</v>
      </c>
      <c r="H675" s="45">
        <f t="shared" si="41"/>
        <v>-1.4633497405880047E-2</v>
      </c>
      <c r="I675">
        <v>8209600</v>
      </c>
      <c r="J675" s="38" t="s">
        <v>690</v>
      </c>
      <c r="K675" s="45">
        <f t="shared" si="42"/>
        <v>-3.2289312237665513E-4</v>
      </c>
    </row>
    <row r="676" spans="1:11" x14ac:dyDescent="0.25">
      <c r="A676" s="8">
        <v>45366</v>
      </c>
      <c r="B676">
        <v>7433.12</v>
      </c>
      <c r="C676">
        <f t="shared" si="40"/>
        <v>8.6260355109877285E-3</v>
      </c>
      <c r="D676" s="35">
        <v>12080.65</v>
      </c>
      <c r="E676" s="45">
        <f t="shared" si="43"/>
        <v>-5.5318430833439791E-3</v>
      </c>
      <c r="G676">
        <v>726.85</v>
      </c>
      <c r="H676" s="45">
        <f t="shared" si="41"/>
        <v>-1.8698528419063054E-2</v>
      </c>
      <c r="I676">
        <v>11326500</v>
      </c>
      <c r="J676" s="38" t="s">
        <v>691</v>
      </c>
      <c r="K676" s="45">
        <f t="shared" si="42"/>
        <v>-2.9992617201919369E-3</v>
      </c>
    </row>
    <row r="677" spans="1:11" x14ac:dyDescent="0.25">
      <c r="A677" s="8">
        <v>45369</v>
      </c>
      <c r="B677">
        <v>7425.18</v>
      </c>
      <c r="C677">
        <f t="shared" si="40"/>
        <v>-1.068192091611575E-3</v>
      </c>
      <c r="D677" s="35">
        <v>12094.45</v>
      </c>
      <c r="E677" s="45">
        <f t="shared" si="43"/>
        <v>1.1423226399243092E-3</v>
      </c>
      <c r="G677">
        <v>721.85</v>
      </c>
      <c r="H677" s="45">
        <f t="shared" si="41"/>
        <v>-6.8789984178303509E-3</v>
      </c>
      <c r="I677">
        <v>10816800</v>
      </c>
      <c r="J677" s="38" t="s">
        <v>692</v>
      </c>
      <c r="K677" s="45">
        <f t="shared" si="42"/>
        <v>7.8678206136917339E-4</v>
      </c>
    </row>
    <row r="678" spans="1:11" x14ac:dyDescent="0.25">
      <c r="A678" s="8">
        <v>45370</v>
      </c>
      <c r="B678">
        <v>7509.82</v>
      </c>
      <c r="C678">
        <f t="shared" si="40"/>
        <v>1.1399050258714238E-2</v>
      </c>
      <c r="D678" s="35">
        <v>11950.45</v>
      </c>
      <c r="E678" s="45">
        <f t="shared" si="43"/>
        <v>-1.1906287594723231E-2</v>
      </c>
      <c r="G678">
        <v>714.05</v>
      </c>
      <c r="H678" s="45">
        <f t="shared" si="41"/>
        <v>-1.0805569024035511E-2</v>
      </c>
      <c r="I678">
        <v>10573600</v>
      </c>
      <c r="J678" s="38" t="s">
        <v>689</v>
      </c>
      <c r="K678" s="45">
        <f t="shared" si="42"/>
        <v>2.543470218276056E-3</v>
      </c>
    </row>
    <row r="679" spans="1:11" x14ac:dyDescent="0.25">
      <c r="A679" s="8">
        <v>45371</v>
      </c>
      <c r="B679">
        <v>7534.81</v>
      </c>
      <c r="C679">
        <f t="shared" si="40"/>
        <v>3.3276430060906748E-3</v>
      </c>
      <c r="D679" s="35">
        <v>11965.25</v>
      </c>
      <c r="E679" s="45">
        <f t="shared" si="43"/>
        <v>1.2384470877664366E-3</v>
      </c>
      <c r="G679">
        <v>724.05</v>
      </c>
      <c r="H679" s="45">
        <f t="shared" si="41"/>
        <v>1.4004621525103289E-2</v>
      </c>
      <c r="I679">
        <v>8328300</v>
      </c>
      <c r="J679" s="38" t="s">
        <v>693</v>
      </c>
      <c r="K679" s="45">
        <f t="shared" si="42"/>
        <v>5.0740347802014085E-4</v>
      </c>
    </row>
    <row r="680" spans="1:11" x14ac:dyDescent="0.25">
      <c r="A680" s="8">
        <v>45372</v>
      </c>
      <c r="B680">
        <v>7507.56</v>
      </c>
      <c r="C680">
        <f t="shared" si="40"/>
        <v>-3.6165477298033544E-3</v>
      </c>
      <c r="D680" s="35">
        <v>12114.5</v>
      </c>
      <c r="E680" s="45">
        <f t="shared" si="43"/>
        <v>1.2473621529011103E-2</v>
      </c>
      <c r="G680">
        <v>761.55</v>
      </c>
      <c r="H680" s="45">
        <f t="shared" si="41"/>
        <v>5.179200331468814E-2</v>
      </c>
      <c r="I680">
        <v>6069600</v>
      </c>
      <c r="J680" s="38" t="s">
        <v>694</v>
      </c>
      <c r="K680" s="45">
        <f t="shared" si="42"/>
        <v>-2.4896265560165887E-3</v>
      </c>
    </row>
    <row r="681" spans="1:11" x14ac:dyDescent="0.25">
      <c r="A681" s="8">
        <v>45373</v>
      </c>
      <c r="B681">
        <v>7519.42</v>
      </c>
      <c r="C681">
        <f t="shared" si="40"/>
        <v>1.5797409544511254E-3</v>
      </c>
      <c r="D681" s="35">
        <v>12168.75</v>
      </c>
      <c r="E681" s="45">
        <f t="shared" si="43"/>
        <v>4.4781047505055849E-3</v>
      </c>
      <c r="G681">
        <v>751.2</v>
      </c>
      <c r="H681" s="45">
        <f t="shared" si="41"/>
        <v>-1.3590703171163954E-2</v>
      </c>
      <c r="I681">
        <v>7611800</v>
      </c>
      <c r="J681" s="38" t="s">
        <v>695</v>
      </c>
      <c r="K681" s="45">
        <f t="shared" si="42"/>
        <v>7.8572749121834651E-3</v>
      </c>
    </row>
    <row r="682" spans="1:11" x14ac:dyDescent="0.25">
      <c r="A682" s="8">
        <v>45377</v>
      </c>
      <c r="B682">
        <v>7489.72</v>
      </c>
      <c r="C682">
        <f t="shared" si="40"/>
        <v>-3.9497727218322787E-3</v>
      </c>
      <c r="D682" s="35">
        <v>12173.65</v>
      </c>
      <c r="E682" s="45">
        <f t="shared" si="43"/>
        <v>4.0267077555200537E-4</v>
      </c>
      <c r="G682">
        <v>738.05</v>
      </c>
      <c r="H682" s="45">
        <f t="shared" si="41"/>
        <v>-1.7505324813631651E-2</v>
      </c>
      <c r="I682">
        <v>6447900</v>
      </c>
      <c r="J682" s="38" t="s">
        <v>696</v>
      </c>
      <c r="K682" s="45">
        <f t="shared" si="42"/>
        <v>-6.0533798037236686E-3</v>
      </c>
    </row>
    <row r="683" spans="1:11" x14ac:dyDescent="0.25">
      <c r="A683" s="8">
        <v>45378</v>
      </c>
      <c r="B683">
        <v>7500.99</v>
      </c>
      <c r="C683">
        <f t="shared" si="40"/>
        <v>1.5047291487531034E-3</v>
      </c>
      <c r="D683" s="35">
        <v>12219</v>
      </c>
      <c r="E683" s="45">
        <f t="shared" si="43"/>
        <v>3.7252590636334126E-3</v>
      </c>
      <c r="G683">
        <v>741.7</v>
      </c>
      <c r="H683" s="45">
        <f t="shared" si="41"/>
        <v>4.9454643994311098E-3</v>
      </c>
      <c r="I683">
        <v>6077100</v>
      </c>
      <c r="J683" s="38" t="s">
        <v>697</v>
      </c>
      <c r="K683" s="45">
        <f t="shared" si="42"/>
        <v>4.613823013754903E-5</v>
      </c>
    </row>
    <row r="684" spans="1:11" x14ac:dyDescent="0.25">
      <c r="A684" s="8">
        <v>45379</v>
      </c>
      <c r="B684">
        <v>7530.13</v>
      </c>
      <c r="C684">
        <f t="shared" si="40"/>
        <v>3.8848205370225486E-3</v>
      </c>
      <c r="D684" s="35">
        <v>12329.75</v>
      </c>
      <c r="E684" s="45">
        <f t="shared" si="43"/>
        <v>9.0637531712907116E-3</v>
      </c>
      <c r="G684">
        <v>727.65</v>
      </c>
      <c r="H684" s="45">
        <f t="shared" si="41"/>
        <v>-1.894296885533242E-2</v>
      </c>
      <c r="I684">
        <v>7645800</v>
      </c>
      <c r="J684" s="38" t="s">
        <v>698</v>
      </c>
      <c r="K684" s="45">
        <f t="shared" si="42"/>
        <v>8.8119953863898814E-3</v>
      </c>
    </row>
    <row r="685" spans="1:11" x14ac:dyDescent="0.25">
      <c r="A685" s="8">
        <v>45383</v>
      </c>
      <c r="B685">
        <v>7561.4</v>
      </c>
      <c r="C685">
        <f t="shared" si="40"/>
        <v>4.1526507510494248E-3</v>
      </c>
      <c r="D685" s="35">
        <v>12447.2</v>
      </c>
      <c r="E685" s="45">
        <f t="shared" si="43"/>
        <v>9.5257405867921197E-3</v>
      </c>
      <c r="G685">
        <v>724.2</v>
      </c>
      <c r="H685" s="45">
        <f t="shared" si="41"/>
        <v>-4.7412904555760305E-3</v>
      </c>
      <c r="I685">
        <v>7528500</v>
      </c>
      <c r="J685" s="38" t="s">
        <v>699</v>
      </c>
      <c r="K685" s="45">
        <f t="shared" si="42"/>
        <v>5.8081039056070427E-3</v>
      </c>
    </row>
    <row r="686" spans="1:11" x14ac:dyDescent="0.25">
      <c r="A686" s="8">
        <v>45384</v>
      </c>
      <c r="B686">
        <v>7549.17</v>
      </c>
      <c r="C686">
        <f t="shared" si="40"/>
        <v>-1.6174253445128128E-3</v>
      </c>
      <c r="D686" s="35">
        <v>12483.4</v>
      </c>
      <c r="E686" s="45">
        <f t="shared" si="43"/>
        <v>2.9082845941255098E-3</v>
      </c>
      <c r="G686">
        <v>719.9</v>
      </c>
      <c r="H686" s="45">
        <f t="shared" si="41"/>
        <v>-5.9375863021265962E-3</v>
      </c>
      <c r="I686">
        <v>9706700</v>
      </c>
      <c r="J686" s="38" t="s">
        <v>692</v>
      </c>
      <c r="K686" s="45">
        <f t="shared" si="42"/>
        <v>-1.6778065748192628E-2</v>
      </c>
    </row>
    <row r="687" spans="1:11" x14ac:dyDescent="0.25">
      <c r="A687" s="8">
        <v>45385</v>
      </c>
      <c r="B687">
        <v>7509.38</v>
      </c>
      <c r="C687">
        <f t="shared" si="40"/>
        <v>-5.270778112030805E-3</v>
      </c>
      <c r="D687" s="35">
        <v>12492.45</v>
      </c>
      <c r="E687" s="45">
        <f t="shared" si="43"/>
        <v>7.2496275053279824E-4</v>
      </c>
      <c r="G687">
        <v>719.1</v>
      </c>
      <c r="H687" s="45">
        <f t="shared" si="41"/>
        <v>-1.1112654535351263E-3</v>
      </c>
      <c r="I687">
        <v>9660800</v>
      </c>
      <c r="J687" s="38" t="s">
        <v>700</v>
      </c>
      <c r="K687" s="45">
        <f t="shared" si="42"/>
        <v>-3.6995930447650816E-3</v>
      </c>
    </row>
    <row r="688" spans="1:11" x14ac:dyDescent="0.25">
      <c r="A688" s="8">
        <v>45386</v>
      </c>
      <c r="B688">
        <v>7518.98</v>
      </c>
      <c r="C688">
        <f t="shared" si="40"/>
        <v>1.2784011462996236E-3</v>
      </c>
      <c r="D688" s="35">
        <v>12524.45</v>
      </c>
      <c r="E688" s="45">
        <f t="shared" si="43"/>
        <v>2.561547174493306E-3</v>
      </c>
      <c r="G688">
        <v>719.05</v>
      </c>
      <c r="H688" s="45">
        <f t="shared" si="41"/>
        <v>-6.9531358642849206E-5</v>
      </c>
      <c r="I688">
        <v>9990200</v>
      </c>
      <c r="J688" s="38" t="s">
        <v>701</v>
      </c>
      <c r="K688" s="45">
        <f t="shared" si="42"/>
        <v>1.5317489788337912E-3</v>
      </c>
    </row>
    <row r="689" spans="1:11" x14ac:dyDescent="0.25">
      <c r="A689" s="8">
        <v>45387</v>
      </c>
      <c r="B689">
        <v>7601.12</v>
      </c>
      <c r="C689">
        <f t="shared" si="40"/>
        <v>1.0924354101221168E-2</v>
      </c>
      <c r="D689" s="35">
        <v>12551</v>
      </c>
      <c r="E689" s="45">
        <f t="shared" si="43"/>
        <v>2.1198535664239682E-3</v>
      </c>
      <c r="G689">
        <v>719.75</v>
      </c>
      <c r="H689" s="45">
        <f t="shared" si="41"/>
        <v>9.7350671024276636E-4</v>
      </c>
      <c r="I689">
        <v>8009500</v>
      </c>
      <c r="J689" s="38" t="s">
        <v>702</v>
      </c>
      <c r="K689" s="45">
        <f t="shared" si="42"/>
        <v>4.2174537702184267E-3</v>
      </c>
    </row>
    <row r="690" spans="1:11" x14ac:dyDescent="0.25">
      <c r="A690" s="67">
        <v>45390</v>
      </c>
      <c r="B690">
        <v>7634.58</v>
      </c>
      <c r="C690">
        <f t="shared" si="40"/>
        <v>4.4019828656829407E-3</v>
      </c>
      <c r="D690" s="35">
        <v>12615.6</v>
      </c>
      <c r="E690" s="45">
        <f t="shared" si="43"/>
        <v>5.1470002390248126E-3</v>
      </c>
      <c r="G690">
        <v>718.75</v>
      </c>
      <c r="H690" s="45">
        <f t="shared" si="41"/>
        <v>-1.3893713094824678E-3</v>
      </c>
      <c r="I690">
        <v>11973800</v>
      </c>
      <c r="J690" s="38" t="s">
        <v>703</v>
      </c>
      <c r="K690" s="45">
        <f t="shared" si="42"/>
        <v>3.4613254568949259E-3</v>
      </c>
    </row>
    <row r="691" spans="1:11" x14ac:dyDescent="0.25">
      <c r="A691" s="8">
        <v>45391</v>
      </c>
      <c r="B691">
        <v>7676.64</v>
      </c>
      <c r="C691">
        <f t="shared" si="40"/>
        <v>5.5091439214731697E-3</v>
      </c>
      <c r="D691" s="35">
        <v>12595.6</v>
      </c>
      <c r="E691" s="45">
        <f t="shared" si="43"/>
        <v>-1.5853387868988156E-3</v>
      </c>
      <c r="G691">
        <v>728.7</v>
      </c>
      <c r="H691" s="45">
        <f t="shared" si="41"/>
        <v>1.3843478260869624E-2</v>
      </c>
      <c r="I691">
        <v>5644200</v>
      </c>
      <c r="J691" s="38" t="s">
        <v>704</v>
      </c>
      <c r="K691" s="45">
        <f t="shared" si="42"/>
        <v>1.8304741755967413E-2</v>
      </c>
    </row>
    <row r="692" spans="1:11" x14ac:dyDescent="0.25">
      <c r="A692" s="8">
        <v>45392</v>
      </c>
      <c r="B692">
        <v>7715.35</v>
      </c>
      <c r="C692">
        <f t="shared" si="40"/>
        <v>5.0425707080181681E-3</v>
      </c>
      <c r="D692" s="35">
        <v>12671.8</v>
      </c>
      <c r="E692" s="45">
        <f t="shared" si="43"/>
        <v>6.0497316523229205E-3</v>
      </c>
      <c r="G692">
        <v>731.85</v>
      </c>
      <c r="H692" s="45">
        <f t="shared" si="41"/>
        <v>4.3227665706051521E-3</v>
      </c>
      <c r="I692">
        <v>6845700</v>
      </c>
      <c r="J692" s="38" t="s">
        <v>705</v>
      </c>
      <c r="K692" s="45">
        <f t="shared" si="42"/>
        <v>2.122758682986392E-3</v>
      </c>
    </row>
    <row r="693" spans="1:11" x14ac:dyDescent="0.25">
      <c r="A693" s="8">
        <v>45394</v>
      </c>
      <c r="B693">
        <v>7743.34</v>
      </c>
      <c r="C693">
        <f t="shared" si="40"/>
        <v>3.6278328267673743E-3</v>
      </c>
      <c r="D693" s="35">
        <v>12559.3</v>
      </c>
      <c r="E693" s="45">
        <f t="shared" si="43"/>
        <v>-8.8779810287409333E-3</v>
      </c>
      <c r="G693">
        <v>732</v>
      </c>
      <c r="H693" s="45">
        <f t="shared" si="41"/>
        <v>2.0496003279357744E-4</v>
      </c>
      <c r="I693">
        <v>8448500</v>
      </c>
      <c r="J693" s="38" t="s">
        <v>706</v>
      </c>
      <c r="K693" s="45">
        <f t="shared" si="42"/>
        <v>-4.5069406886605323E-3</v>
      </c>
    </row>
    <row r="694" spans="1:11" x14ac:dyDescent="0.25">
      <c r="A694" s="8">
        <v>45397</v>
      </c>
      <c r="B694">
        <v>7747.52</v>
      </c>
      <c r="C694">
        <f t="shared" si="40"/>
        <v>5.3981873455133389E-4</v>
      </c>
      <c r="D694" s="35">
        <v>12397.4</v>
      </c>
      <c r="E694" s="45">
        <f t="shared" si="43"/>
        <v>-1.2890845827394859E-2</v>
      </c>
      <c r="G694">
        <v>720.55</v>
      </c>
      <c r="H694" s="45">
        <f t="shared" si="41"/>
        <v>-1.5642076502732305E-2</v>
      </c>
      <c r="I694">
        <v>2326800</v>
      </c>
      <c r="J694" s="38" t="s">
        <v>707</v>
      </c>
      <c r="K694" s="45">
        <f t="shared" si="42"/>
        <v>-2.3587468308584048E-2</v>
      </c>
    </row>
    <row r="695" spans="1:11" x14ac:dyDescent="0.25">
      <c r="A695" s="8">
        <v>45398</v>
      </c>
      <c r="B695">
        <v>7687.42</v>
      </c>
      <c r="C695">
        <f t="shared" si="40"/>
        <v>-7.7573210524142233E-3</v>
      </c>
      <c r="D695" s="35">
        <v>12351.45</v>
      </c>
      <c r="E695" s="45">
        <f t="shared" si="43"/>
        <v>-3.7064223143561392E-3</v>
      </c>
      <c r="G695">
        <v>712.35</v>
      </c>
      <c r="H695" s="45">
        <f t="shared" si="41"/>
        <v>-1.1380195683852512E-2</v>
      </c>
      <c r="I695">
        <v>5787100</v>
      </c>
      <c r="J695" s="38" t="s">
        <v>708</v>
      </c>
      <c r="K695" s="45">
        <f t="shared" si="42"/>
        <v>-1.0478972504288864E-2</v>
      </c>
    </row>
    <row r="696" spans="1:11" x14ac:dyDescent="0.25">
      <c r="A696" s="8">
        <v>45400</v>
      </c>
      <c r="B696">
        <v>7692.99</v>
      </c>
      <c r="C696">
        <f t="shared" si="40"/>
        <v>7.2456038566892644E-4</v>
      </c>
      <c r="D696" s="35">
        <v>12282.7</v>
      </c>
      <c r="E696" s="45">
        <f t="shared" si="43"/>
        <v>-5.5661481040687466E-3</v>
      </c>
      <c r="G696">
        <v>703.55</v>
      </c>
      <c r="H696" s="45">
        <f t="shared" si="41"/>
        <v>-1.2353477925177381E-2</v>
      </c>
      <c r="I696">
        <v>6821700</v>
      </c>
      <c r="J696" s="38" t="s">
        <v>709</v>
      </c>
      <c r="K696" s="45">
        <f t="shared" si="42"/>
        <v>-1.0871093200880866E-2</v>
      </c>
    </row>
    <row r="697" spans="1:11" x14ac:dyDescent="0.25">
      <c r="A697" s="8">
        <v>45401</v>
      </c>
      <c r="B697">
        <v>7645.28</v>
      </c>
      <c r="C697">
        <f t="shared" si="40"/>
        <v>-6.2017499047835045E-3</v>
      </c>
      <c r="D697" s="35">
        <v>12325.85</v>
      </c>
      <c r="E697" s="45">
        <f t="shared" si="43"/>
        <v>3.5130712302668954E-3</v>
      </c>
      <c r="G697">
        <v>710.65</v>
      </c>
      <c r="H697" s="45">
        <f t="shared" si="41"/>
        <v>1.0091677919124464E-2</v>
      </c>
      <c r="I697">
        <v>8624300</v>
      </c>
      <c r="J697" s="38" t="s">
        <v>710</v>
      </c>
      <c r="K697" s="45">
        <f t="shared" si="42"/>
        <v>1.1180065374958525E-2</v>
      </c>
    </row>
    <row r="698" spans="1:11" x14ac:dyDescent="0.25">
      <c r="A698" s="8">
        <v>45404</v>
      </c>
      <c r="B698">
        <v>7756.54</v>
      </c>
      <c r="C698">
        <f t="shared" si="40"/>
        <v>1.4552769813531929E-2</v>
      </c>
      <c r="D698" s="35">
        <v>12441.4</v>
      </c>
      <c r="E698" s="45">
        <f t="shared" si="43"/>
        <v>9.3746070250733116E-3</v>
      </c>
      <c r="G698">
        <v>723.15</v>
      </c>
      <c r="H698" s="45">
        <f t="shared" si="41"/>
        <v>1.7589530711320522E-2</v>
      </c>
      <c r="I698">
        <v>6894300</v>
      </c>
      <c r="J698" s="38" t="s">
        <v>711</v>
      </c>
      <c r="K698" s="45">
        <f t="shared" si="42"/>
        <v>1.8177559147341427E-2</v>
      </c>
    </row>
    <row r="699" spans="1:11" x14ac:dyDescent="0.25">
      <c r="A699" s="8">
        <v>45405</v>
      </c>
      <c r="B699">
        <v>7760.85</v>
      </c>
      <c r="C699">
        <f t="shared" si="40"/>
        <v>5.5566012680907662E-4</v>
      </c>
      <c r="D699" s="35">
        <v>12478.35</v>
      </c>
      <c r="E699" s="45">
        <f t="shared" si="43"/>
        <v>2.9699229990194365E-3</v>
      </c>
      <c r="G699">
        <v>723.85</v>
      </c>
      <c r="H699" s="45">
        <f t="shared" si="41"/>
        <v>9.679872778816101E-4</v>
      </c>
      <c r="I699">
        <v>15060900</v>
      </c>
      <c r="J699" s="38" t="s">
        <v>712</v>
      </c>
      <c r="K699" s="45">
        <f t="shared" si="42"/>
        <v>3.3129342474575996E-3</v>
      </c>
    </row>
    <row r="700" spans="1:11" x14ac:dyDescent="0.25">
      <c r="A700" s="8">
        <v>45406</v>
      </c>
      <c r="B700">
        <v>7759.24</v>
      </c>
      <c r="C700">
        <f t="shared" si="40"/>
        <v>-2.0745150337919682E-4</v>
      </c>
      <c r="D700" s="35">
        <v>12516.55</v>
      </c>
      <c r="E700" s="45">
        <f t="shared" si="43"/>
        <v>3.0613021753675973E-3</v>
      </c>
      <c r="G700">
        <v>732.6</v>
      </c>
      <c r="H700" s="45">
        <f t="shared" si="41"/>
        <v>1.2088139807971299E-2</v>
      </c>
      <c r="I700">
        <v>6158800</v>
      </c>
      <c r="J700" s="38" t="s">
        <v>713</v>
      </c>
      <c r="K700" s="45">
        <f t="shared" si="42"/>
        <v>5.9619353359321448E-3</v>
      </c>
    </row>
    <row r="701" spans="1:11" x14ac:dyDescent="0.25">
      <c r="A701" s="8">
        <v>45407</v>
      </c>
      <c r="B701">
        <v>7775.85</v>
      </c>
      <c r="C701">
        <f t="shared" si="40"/>
        <v>2.1406735711231306E-3</v>
      </c>
      <c r="D701" s="35">
        <v>12599.7</v>
      </c>
      <c r="E701" s="45">
        <f t="shared" si="43"/>
        <v>6.6432043973780885E-3</v>
      </c>
      <c r="G701">
        <v>741.25</v>
      </c>
      <c r="H701" s="45">
        <f t="shared" si="41"/>
        <v>1.1807261807261771E-2</v>
      </c>
      <c r="I701">
        <v>6015500</v>
      </c>
      <c r="J701" s="38" t="s">
        <v>714</v>
      </c>
      <c r="K701" s="45">
        <f t="shared" si="42"/>
        <v>1.5500341919306937E-2</v>
      </c>
    </row>
    <row r="702" spans="1:11" x14ac:dyDescent="0.25">
      <c r="A702" s="8">
        <v>45408</v>
      </c>
      <c r="B702">
        <v>7731.28</v>
      </c>
      <c r="C702">
        <f t="shared" si="40"/>
        <v>-5.7318492512072883E-3</v>
      </c>
      <c r="D702" s="35">
        <v>12570.3</v>
      </c>
      <c r="E702" s="45">
        <f t="shared" si="43"/>
        <v>-2.3333888902118405E-3</v>
      </c>
      <c r="G702">
        <v>729.35</v>
      </c>
      <c r="H702" s="45">
        <f t="shared" si="41"/>
        <v>-1.6053962900505869E-2</v>
      </c>
      <c r="I702">
        <v>6839200</v>
      </c>
      <c r="J702" s="38" t="s">
        <v>715</v>
      </c>
      <c r="K702" s="45">
        <f t="shared" si="42"/>
        <v>-5.2525252525251753E-3</v>
      </c>
    </row>
    <row r="703" spans="1:11" x14ac:dyDescent="0.25">
      <c r="A703" s="8">
        <v>45411</v>
      </c>
      <c r="B703">
        <v>7743.43</v>
      </c>
      <c r="C703">
        <f t="shared" si="40"/>
        <v>1.571537960079139E-3</v>
      </c>
      <c r="D703" s="35">
        <v>12675.2</v>
      </c>
      <c r="E703" s="45">
        <f t="shared" si="43"/>
        <v>8.3450673412728271E-3</v>
      </c>
      <c r="G703">
        <v>759.65</v>
      </c>
      <c r="H703" s="45">
        <f t="shared" si="41"/>
        <v>4.1543840405840804E-2</v>
      </c>
      <c r="I703">
        <v>5414100</v>
      </c>
      <c r="J703" s="38" t="s">
        <v>716</v>
      </c>
      <c r="K703" s="45">
        <f t="shared" si="42"/>
        <v>4.716129614586162E-2</v>
      </c>
    </row>
    <row r="704" spans="1:11" x14ac:dyDescent="0.25">
      <c r="A704" s="8">
        <v>45412</v>
      </c>
      <c r="B704">
        <v>7762.6</v>
      </c>
      <c r="C704">
        <f t="shared" si="40"/>
        <v>2.4756470969582445E-3</v>
      </c>
      <c r="D704" s="35">
        <v>12673.15</v>
      </c>
      <c r="E704" s="45">
        <f t="shared" si="43"/>
        <v>-1.6173314819500906E-4</v>
      </c>
      <c r="G704">
        <v>756.25</v>
      </c>
      <c r="H704" s="45">
        <f t="shared" si="41"/>
        <v>-4.47574540906992E-3</v>
      </c>
      <c r="I704">
        <v>5289200</v>
      </c>
      <c r="J704" s="38" t="s">
        <v>717</v>
      </c>
      <c r="K704" s="45">
        <f t="shared" si="42"/>
        <v>-8.4040856785760898E-3</v>
      </c>
    </row>
    <row r="705" spans="1:11" x14ac:dyDescent="0.25">
      <c r="A705" s="8">
        <v>45414</v>
      </c>
      <c r="B705">
        <v>7790.99</v>
      </c>
      <c r="C705">
        <f t="shared" si="40"/>
        <v>3.6572797773941623E-3</v>
      </c>
      <c r="D705" s="35">
        <v>12730.55</v>
      </c>
      <c r="E705" s="45">
        <f t="shared" si="43"/>
        <v>4.5292606810460878E-3</v>
      </c>
      <c r="G705">
        <v>748.9</v>
      </c>
      <c r="H705" s="45">
        <f t="shared" si="41"/>
        <v>-9.719008264462814E-3</v>
      </c>
      <c r="I705">
        <v>6006100</v>
      </c>
      <c r="J705" s="38" t="s">
        <v>718</v>
      </c>
      <c r="K705" s="45">
        <f t="shared" si="42"/>
        <v>-9.5184283727399732E-3</v>
      </c>
    </row>
    <row r="706" spans="1:11" x14ac:dyDescent="0.25">
      <c r="A706" s="8">
        <v>45415</v>
      </c>
      <c r="B706">
        <v>7825</v>
      </c>
      <c r="C706">
        <f t="shared" si="40"/>
        <v>4.3652988901281553E-3</v>
      </c>
      <c r="D706" s="35">
        <v>12651.15</v>
      </c>
      <c r="E706" s="45">
        <f t="shared" si="43"/>
        <v>-6.2369654099783123E-3</v>
      </c>
      <c r="G706">
        <v>751.35</v>
      </c>
      <c r="H706" s="45">
        <f t="shared" si="41"/>
        <v>3.2714648150622416E-3</v>
      </c>
      <c r="I706">
        <v>10105200</v>
      </c>
      <c r="J706" s="38" t="s">
        <v>719</v>
      </c>
      <c r="K706" s="45">
        <f t="shared" si="42"/>
        <v>2.2818026240729594E-3</v>
      </c>
    </row>
    <row r="707" spans="1:11" x14ac:dyDescent="0.25">
      <c r="A707" s="8">
        <v>45418</v>
      </c>
      <c r="B707">
        <v>7852.18</v>
      </c>
      <c r="C707">
        <f t="shared" si="40"/>
        <v>3.4734824281150711E-3</v>
      </c>
      <c r="D707" s="35">
        <v>12601.75</v>
      </c>
      <c r="E707" s="45">
        <f t="shared" si="43"/>
        <v>-3.9047833596155268E-3</v>
      </c>
      <c r="G707">
        <v>751.45</v>
      </c>
      <c r="H707" s="45">
        <f t="shared" si="41"/>
        <v>1.3309376455716837E-4</v>
      </c>
      <c r="I707">
        <v>9403200</v>
      </c>
      <c r="J707" s="38" t="s">
        <v>720</v>
      </c>
      <c r="K707" s="45">
        <f t="shared" si="42"/>
        <v>3.7213782233702641E-3</v>
      </c>
    </row>
    <row r="708" spans="1:11" x14ac:dyDescent="0.25">
      <c r="A708" s="8">
        <v>45419</v>
      </c>
      <c r="B708">
        <v>7815.71</v>
      </c>
      <c r="C708">
        <f t="shared" ref="C708:C771" si="44">B708/B707-1</f>
        <v>-4.6445700429690318E-3</v>
      </c>
      <c r="D708" s="35">
        <v>12475</v>
      </c>
      <c r="E708" s="45">
        <f t="shared" si="43"/>
        <v>-1.0058126847461657E-2</v>
      </c>
      <c r="G708">
        <v>738.2</v>
      </c>
      <c r="H708" s="45">
        <f t="shared" ref="H708:H771" si="45">G708/G707-1</f>
        <v>-1.763257701776566E-2</v>
      </c>
      <c r="I708">
        <v>10430900</v>
      </c>
      <c r="J708" s="38" t="s">
        <v>721</v>
      </c>
      <c r="K708" s="45">
        <f t="shared" ref="K708:K771" si="46">J708/J707-1</f>
        <v>-1.2562156503532984E-2</v>
      </c>
    </row>
    <row r="709" spans="1:11" x14ac:dyDescent="0.25">
      <c r="A709" s="8">
        <v>45420</v>
      </c>
      <c r="B709">
        <v>7814</v>
      </c>
      <c r="C709">
        <f t="shared" si="44"/>
        <v>-2.1879010352221506E-4</v>
      </c>
      <c r="D709" s="35">
        <v>12517.4</v>
      </c>
      <c r="E709" s="45">
        <f t="shared" ref="E709:E772" si="47">D709/D708-1</f>
        <v>3.3987975951903504E-3</v>
      </c>
      <c r="G709">
        <v>734.2</v>
      </c>
      <c r="H709" s="45">
        <f t="shared" si="45"/>
        <v>-5.4185857491194644E-3</v>
      </c>
      <c r="I709">
        <v>18585300</v>
      </c>
      <c r="J709" s="38" t="s">
        <v>722</v>
      </c>
      <c r="K709" s="45">
        <f t="shared" si="46"/>
        <v>-7.8628854139058957E-3</v>
      </c>
    </row>
    <row r="710" spans="1:11" x14ac:dyDescent="0.25">
      <c r="A710" s="8">
        <v>45421</v>
      </c>
      <c r="B710">
        <v>7778.59</v>
      </c>
      <c r="C710">
        <f t="shared" si="44"/>
        <v>-4.5316099308932989E-3</v>
      </c>
      <c r="D710" s="35">
        <v>12309.9</v>
      </c>
      <c r="E710" s="45">
        <f t="shared" si="47"/>
        <v>-1.6576924920510661E-2</v>
      </c>
      <c r="G710">
        <v>725.5</v>
      </c>
      <c r="H710" s="45">
        <f t="shared" si="45"/>
        <v>-1.184963225279223E-2</v>
      </c>
      <c r="I710">
        <v>7062300</v>
      </c>
      <c r="J710" s="38" t="s">
        <v>723</v>
      </c>
      <c r="K710" s="45">
        <f t="shared" si="46"/>
        <v>-6.5004452359750386E-3</v>
      </c>
    </row>
    <row r="711" spans="1:11" x14ac:dyDescent="0.25">
      <c r="A711" s="8">
        <v>45422</v>
      </c>
      <c r="B711">
        <v>7777.27</v>
      </c>
      <c r="C711">
        <f t="shared" si="44"/>
        <v>-1.6969656454446369E-4</v>
      </c>
      <c r="D711" s="35">
        <v>12380.55</v>
      </c>
      <c r="E711" s="45">
        <f t="shared" si="47"/>
        <v>5.7392830161089314E-3</v>
      </c>
      <c r="G711">
        <v>724.05</v>
      </c>
      <c r="H711" s="45">
        <f t="shared" si="45"/>
        <v>-1.9986216402482215E-3</v>
      </c>
      <c r="I711">
        <v>5440300</v>
      </c>
      <c r="J711" s="38" t="s">
        <v>724</v>
      </c>
      <c r="K711" s="45">
        <f t="shared" si="46"/>
        <v>1.2100026888948179E-3</v>
      </c>
    </row>
    <row r="712" spans="1:11" x14ac:dyDescent="0.25">
      <c r="A712" s="8">
        <v>45425</v>
      </c>
      <c r="B712">
        <v>7806.75</v>
      </c>
      <c r="C712">
        <f t="shared" si="44"/>
        <v>3.7905331819518828E-3</v>
      </c>
      <c r="D712" s="35">
        <v>12410</v>
      </c>
      <c r="E712" s="45">
        <f t="shared" si="47"/>
        <v>2.3787311549163803E-3</v>
      </c>
      <c r="G712">
        <v>738.35</v>
      </c>
      <c r="H712" s="45">
        <f t="shared" si="45"/>
        <v>1.9750017264001274E-2</v>
      </c>
      <c r="I712">
        <v>6078300</v>
      </c>
      <c r="J712" s="38" t="s">
        <v>725</v>
      </c>
      <c r="K712" s="45">
        <f t="shared" si="46"/>
        <v>9.8026050758694971E-3</v>
      </c>
    </row>
    <row r="713" spans="1:11" x14ac:dyDescent="0.25">
      <c r="A713" s="8">
        <v>45426</v>
      </c>
      <c r="B713">
        <v>7833.77</v>
      </c>
      <c r="C713">
        <f t="shared" si="44"/>
        <v>3.4611073750281385E-3</v>
      </c>
      <c r="D713" s="35">
        <v>12502.85</v>
      </c>
      <c r="E713" s="45">
        <f t="shared" si="47"/>
        <v>7.4818694601128666E-3</v>
      </c>
      <c r="G713">
        <v>729.7</v>
      </c>
      <c r="H713" s="45">
        <f t="shared" si="45"/>
        <v>-1.1715311166790809E-2</v>
      </c>
      <c r="I713">
        <v>5800000</v>
      </c>
      <c r="J713" s="38" t="s">
        <v>726</v>
      </c>
      <c r="K713" s="45">
        <f t="shared" si="46"/>
        <v>-6.6046099290780758E-3</v>
      </c>
    </row>
    <row r="714" spans="1:11" x14ac:dyDescent="0.25">
      <c r="A714" s="8">
        <v>45427</v>
      </c>
      <c r="B714">
        <v>7841.9</v>
      </c>
      <c r="C714">
        <f t="shared" si="44"/>
        <v>1.037814487788058E-3</v>
      </c>
      <c r="D714" s="35">
        <v>12528.65</v>
      </c>
      <c r="E714" s="45">
        <f t="shared" si="47"/>
        <v>2.0635295152704458E-3</v>
      </c>
      <c r="G714">
        <v>732</v>
      </c>
      <c r="H714" s="45">
        <f t="shared" si="45"/>
        <v>3.1519802658626084E-3</v>
      </c>
      <c r="I714">
        <v>3913000</v>
      </c>
      <c r="J714" s="38" t="s">
        <v>727</v>
      </c>
      <c r="K714" s="45">
        <f t="shared" si="46"/>
        <v>3.3911918254427853E-3</v>
      </c>
    </row>
    <row r="715" spans="1:11" x14ac:dyDescent="0.25">
      <c r="A715" s="8">
        <v>45428</v>
      </c>
      <c r="B715">
        <v>7767.85</v>
      </c>
      <c r="C715">
        <f t="shared" si="44"/>
        <v>-9.4428646118924764E-3</v>
      </c>
      <c r="D715" s="35">
        <v>12641.7</v>
      </c>
      <c r="E715" s="45">
        <f t="shared" si="47"/>
        <v>9.0233185538746152E-3</v>
      </c>
      <c r="G715">
        <v>732.3</v>
      </c>
      <c r="H715" s="45">
        <f t="shared" si="45"/>
        <v>4.098360655737654E-4</v>
      </c>
      <c r="I715">
        <v>4745300</v>
      </c>
      <c r="J715" s="38" t="s">
        <v>728</v>
      </c>
      <c r="K715" s="45">
        <f t="shared" si="46"/>
        <v>5.9589985324854933E-3</v>
      </c>
    </row>
    <row r="716" spans="1:11" x14ac:dyDescent="0.25">
      <c r="A716" s="8">
        <v>45429</v>
      </c>
      <c r="B716">
        <v>7795.76</v>
      </c>
      <c r="C716">
        <f t="shared" si="44"/>
        <v>3.5930147981744209E-3</v>
      </c>
      <c r="D716" s="35">
        <v>12705.15</v>
      </c>
      <c r="E716" s="45">
        <f t="shared" si="47"/>
        <v>5.0191034433659798E-3</v>
      </c>
      <c r="G716">
        <v>728.85</v>
      </c>
      <c r="H716" s="45">
        <f t="shared" si="45"/>
        <v>-4.7111839410076684E-3</v>
      </c>
      <c r="I716">
        <v>5663000</v>
      </c>
      <c r="J716" s="38" t="s">
        <v>729</v>
      </c>
      <c r="K716" s="45">
        <f t="shared" si="46"/>
        <v>-4.862738163652347E-4</v>
      </c>
    </row>
    <row r="717" spans="1:11" x14ac:dyDescent="0.25">
      <c r="A717" s="8">
        <v>45430</v>
      </c>
      <c r="B717">
        <v>7788.14</v>
      </c>
      <c r="C717">
        <f t="shared" si="44"/>
        <v>-9.7745441111574127E-4</v>
      </c>
      <c r="D717" s="35">
        <v>12744.75</v>
      </c>
      <c r="E717" s="45">
        <f t="shared" si="47"/>
        <v>3.1168463182253969E-3</v>
      </c>
      <c r="G717">
        <v>730.9</v>
      </c>
      <c r="H717" s="45">
        <f t="shared" si="45"/>
        <v>2.8126500651710629E-3</v>
      </c>
      <c r="I717">
        <v>4008100</v>
      </c>
      <c r="J717" s="38" t="s">
        <v>730</v>
      </c>
      <c r="K717" s="45">
        <f t="shared" si="46"/>
        <v>2.211410880141873E-4</v>
      </c>
    </row>
    <row r="718" spans="1:11" x14ac:dyDescent="0.25">
      <c r="A718" s="8">
        <v>45433</v>
      </c>
      <c r="B718">
        <v>7753.95</v>
      </c>
      <c r="C718">
        <f t="shared" si="44"/>
        <v>-4.3900083973837933E-3</v>
      </c>
      <c r="D718" s="35">
        <v>12780.45</v>
      </c>
      <c r="E718" s="45">
        <f t="shared" si="47"/>
        <v>2.801153416112534E-3</v>
      </c>
      <c r="G718">
        <v>721.05</v>
      </c>
      <c r="H718" s="45">
        <f t="shared" si="45"/>
        <v>-1.3476535777808163E-2</v>
      </c>
      <c r="I718">
        <v>5928600</v>
      </c>
      <c r="J718" s="38" t="s">
        <v>731</v>
      </c>
      <c r="K718" s="45">
        <f t="shared" si="46"/>
        <v>-8.6668140614636346E-3</v>
      </c>
    </row>
    <row r="719" spans="1:11" x14ac:dyDescent="0.25">
      <c r="A719" s="8">
        <v>45434</v>
      </c>
      <c r="B719">
        <v>7912.41</v>
      </c>
      <c r="C719">
        <f t="shared" si="44"/>
        <v>2.0436035826901122E-2</v>
      </c>
      <c r="D719" s="35">
        <v>12813.5</v>
      </c>
      <c r="E719" s="45">
        <f t="shared" si="47"/>
        <v>2.585980931813836E-3</v>
      </c>
      <c r="G719">
        <v>717.4</v>
      </c>
      <c r="H719" s="45">
        <f t="shared" si="45"/>
        <v>-5.0620622703002605E-3</v>
      </c>
      <c r="I719">
        <v>9741600</v>
      </c>
      <c r="J719" s="38" t="s">
        <v>732</v>
      </c>
      <c r="K719" s="45">
        <f t="shared" si="46"/>
        <v>-8.7871894375307624E-3</v>
      </c>
    </row>
    <row r="720" spans="1:11" x14ac:dyDescent="0.25">
      <c r="A720" s="8">
        <v>45435</v>
      </c>
      <c r="B720">
        <v>7962.94</v>
      </c>
      <c r="C720">
        <f t="shared" si="44"/>
        <v>6.3861705851946393E-3</v>
      </c>
      <c r="D720" s="35">
        <v>12982.4</v>
      </c>
      <c r="E720" s="45">
        <f t="shared" si="47"/>
        <v>1.3181410231396518E-2</v>
      </c>
      <c r="G720">
        <v>729.95</v>
      </c>
      <c r="H720" s="45">
        <f t="shared" si="45"/>
        <v>1.7493727348759425E-2</v>
      </c>
      <c r="I720">
        <v>6746400</v>
      </c>
      <c r="J720" s="38" t="s">
        <v>733</v>
      </c>
      <c r="K720" s="45">
        <f t="shared" si="46"/>
        <v>2.1060210602106055E-2</v>
      </c>
    </row>
    <row r="721" spans="1:11" x14ac:dyDescent="0.25">
      <c r="A721" s="8">
        <v>45436</v>
      </c>
      <c r="B721">
        <v>7944.06</v>
      </c>
      <c r="C721">
        <f t="shared" si="44"/>
        <v>-2.3709835814409441E-3</v>
      </c>
      <c r="D721" s="35">
        <v>12981.65</v>
      </c>
      <c r="E721" s="45">
        <f t="shared" si="47"/>
        <v>-5.7770520088706867E-5</v>
      </c>
      <c r="G721">
        <v>726.7</v>
      </c>
      <c r="H721" s="45">
        <f t="shared" si="45"/>
        <v>-4.4523597506678225E-3</v>
      </c>
      <c r="I721">
        <v>8936100</v>
      </c>
      <c r="J721" s="38" t="s">
        <v>734</v>
      </c>
      <c r="K721" s="45">
        <f t="shared" si="46"/>
        <v>-2.2476862053767421E-3</v>
      </c>
    </row>
    <row r="722" spans="1:11" x14ac:dyDescent="0.25">
      <c r="A722" s="8">
        <v>45439</v>
      </c>
      <c r="B722">
        <v>8031.66</v>
      </c>
      <c r="C722">
        <f t="shared" si="44"/>
        <v>1.102710704601928E-2</v>
      </c>
      <c r="D722" s="35">
        <v>12985.4</v>
      </c>
      <c r="E722" s="45">
        <f t="shared" si="47"/>
        <v>2.8886928857274619E-4</v>
      </c>
      <c r="G722">
        <v>725.85</v>
      </c>
      <c r="H722" s="45">
        <f t="shared" si="45"/>
        <v>-1.1696711160038564E-3</v>
      </c>
      <c r="I722">
        <v>8826300</v>
      </c>
      <c r="J722" s="38" t="s">
        <v>735</v>
      </c>
      <c r="K722" s="45">
        <f t="shared" si="46"/>
        <v>-1.8993771809709958E-3</v>
      </c>
    </row>
    <row r="723" spans="1:11" x14ac:dyDescent="0.25">
      <c r="A723" s="8">
        <v>45440</v>
      </c>
      <c r="B723">
        <v>8053.42</v>
      </c>
      <c r="C723">
        <f t="shared" si="44"/>
        <v>2.7092780321875676E-3</v>
      </c>
      <c r="D723" s="35">
        <v>12928.1</v>
      </c>
      <c r="E723" s="45">
        <f t="shared" si="47"/>
        <v>-4.412648050887813E-3</v>
      </c>
      <c r="G723">
        <v>724.9</v>
      </c>
      <c r="H723" s="45">
        <f t="shared" si="45"/>
        <v>-1.3088103602673096E-3</v>
      </c>
      <c r="I723">
        <v>7715700</v>
      </c>
      <c r="J723" s="38" t="s">
        <v>736</v>
      </c>
      <c r="K723" s="45">
        <f t="shared" si="46"/>
        <v>-2.5225703664364385E-3</v>
      </c>
    </row>
    <row r="724" spans="1:11" x14ac:dyDescent="0.25">
      <c r="A724" s="8">
        <v>45441</v>
      </c>
      <c r="B724">
        <v>8030.59</v>
      </c>
      <c r="C724">
        <f t="shared" si="44"/>
        <v>-2.8348204862033155E-3</v>
      </c>
      <c r="D724" s="35">
        <v>12836.45</v>
      </c>
      <c r="E724" s="45">
        <f t="shared" si="47"/>
        <v>-7.0892087777786328E-3</v>
      </c>
      <c r="G724">
        <v>710.45</v>
      </c>
      <c r="H724" s="45">
        <f t="shared" si="45"/>
        <v>-1.9933783970202734E-2</v>
      </c>
      <c r="I724">
        <v>8553600</v>
      </c>
      <c r="J724" s="38" t="s">
        <v>737</v>
      </c>
      <c r="K724" s="45">
        <f t="shared" si="46"/>
        <v>-2.2139402812902165E-2</v>
      </c>
    </row>
    <row r="725" spans="1:11" x14ac:dyDescent="0.25">
      <c r="A725" s="8">
        <v>45442</v>
      </c>
      <c r="B725">
        <v>8063.51</v>
      </c>
      <c r="C725">
        <f t="shared" si="44"/>
        <v>4.0993252052463625E-3</v>
      </c>
      <c r="D725" s="35">
        <v>12708.3</v>
      </c>
      <c r="E725" s="45">
        <f t="shared" si="47"/>
        <v>-9.983289772483972E-3</v>
      </c>
      <c r="G725">
        <v>713.25</v>
      </c>
      <c r="H725" s="45">
        <f t="shared" si="45"/>
        <v>3.9411640509534607E-3</v>
      </c>
      <c r="I725">
        <v>8791800</v>
      </c>
      <c r="J725" s="38" t="s">
        <v>738</v>
      </c>
      <c r="K725" s="45">
        <f t="shared" si="46"/>
        <v>1.0617059891107061E-2</v>
      </c>
    </row>
    <row r="726" spans="1:11" x14ac:dyDescent="0.25">
      <c r="A726" s="8">
        <v>45443</v>
      </c>
      <c r="B726">
        <v>8008.09</v>
      </c>
      <c r="C726">
        <f t="shared" si="44"/>
        <v>-6.8729374676784749E-3</v>
      </c>
      <c r="D726" s="35">
        <v>12742.8</v>
      </c>
      <c r="E726" s="45">
        <f t="shared" si="47"/>
        <v>2.7147612190459025E-3</v>
      </c>
      <c r="G726">
        <v>714.75</v>
      </c>
      <c r="H726" s="45">
        <f t="shared" si="45"/>
        <v>2.103049421661396E-3</v>
      </c>
      <c r="I726">
        <v>6612800</v>
      </c>
      <c r="J726" s="38" t="s">
        <v>739</v>
      </c>
      <c r="K726" s="45">
        <f t="shared" si="46"/>
        <v>6.5996228786926459E-3</v>
      </c>
    </row>
    <row r="727" spans="1:11" x14ac:dyDescent="0.25">
      <c r="A727" s="8">
        <v>45446</v>
      </c>
      <c r="B727">
        <v>8025.94</v>
      </c>
      <c r="C727">
        <f t="shared" si="44"/>
        <v>2.2289959278678495E-3</v>
      </c>
      <c r="D727" s="35">
        <v>13183.85</v>
      </c>
      <c r="E727" s="45">
        <f t="shared" si="47"/>
        <v>3.4611702294629287E-2</v>
      </c>
      <c r="G727">
        <v>743.45</v>
      </c>
      <c r="H727" s="45">
        <f t="shared" si="45"/>
        <v>4.0153899965022832E-2</v>
      </c>
      <c r="I727">
        <v>7146800</v>
      </c>
      <c r="J727" s="38" t="s">
        <v>740</v>
      </c>
      <c r="K727" s="45">
        <f t="shared" si="46"/>
        <v>3.4744213014584524E-2</v>
      </c>
    </row>
    <row r="728" spans="1:11" x14ac:dyDescent="0.25">
      <c r="A728" s="8">
        <v>45447</v>
      </c>
      <c r="B728">
        <v>7992.6</v>
      </c>
      <c r="C728">
        <f t="shared" si="44"/>
        <v>-4.1540305559223389E-3</v>
      </c>
      <c r="D728" s="35">
        <v>12288.15</v>
      </c>
      <c r="E728" s="45">
        <f t="shared" si="47"/>
        <v>-6.7939183167284312E-2</v>
      </c>
      <c r="G728">
        <v>687.25</v>
      </c>
      <c r="H728" s="45">
        <f t="shared" si="45"/>
        <v>-7.5593516712623599E-2</v>
      </c>
      <c r="I728">
        <v>5299200</v>
      </c>
      <c r="J728" s="38" t="s">
        <v>741</v>
      </c>
      <c r="K728" s="45">
        <f t="shared" si="46"/>
        <v>-7.6336206896551739E-2</v>
      </c>
    </row>
    <row r="729" spans="1:11" x14ac:dyDescent="0.25">
      <c r="A729" s="8">
        <v>45448</v>
      </c>
      <c r="B729">
        <v>7953.01</v>
      </c>
      <c r="C729">
        <f t="shared" si="44"/>
        <v>-4.953331831944574E-3</v>
      </c>
      <c r="D729" s="35">
        <v>12740.6</v>
      </c>
      <c r="E729" s="45">
        <f t="shared" si="47"/>
        <v>3.6820025797211109E-2</v>
      </c>
      <c r="G729">
        <v>709.05</v>
      </c>
      <c r="H729" s="45">
        <f t="shared" si="45"/>
        <v>3.1720625682066128E-2</v>
      </c>
      <c r="I729">
        <v>6689500</v>
      </c>
      <c r="J729" s="38" t="s">
        <v>742</v>
      </c>
      <c r="K729" s="45">
        <f t="shared" si="46"/>
        <v>3.4719305613887697E-2</v>
      </c>
    </row>
    <row r="730" spans="1:11" x14ac:dyDescent="0.25">
      <c r="A730" s="8">
        <v>45449</v>
      </c>
      <c r="B730">
        <v>8018.22</v>
      </c>
      <c r="C730">
        <f t="shared" si="44"/>
        <v>8.199411292076908E-3</v>
      </c>
      <c r="D730" s="35">
        <v>12902.2</v>
      </c>
      <c r="E730" s="45">
        <f t="shared" si="47"/>
        <v>1.2683861042651179E-2</v>
      </c>
      <c r="G730">
        <v>713.75</v>
      </c>
      <c r="H730" s="45">
        <f t="shared" si="45"/>
        <v>6.6285875467175792E-3</v>
      </c>
      <c r="I730">
        <v>8067300</v>
      </c>
      <c r="J730" s="38" t="s">
        <v>743</v>
      </c>
      <c r="K730" s="45">
        <f t="shared" si="46"/>
        <v>1.5784963694582821E-3</v>
      </c>
    </row>
    <row r="731" spans="1:11" x14ac:dyDescent="0.25">
      <c r="A731" s="8">
        <v>45450</v>
      </c>
      <c r="B731">
        <v>7902.27</v>
      </c>
      <c r="C731">
        <f t="shared" si="44"/>
        <v>-1.4460815492715273E-2</v>
      </c>
      <c r="D731" s="35">
        <v>13142</v>
      </c>
      <c r="E731" s="45">
        <f t="shared" si="47"/>
        <v>1.8585977585217961E-2</v>
      </c>
      <c r="G731">
        <v>717.9</v>
      </c>
      <c r="H731" s="45">
        <f t="shared" si="45"/>
        <v>5.8143607705778422E-3</v>
      </c>
      <c r="I731">
        <v>10493400</v>
      </c>
      <c r="J731" s="38" t="s">
        <v>744</v>
      </c>
      <c r="K731" s="45">
        <f t="shared" si="46"/>
        <v>1.0176512968299578E-2</v>
      </c>
    </row>
    <row r="732" spans="1:11" x14ac:dyDescent="0.25">
      <c r="A732" s="8">
        <v>45453</v>
      </c>
      <c r="B732">
        <v>7953.92</v>
      </c>
      <c r="C732">
        <f t="shared" si="44"/>
        <v>6.536096589967233E-3</v>
      </c>
      <c r="D732" s="35">
        <v>13145.95</v>
      </c>
      <c r="E732" s="45">
        <f t="shared" si="47"/>
        <v>3.0056308020087741E-4</v>
      </c>
      <c r="G732">
        <v>723.7</v>
      </c>
      <c r="H732" s="45">
        <f t="shared" si="45"/>
        <v>8.0791196545479949E-3</v>
      </c>
      <c r="I732">
        <v>9437800</v>
      </c>
      <c r="J732" s="38" t="s">
        <v>745</v>
      </c>
      <c r="K732" s="45">
        <f t="shared" si="46"/>
        <v>1.8721583311045453E-3</v>
      </c>
    </row>
    <row r="733" spans="1:11" x14ac:dyDescent="0.25">
      <c r="A733" s="8">
        <v>45454</v>
      </c>
      <c r="B733">
        <v>7973.02</v>
      </c>
      <c r="C733">
        <f t="shared" si="44"/>
        <v>2.4013316704216692E-3</v>
      </c>
      <c r="D733" s="35">
        <v>13162.7</v>
      </c>
      <c r="E733" s="45">
        <f t="shared" si="47"/>
        <v>1.2741566794336467E-3</v>
      </c>
      <c r="G733">
        <v>719.05</v>
      </c>
      <c r="H733" s="45">
        <f t="shared" si="45"/>
        <v>-6.4253143567778448E-3</v>
      </c>
      <c r="I733">
        <v>8163500</v>
      </c>
      <c r="J733" s="38" t="s">
        <v>746</v>
      </c>
      <c r="K733" s="45">
        <f t="shared" si="46"/>
        <v>-4.983093077059908E-3</v>
      </c>
    </row>
    <row r="734" spans="1:11" x14ac:dyDescent="0.25">
      <c r="A734" s="8">
        <v>45455</v>
      </c>
      <c r="B734">
        <v>7969.49</v>
      </c>
      <c r="C734">
        <f t="shared" si="44"/>
        <v>-4.4274315127779129E-4</v>
      </c>
      <c r="D734" s="35">
        <v>13219.95</v>
      </c>
      <c r="E734" s="45">
        <f t="shared" si="47"/>
        <v>4.3494115948854439E-3</v>
      </c>
      <c r="G734">
        <v>719.45</v>
      </c>
      <c r="H734" s="45">
        <f t="shared" si="45"/>
        <v>5.5628954871012048E-4</v>
      </c>
      <c r="I734">
        <v>8932300</v>
      </c>
      <c r="J734" s="38" t="s">
        <v>747</v>
      </c>
      <c r="K734" s="45">
        <f t="shared" si="46"/>
        <v>1.2072974423178451E-3</v>
      </c>
    </row>
    <row r="735" spans="1:11" x14ac:dyDescent="0.25">
      <c r="A735" s="8">
        <v>45456</v>
      </c>
      <c r="B735">
        <v>8044</v>
      </c>
      <c r="C735">
        <f t="shared" si="44"/>
        <v>9.3494062982699688E-3</v>
      </c>
      <c r="D735" s="35">
        <v>13282.5</v>
      </c>
      <c r="E735" s="45">
        <f t="shared" si="47"/>
        <v>4.731485368704158E-3</v>
      </c>
      <c r="G735">
        <v>717.8</v>
      </c>
      <c r="H735" s="45">
        <f t="shared" si="45"/>
        <v>-2.2934185836404053E-3</v>
      </c>
      <c r="I735">
        <v>7007000</v>
      </c>
      <c r="J735" s="38" t="s">
        <v>748</v>
      </c>
      <c r="K735" s="45">
        <f t="shared" si="46"/>
        <v>-1.0897235496404867E-2</v>
      </c>
    </row>
    <row r="736" spans="1:11" x14ac:dyDescent="0.25">
      <c r="A736" s="8">
        <v>45457</v>
      </c>
      <c r="B736">
        <v>8096.14</v>
      </c>
      <c r="C736">
        <f t="shared" si="44"/>
        <v>6.481849825957342E-3</v>
      </c>
      <c r="D736" s="35">
        <v>13360.6</v>
      </c>
      <c r="E736" s="45">
        <f t="shared" si="47"/>
        <v>5.8799171842649489E-3</v>
      </c>
      <c r="G736">
        <v>714.8</v>
      </c>
      <c r="H736" s="45">
        <f t="shared" si="45"/>
        <v>-4.1794371691279419E-3</v>
      </c>
      <c r="I736">
        <v>11747900</v>
      </c>
      <c r="J736" s="38" t="s">
        <v>749</v>
      </c>
      <c r="K736" s="45">
        <f t="shared" si="46"/>
        <v>-1.5351966406284001E-3</v>
      </c>
    </row>
    <row r="737" spans="1:11" x14ac:dyDescent="0.25">
      <c r="A737" s="8">
        <v>45461</v>
      </c>
      <c r="B737">
        <v>8105.25</v>
      </c>
      <c r="C737">
        <f t="shared" si="44"/>
        <v>1.125227577586374E-3</v>
      </c>
      <c r="D737" s="35">
        <v>13421.9</v>
      </c>
      <c r="E737" s="45">
        <f t="shared" si="47"/>
        <v>4.5881173001212083E-3</v>
      </c>
      <c r="G737">
        <v>723.8</v>
      </c>
      <c r="H737" s="45">
        <f t="shared" si="45"/>
        <v>1.259093452714044E-2</v>
      </c>
      <c r="I737">
        <v>7909700</v>
      </c>
      <c r="J737" s="38" t="s">
        <v>750</v>
      </c>
      <c r="K737" s="45">
        <f t="shared" si="46"/>
        <v>1.5556460000904382E-2</v>
      </c>
    </row>
    <row r="738" spans="1:11" x14ac:dyDescent="0.25">
      <c r="A738" s="8">
        <v>45462</v>
      </c>
      <c r="B738">
        <v>8106.55</v>
      </c>
      <c r="C738">
        <f t="shared" si="44"/>
        <v>1.6038987076272271E-4</v>
      </c>
      <c r="D738" s="35">
        <v>13362.8</v>
      </c>
      <c r="E738" s="45">
        <f t="shared" si="47"/>
        <v>-4.4032514025584835E-3</v>
      </c>
      <c r="G738">
        <v>736.95</v>
      </c>
      <c r="H738" s="45">
        <f t="shared" si="45"/>
        <v>1.8168002210555478E-2</v>
      </c>
      <c r="I738">
        <v>10347600</v>
      </c>
      <c r="J738" s="38" t="s">
        <v>751</v>
      </c>
      <c r="K738" s="45">
        <f t="shared" si="46"/>
        <v>1.9236763592643813E-2</v>
      </c>
    </row>
    <row r="739" spans="1:11" x14ac:dyDescent="0.25">
      <c r="A739" s="8">
        <v>45463</v>
      </c>
      <c r="B739">
        <v>8112.22</v>
      </c>
      <c r="C739">
        <f t="shared" si="44"/>
        <v>6.9943440797870515E-4</v>
      </c>
      <c r="D739" s="35">
        <v>13405.9</v>
      </c>
      <c r="E739" s="45">
        <f t="shared" si="47"/>
        <v>3.2253719280390669E-3</v>
      </c>
      <c r="G739">
        <v>742.7</v>
      </c>
      <c r="H739" s="45">
        <f t="shared" si="45"/>
        <v>7.8024289300495653E-3</v>
      </c>
      <c r="I739">
        <v>10829900</v>
      </c>
      <c r="J739" s="38" t="s">
        <v>752</v>
      </c>
      <c r="K739" s="45">
        <f t="shared" si="46"/>
        <v>1.0791209751408903E-2</v>
      </c>
    </row>
    <row r="740" spans="1:11" x14ac:dyDescent="0.25">
      <c r="A740" s="8">
        <v>45464</v>
      </c>
      <c r="B740">
        <v>8038</v>
      </c>
      <c r="C740">
        <f t="shared" si="44"/>
        <v>-9.1491601559129387E-3</v>
      </c>
      <c r="D740" s="35">
        <v>13361.1</v>
      </c>
      <c r="E740" s="45">
        <f t="shared" si="47"/>
        <v>-3.3418121871712225E-3</v>
      </c>
      <c r="G740">
        <v>741.6</v>
      </c>
      <c r="H740" s="45">
        <f t="shared" si="45"/>
        <v>-1.4810825366904368E-3</v>
      </c>
      <c r="I740">
        <v>9759100</v>
      </c>
      <c r="J740" s="38" t="s">
        <v>753</v>
      </c>
      <c r="K740" s="45">
        <f t="shared" si="46"/>
        <v>1.5992392807746558E-3</v>
      </c>
    </row>
    <row r="741" spans="1:11" x14ac:dyDescent="0.25">
      <c r="A741" s="8">
        <v>45467</v>
      </c>
      <c r="B741">
        <v>8001.4</v>
      </c>
      <c r="C741">
        <f t="shared" si="44"/>
        <v>-4.5533714854442131E-3</v>
      </c>
      <c r="D741" s="35">
        <v>13397.05</v>
      </c>
      <c r="E741" s="45">
        <f t="shared" si="47"/>
        <v>2.6906467281884172E-3</v>
      </c>
      <c r="G741">
        <v>746.7</v>
      </c>
      <c r="H741" s="45">
        <f t="shared" si="45"/>
        <v>6.8770226537218093E-3</v>
      </c>
      <c r="I741">
        <v>7816700</v>
      </c>
      <c r="J741" s="38" t="s">
        <v>754</v>
      </c>
      <c r="K741" s="45">
        <f t="shared" si="46"/>
        <v>9.8821904803001459E-3</v>
      </c>
    </row>
    <row r="742" spans="1:11" x14ac:dyDescent="0.25">
      <c r="A742" s="8">
        <v>45468</v>
      </c>
      <c r="B742">
        <v>8019.87</v>
      </c>
      <c r="C742">
        <f t="shared" si="44"/>
        <v>2.3083460394430766E-3</v>
      </c>
      <c r="D742" s="35">
        <v>13451.05</v>
      </c>
      <c r="E742" s="45">
        <f t="shared" si="47"/>
        <v>4.0307381102555606E-3</v>
      </c>
      <c r="G742">
        <v>759.6</v>
      </c>
      <c r="H742" s="45">
        <f t="shared" si="45"/>
        <v>1.727601446363991E-2</v>
      </c>
      <c r="I742">
        <v>4998800</v>
      </c>
      <c r="J742" s="38" t="s">
        <v>755</v>
      </c>
      <c r="K742" s="45">
        <f t="shared" si="46"/>
        <v>2.3801384497051714E-2</v>
      </c>
    </row>
    <row r="743" spans="1:11" x14ac:dyDescent="0.25">
      <c r="A743" s="8">
        <v>45469</v>
      </c>
      <c r="B743">
        <v>7932.5</v>
      </c>
      <c r="C743">
        <f t="shared" si="44"/>
        <v>-1.0894191551733323E-2</v>
      </c>
      <c r="D743" s="35">
        <v>13496.15</v>
      </c>
      <c r="E743" s="45">
        <f t="shared" si="47"/>
        <v>3.3528981008916769E-3</v>
      </c>
      <c r="G743">
        <v>772.25</v>
      </c>
      <c r="H743" s="45">
        <f t="shared" si="45"/>
        <v>1.6653501843075347E-2</v>
      </c>
      <c r="I743">
        <v>6405700</v>
      </c>
      <c r="J743" s="38" t="s">
        <v>756</v>
      </c>
      <c r="K743" s="45">
        <f t="shared" si="46"/>
        <v>1.6736925581201101E-2</v>
      </c>
    </row>
    <row r="744" spans="1:11" x14ac:dyDescent="0.25">
      <c r="A744" s="8">
        <v>45470</v>
      </c>
      <c r="B744">
        <v>7974.91</v>
      </c>
      <c r="C744">
        <f t="shared" si="44"/>
        <v>5.3463599117553606E-3</v>
      </c>
      <c r="D744" s="35">
        <v>13575.8</v>
      </c>
      <c r="E744" s="45">
        <f t="shared" si="47"/>
        <v>5.9016830725799885E-3</v>
      </c>
      <c r="G744">
        <v>765.35</v>
      </c>
      <c r="H744" s="45">
        <f t="shared" si="45"/>
        <v>-8.9349303981870465E-3</v>
      </c>
      <c r="I744">
        <v>7338000</v>
      </c>
      <c r="J744" s="38" t="s">
        <v>757</v>
      </c>
      <c r="K744" s="45">
        <f t="shared" si="46"/>
        <v>1.5599343185550563E-3</v>
      </c>
    </row>
    <row r="745" spans="1:11" x14ac:dyDescent="0.25">
      <c r="A745" s="8">
        <v>45471</v>
      </c>
      <c r="B745">
        <v>7980.17</v>
      </c>
      <c r="C745">
        <f t="shared" si="44"/>
        <v>6.5956857193372187E-4</v>
      </c>
      <c r="D745" s="35">
        <v>13579.25</v>
      </c>
      <c r="E745" s="45">
        <f t="shared" si="47"/>
        <v>2.5412867013363538E-4</v>
      </c>
      <c r="G745">
        <v>757.55</v>
      </c>
      <c r="H745" s="45">
        <f t="shared" si="45"/>
        <v>-1.0191415692167083E-2</v>
      </c>
      <c r="I745">
        <v>6242200</v>
      </c>
      <c r="J745" s="38" t="s">
        <v>758</v>
      </c>
      <c r="K745" s="45">
        <f t="shared" si="46"/>
        <v>-1.6640708254775149E-2</v>
      </c>
    </row>
    <row r="746" spans="1:11" x14ac:dyDescent="0.25">
      <c r="A746" s="8">
        <v>45474</v>
      </c>
      <c r="B746">
        <v>7980</v>
      </c>
      <c r="C746">
        <f t="shared" si="44"/>
        <v>-2.1302804326217561E-5</v>
      </c>
      <c r="D746" s="35">
        <v>13668.7</v>
      </c>
      <c r="E746" s="45">
        <f t="shared" si="47"/>
        <v>6.5872562917688171E-3</v>
      </c>
      <c r="G746">
        <v>762.95</v>
      </c>
      <c r="H746" s="45">
        <f t="shared" si="45"/>
        <v>7.1282423602403444E-3</v>
      </c>
      <c r="I746">
        <v>5804900</v>
      </c>
      <c r="J746" s="38" t="s">
        <v>759</v>
      </c>
      <c r="K746" s="45">
        <f t="shared" si="46"/>
        <v>1.0211737245748642E-2</v>
      </c>
    </row>
    <row r="747" spans="1:11" x14ac:dyDescent="0.25">
      <c r="A747" s="8">
        <v>45475</v>
      </c>
      <c r="B747">
        <v>7947.8</v>
      </c>
      <c r="C747">
        <f t="shared" si="44"/>
        <v>-4.0350877192981693E-3</v>
      </c>
      <c r="D747" s="35">
        <v>13635.3</v>
      </c>
      <c r="E747" s="45">
        <f t="shared" si="47"/>
        <v>-2.4435388881167697E-3</v>
      </c>
      <c r="G747">
        <v>757.35</v>
      </c>
      <c r="H747" s="45">
        <f t="shared" si="45"/>
        <v>-7.3399305328003539E-3</v>
      </c>
      <c r="I747">
        <v>5198600</v>
      </c>
      <c r="J747" s="38" t="s">
        <v>760</v>
      </c>
      <c r="K747" s="45">
        <f t="shared" si="46"/>
        <v>-1.75351734950695E-2</v>
      </c>
    </row>
    <row r="748" spans="1:11" x14ac:dyDescent="0.25">
      <c r="A748" s="8">
        <v>45476</v>
      </c>
      <c r="B748">
        <v>8021.57</v>
      </c>
      <c r="C748">
        <f t="shared" si="44"/>
        <v>9.2818138352750434E-3</v>
      </c>
      <c r="D748" s="35">
        <v>13737.6</v>
      </c>
      <c r="E748" s="45">
        <f t="shared" si="47"/>
        <v>7.5025852016457062E-3</v>
      </c>
      <c r="G748">
        <v>767.9</v>
      </c>
      <c r="H748" s="45">
        <f t="shared" si="45"/>
        <v>1.3930151185053141E-2</v>
      </c>
      <c r="I748">
        <v>7923000</v>
      </c>
      <c r="J748" s="38" t="s">
        <v>761</v>
      </c>
      <c r="K748" s="45">
        <f t="shared" si="46"/>
        <v>9.2390391399295169E-3</v>
      </c>
    </row>
    <row r="749" spans="1:11" x14ac:dyDescent="0.25">
      <c r="A749" s="8">
        <v>45477</v>
      </c>
      <c r="B749">
        <v>8019.76</v>
      </c>
      <c r="C749">
        <f t="shared" si="44"/>
        <v>-2.256416137986772E-4</v>
      </c>
      <c r="D749" s="35">
        <v>13766.6</v>
      </c>
      <c r="E749" s="45">
        <f t="shared" si="47"/>
        <v>2.110994642441133E-3</v>
      </c>
      <c r="G749">
        <v>780.3</v>
      </c>
      <c r="H749" s="45">
        <f t="shared" si="45"/>
        <v>1.614793592915742E-2</v>
      </c>
      <c r="I749">
        <v>8575200</v>
      </c>
      <c r="J749" s="38" t="s">
        <v>762</v>
      </c>
      <c r="K749" s="45">
        <f t="shared" si="46"/>
        <v>2.6131824234354228E-2</v>
      </c>
    </row>
    <row r="750" spans="1:11" x14ac:dyDescent="0.25">
      <c r="A750" s="8">
        <v>45478</v>
      </c>
      <c r="B750">
        <v>8086.74</v>
      </c>
      <c r="C750">
        <f t="shared" si="44"/>
        <v>8.3518708789289686E-3</v>
      </c>
      <c r="D750" s="35">
        <v>13807.25</v>
      </c>
      <c r="E750" s="45">
        <f t="shared" si="47"/>
        <v>2.9527988028996699E-3</v>
      </c>
      <c r="G750">
        <v>780.6</v>
      </c>
      <c r="H750" s="45">
        <f t="shared" si="45"/>
        <v>3.844675124953234E-4</v>
      </c>
      <c r="I750">
        <v>6998200</v>
      </c>
      <c r="J750" s="38" t="s">
        <v>763</v>
      </c>
      <c r="K750" s="45">
        <f t="shared" si="46"/>
        <v>3.2441200324417885E-4</v>
      </c>
    </row>
    <row r="751" spans="1:11" x14ac:dyDescent="0.25">
      <c r="A751" s="8">
        <v>45481</v>
      </c>
      <c r="B751">
        <v>8092.42</v>
      </c>
      <c r="C751">
        <f t="shared" si="44"/>
        <v>7.0238439717362766E-4</v>
      </c>
      <c r="D751" s="35">
        <v>13800.4</v>
      </c>
      <c r="E751" s="45">
        <f t="shared" si="47"/>
        <v>-4.9611617085232318E-4</v>
      </c>
      <c r="G751">
        <v>780.9</v>
      </c>
      <c r="H751" s="45">
        <f t="shared" si="45"/>
        <v>3.8431975403518948E-4</v>
      </c>
      <c r="I751">
        <v>9137500</v>
      </c>
      <c r="J751" s="38" t="s">
        <v>764</v>
      </c>
      <c r="K751" s="45">
        <f t="shared" si="46"/>
        <v>1.3377655261876953E-3</v>
      </c>
    </row>
    <row r="752" spans="1:11" x14ac:dyDescent="0.25">
      <c r="A752" s="8">
        <v>45482</v>
      </c>
      <c r="B752">
        <v>8082.66</v>
      </c>
      <c r="C752">
        <f t="shared" si="44"/>
        <v>-1.206066911999204E-3</v>
      </c>
      <c r="D752" s="35">
        <v>13863.2</v>
      </c>
      <c r="E752" s="45">
        <f t="shared" si="47"/>
        <v>4.550592736442427E-3</v>
      </c>
      <c r="G752">
        <v>784.65</v>
      </c>
      <c r="H752" s="45">
        <f t="shared" si="45"/>
        <v>4.8021513638110136E-3</v>
      </c>
      <c r="I752">
        <v>6770600</v>
      </c>
      <c r="J752" s="38" t="s">
        <v>765</v>
      </c>
      <c r="K752" s="45">
        <f t="shared" si="46"/>
        <v>1.0687826403789291E-2</v>
      </c>
    </row>
    <row r="753" spans="1:11" x14ac:dyDescent="0.25">
      <c r="A753" s="8">
        <v>45483</v>
      </c>
      <c r="B753">
        <v>8128.2</v>
      </c>
      <c r="C753">
        <f t="shared" si="44"/>
        <v>5.6342837630185549E-3</v>
      </c>
      <c r="D753" s="35">
        <v>13816.35</v>
      </c>
      <c r="E753" s="45">
        <f t="shared" si="47"/>
        <v>-3.3794506318887141E-3</v>
      </c>
      <c r="G753">
        <v>780.4</v>
      </c>
      <c r="H753" s="45">
        <f t="shared" si="45"/>
        <v>-5.4164277066207633E-3</v>
      </c>
      <c r="I753">
        <v>9974000</v>
      </c>
      <c r="J753" s="38" t="s">
        <v>766</v>
      </c>
      <c r="K753" s="45">
        <f t="shared" si="46"/>
        <v>-4.0456639295012309E-3</v>
      </c>
    </row>
    <row r="754" spans="1:11" x14ac:dyDescent="0.25">
      <c r="A754" s="8">
        <v>45484</v>
      </c>
      <c r="B754">
        <v>8107.76</v>
      </c>
      <c r="C754">
        <f t="shared" si="44"/>
        <v>-2.5147019020200778E-3</v>
      </c>
      <c r="D754" s="35">
        <v>13828.9</v>
      </c>
      <c r="E754" s="45">
        <f t="shared" si="47"/>
        <v>9.0834409956319639E-4</v>
      </c>
      <c r="G754">
        <v>784.95</v>
      </c>
      <c r="H754" s="45">
        <f t="shared" si="45"/>
        <v>5.8303434136341981E-3</v>
      </c>
      <c r="I754">
        <v>7110800</v>
      </c>
      <c r="J754" s="38" t="s">
        <v>767</v>
      </c>
      <c r="K754" s="45">
        <f t="shared" si="46"/>
        <v>-3.8207850707850932E-3</v>
      </c>
    </row>
    <row r="755" spans="1:11" x14ac:dyDescent="0.25">
      <c r="A755" s="8">
        <v>45485</v>
      </c>
      <c r="B755">
        <v>8126.03</v>
      </c>
      <c r="C755">
        <f t="shared" si="44"/>
        <v>2.2533967458335802E-3</v>
      </c>
      <c r="D755" s="35">
        <v>13895.3</v>
      </c>
      <c r="E755" s="45">
        <f t="shared" si="47"/>
        <v>4.801538806412653E-3</v>
      </c>
      <c r="G755">
        <v>776.3</v>
      </c>
      <c r="H755" s="45">
        <f t="shared" si="45"/>
        <v>-1.1019810178992451E-2</v>
      </c>
      <c r="I755">
        <v>5610800</v>
      </c>
      <c r="J755" s="38" t="s">
        <v>768</v>
      </c>
      <c r="K755" s="45">
        <f t="shared" si="46"/>
        <v>-4.4814082118777021E-3</v>
      </c>
    </row>
    <row r="756" spans="1:11" x14ac:dyDescent="0.25">
      <c r="A756" s="8">
        <v>45488</v>
      </c>
      <c r="B756">
        <v>8139.67</v>
      </c>
      <c r="C756">
        <f t="shared" si="44"/>
        <v>1.6785564414603105E-3</v>
      </c>
      <c r="D756" s="35">
        <v>13968.65</v>
      </c>
      <c r="E756" s="45">
        <f t="shared" si="47"/>
        <v>5.2787633228501551E-3</v>
      </c>
      <c r="G756">
        <v>771.45</v>
      </c>
      <c r="H756" s="45">
        <f t="shared" si="45"/>
        <v>-6.2475846966377757E-3</v>
      </c>
      <c r="I756">
        <v>6723400</v>
      </c>
      <c r="J756" s="38" t="s">
        <v>769</v>
      </c>
      <c r="K756" s="45">
        <f t="shared" si="46"/>
        <v>-2.3927325817179046E-3</v>
      </c>
    </row>
    <row r="757" spans="1:11" x14ac:dyDescent="0.25">
      <c r="A757" s="8">
        <v>45489</v>
      </c>
      <c r="B757">
        <v>8060.61</v>
      </c>
      <c r="C757">
        <f t="shared" si="44"/>
        <v>-9.712924479739371E-3</v>
      </c>
      <c r="D757" s="35">
        <v>13960.9</v>
      </c>
      <c r="E757" s="45">
        <f t="shared" si="47"/>
        <v>-5.5481381522193285E-4</v>
      </c>
      <c r="G757">
        <v>768.85</v>
      </c>
      <c r="H757" s="45">
        <f t="shared" si="45"/>
        <v>-3.3702767515717547E-3</v>
      </c>
      <c r="I757">
        <v>14467400</v>
      </c>
      <c r="J757" s="38" t="s">
        <v>770</v>
      </c>
      <c r="K757" s="45">
        <f t="shared" si="46"/>
        <v>8.0897597463311932E-3</v>
      </c>
    </row>
    <row r="758" spans="1:11" x14ac:dyDescent="0.25">
      <c r="A758" s="8">
        <v>45491</v>
      </c>
      <c r="B758">
        <v>8130.63</v>
      </c>
      <c r="C758">
        <f t="shared" si="44"/>
        <v>8.6866874839497399E-3</v>
      </c>
      <c r="D758" s="35">
        <v>13987.4</v>
      </c>
      <c r="E758" s="45">
        <f t="shared" si="47"/>
        <v>1.8981584281816399E-3</v>
      </c>
      <c r="G758">
        <v>781.5</v>
      </c>
      <c r="H758" s="45">
        <f t="shared" si="45"/>
        <v>1.6453144306431744E-2</v>
      </c>
      <c r="I758">
        <v>9218800</v>
      </c>
      <c r="J758" s="38" t="s">
        <v>771</v>
      </c>
      <c r="K758" s="45">
        <f t="shared" si="46"/>
        <v>8.3877732075166023E-3</v>
      </c>
    </row>
    <row r="759" spans="1:11" x14ac:dyDescent="0.25">
      <c r="A759" s="8">
        <v>45492</v>
      </c>
      <c r="B759">
        <v>8126.53</v>
      </c>
      <c r="C759">
        <f t="shared" si="44"/>
        <v>-5.042659670899674E-4</v>
      </c>
      <c r="D759" s="35">
        <v>13788.15</v>
      </c>
      <c r="E759" s="45">
        <f t="shared" si="47"/>
        <v>-1.4244963324134607E-2</v>
      </c>
      <c r="G759">
        <v>776.7</v>
      </c>
      <c r="H759" s="45">
        <f t="shared" si="45"/>
        <v>-6.1420345489442418E-3</v>
      </c>
      <c r="I759">
        <v>10876800</v>
      </c>
      <c r="J759" s="38" t="s">
        <v>772</v>
      </c>
      <c r="K759" s="45">
        <f t="shared" si="46"/>
        <v>-1.3196832760136168E-3</v>
      </c>
    </row>
    <row r="760" spans="1:11" x14ac:dyDescent="0.25">
      <c r="A760" s="8">
        <v>45495</v>
      </c>
      <c r="B760">
        <v>8119.91</v>
      </c>
      <c r="C760">
        <f t="shared" si="44"/>
        <v>-8.1461583234165857E-4</v>
      </c>
      <c r="D760" s="35">
        <v>13834.2</v>
      </c>
      <c r="E760" s="45">
        <f t="shared" si="47"/>
        <v>3.3398244144429157E-3</v>
      </c>
      <c r="G760">
        <v>774.6</v>
      </c>
      <c r="H760" s="45">
        <f t="shared" si="45"/>
        <v>-2.7037466203168048E-3</v>
      </c>
      <c r="I760">
        <v>7800900</v>
      </c>
      <c r="J760" s="38" t="s">
        <v>773</v>
      </c>
      <c r="K760" s="45">
        <f t="shared" si="46"/>
        <v>-6.0064870059663988E-3</v>
      </c>
    </row>
    <row r="761" spans="1:11" x14ac:dyDescent="0.25">
      <c r="A761" s="8">
        <v>45496</v>
      </c>
      <c r="B761">
        <v>8067.44</v>
      </c>
      <c r="C761">
        <f t="shared" si="44"/>
        <v>-6.46189428207955E-3</v>
      </c>
      <c r="D761" s="35">
        <v>13788.65</v>
      </c>
      <c r="E761" s="45">
        <f t="shared" si="47"/>
        <v>-3.2925648031690846E-3</v>
      </c>
      <c r="G761">
        <v>777.45</v>
      </c>
      <c r="H761" s="45">
        <f t="shared" si="45"/>
        <v>3.6793183578620603E-3</v>
      </c>
      <c r="I761">
        <v>4631300</v>
      </c>
      <c r="J761" s="38" t="s">
        <v>774</v>
      </c>
      <c r="K761" s="45">
        <f t="shared" si="46"/>
        <v>-1.1602143173669699E-2</v>
      </c>
    </row>
    <row r="762" spans="1:11" x14ac:dyDescent="0.25">
      <c r="A762" s="8">
        <v>45497</v>
      </c>
      <c r="B762">
        <v>8017.36</v>
      </c>
      <c r="C762">
        <f t="shared" si="44"/>
        <v>-6.2076693474013567E-3</v>
      </c>
      <c r="D762" s="35">
        <v>13797.75</v>
      </c>
      <c r="E762" s="45">
        <f t="shared" si="47"/>
        <v>6.5996308558124994E-4</v>
      </c>
      <c r="G762">
        <v>777.45</v>
      </c>
      <c r="H762" s="45">
        <f t="shared" si="45"/>
        <v>0</v>
      </c>
      <c r="I762">
        <v>7366400</v>
      </c>
      <c r="J762" s="38" t="s">
        <v>775</v>
      </c>
      <c r="K762" s="45">
        <f t="shared" si="46"/>
        <v>-3.0568575504381634E-3</v>
      </c>
    </row>
    <row r="763" spans="1:11" x14ac:dyDescent="0.25">
      <c r="A763" s="8">
        <v>45498</v>
      </c>
      <c r="B763">
        <v>8026.09</v>
      </c>
      <c r="C763">
        <f t="shared" si="44"/>
        <v>1.0888871149605794E-3</v>
      </c>
      <c r="D763" s="35">
        <v>13801</v>
      </c>
      <c r="E763" s="45">
        <f t="shared" si="47"/>
        <v>2.3554565055894372E-4</v>
      </c>
      <c r="G763">
        <v>761.5</v>
      </c>
      <c r="H763" s="45">
        <f t="shared" si="45"/>
        <v>-2.0515788796707235E-2</v>
      </c>
      <c r="I763">
        <v>8680200</v>
      </c>
      <c r="J763" s="38" t="s">
        <v>776</v>
      </c>
      <c r="K763" s="45">
        <f t="shared" si="46"/>
        <v>-2.0523303352412037E-2</v>
      </c>
    </row>
    <row r="764" spans="1:11" x14ac:dyDescent="0.25">
      <c r="A764" s="67">
        <v>45499</v>
      </c>
      <c r="B764">
        <v>8007.83</v>
      </c>
      <c r="C764">
        <f t="shared" si="44"/>
        <v>-2.2750803940648767E-3</v>
      </c>
      <c r="D764" s="35">
        <v>14039.2</v>
      </c>
      <c r="E764" s="45">
        <f t="shared" si="47"/>
        <v>1.7259618868197935E-2</v>
      </c>
      <c r="G764">
        <v>767.35</v>
      </c>
      <c r="H764" s="45">
        <f t="shared" si="45"/>
        <v>7.6822061720289714E-3</v>
      </c>
      <c r="I764">
        <v>7114000</v>
      </c>
      <c r="J764" s="38" t="s">
        <v>777</v>
      </c>
      <c r="K764" s="45">
        <f t="shared" si="46"/>
        <v>7.7635862759828367E-3</v>
      </c>
    </row>
    <row r="765" spans="1:11" x14ac:dyDescent="0.25">
      <c r="A765" s="8">
        <v>45502</v>
      </c>
      <c r="B765">
        <v>8079.24</v>
      </c>
      <c r="C765">
        <f t="shared" si="44"/>
        <v>8.9175219753665491E-3</v>
      </c>
      <c r="D765" s="35">
        <v>14089.8</v>
      </c>
      <c r="E765" s="45">
        <f t="shared" si="47"/>
        <v>3.6041939711664028E-3</v>
      </c>
      <c r="G765">
        <v>775.75</v>
      </c>
      <c r="H765" s="45">
        <f t="shared" si="45"/>
        <v>1.0946764840033874E-2</v>
      </c>
      <c r="I765">
        <v>8507000</v>
      </c>
      <c r="J765" s="38" t="s">
        <v>778</v>
      </c>
      <c r="K765" s="45">
        <f t="shared" si="46"/>
        <v>4.5559973492379502E-3</v>
      </c>
    </row>
    <row r="766" spans="1:11" x14ac:dyDescent="0.25">
      <c r="A766" s="8">
        <v>45503</v>
      </c>
      <c r="B766">
        <v>8114.11</v>
      </c>
      <c r="C766">
        <f t="shared" si="44"/>
        <v>4.3160000198039228E-3</v>
      </c>
      <c r="D766" s="35">
        <v>14105.55</v>
      </c>
      <c r="E766" s="45">
        <f t="shared" si="47"/>
        <v>1.1178299195162555E-3</v>
      </c>
      <c r="G766">
        <v>773.05</v>
      </c>
      <c r="H766" s="45">
        <f t="shared" si="45"/>
        <v>-3.4805027392845744E-3</v>
      </c>
      <c r="I766">
        <v>5956200</v>
      </c>
      <c r="J766" s="38" t="s">
        <v>779</v>
      </c>
      <c r="K766" s="45">
        <f t="shared" si="46"/>
        <v>-2.6799703141749953E-3</v>
      </c>
    </row>
    <row r="767" spans="1:11" x14ac:dyDescent="0.25">
      <c r="A767" s="8">
        <v>45504</v>
      </c>
      <c r="B767">
        <v>8197.6</v>
      </c>
      <c r="C767">
        <f t="shared" si="44"/>
        <v>1.0289483381418441E-2</v>
      </c>
      <c r="D767" s="35">
        <v>14170.8</v>
      </c>
      <c r="E767" s="45">
        <f t="shared" si="47"/>
        <v>4.625838765592194E-3</v>
      </c>
      <c r="G767">
        <v>773.1</v>
      </c>
      <c r="H767" s="45">
        <f t="shared" si="45"/>
        <v>6.467886941341483E-5</v>
      </c>
      <c r="I767">
        <v>18306900</v>
      </c>
      <c r="J767" s="38" t="s">
        <v>780</v>
      </c>
      <c r="K767" s="45">
        <f t="shared" si="46"/>
        <v>4.5061804952664097E-3</v>
      </c>
    </row>
    <row r="768" spans="1:11" x14ac:dyDescent="0.25">
      <c r="A768" s="8">
        <v>45505</v>
      </c>
      <c r="B768">
        <v>8236.69</v>
      </c>
      <c r="C768">
        <f t="shared" si="44"/>
        <v>4.7684688201425907E-3</v>
      </c>
      <c r="D768" s="35">
        <v>14165.8</v>
      </c>
      <c r="E768" s="45">
        <f t="shared" si="47"/>
        <v>-3.5283823072795872E-4</v>
      </c>
      <c r="G768">
        <v>769.85</v>
      </c>
      <c r="H768" s="45">
        <f t="shared" si="45"/>
        <v>-4.2038546113051245E-3</v>
      </c>
      <c r="I768">
        <v>9813700</v>
      </c>
      <c r="J768" s="38" t="s">
        <v>781</v>
      </c>
      <c r="K768" s="45">
        <f t="shared" si="46"/>
        <v>-3.9509424644005309E-3</v>
      </c>
    </row>
    <row r="769" spans="1:11" x14ac:dyDescent="0.25">
      <c r="A769" s="8">
        <v>45506</v>
      </c>
      <c r="B769">
        <v>8261.92</v>
      </c>
      <c r="C769">
        <f t="shared" si="44"/>
        <v>3.063123657682798E-3</v>
      </c>
      <c r="D769" s="35">
        <v>14012.9</v>
      </c>
      <c r="E769" s="45">
        <f t="shared" si="47"/>
        <v>-1.0793601490914684E-2</v>
      </c>
      <c r="G769">
        <v>762.1</v>
      </c>
      <c r="H769" s="45">
        <f t="shared" si="45"/>
        <v>-1.0066896148600346E-2</v>
      </c>
      <c r="I769">
        <v>12489800</v>
      </c>
      <c r="J769" s="38" t="s">
        <v>782</v>
      </c>
      <c r="K769" s="45">
        <f t="shared" si="46"/>
        <v>-1.1197421700685828E-2</v>
      </c>
    </row>
    <row r="770" spans="1:11" x14ac:dyDescent="0.25">
      <c r="A770" s="8">
        <v>45509</v>
      </c>
      <c r="B770">
        <v>8271.61</v>
      </c>
      <c r="C770">
        <f t="shared" si="44"/>
        <v>1.1728508627535383E-3</v>
      </c>
      <c r="D770" s="35">
        <v>13600.2</v>
      </c>
      <c r="E770" s="45">
        <f t="shared" si="47"/>
        <v>-2.945143403578121E-2</v>
      </c>
      <c r="G770">
        <v>747.75</v>
      </c>
      <c r="H770" s="45">
        <f t="shared" si="45"/>
        <v>-1.8829549927831035E-2</v>
      </c>
      <c r="I770">
        <v>17418400</v>
      </c>
      <c r="J770" s="38" t="s">
        <v>783</v>
      </c>
      <c r="K770" s="45">
        <f t="shared" si="46"/>
        <v>-2.0015878985416458E-2</v>
      </c>
    </row>
    <row r="771" spans="1:11" x14ac:dyDescent="0.25">
      <c r="A771" s="8">
        <v>45510</v>
      </c>
      <c r="B771">
        <v>8255.64</v>
      </c>
      <c r="C771">
        <f t="shared" si="44"/>
        <v>-1.9307003110641263E-3</v>
      </c>
      <c r="D771" s="35">
        <v>13540.15</v>
      </c>
      <c r="E771" s="45">
        <f t="shared" si="47"/>
        <v>-4.4153762444670841E-3</v>
      </c>
      <c r="G771">
        <v>742.35</v>
      </c>
      <c r="H771" s="45">
        <f t="shared" si="45"/>
        <v>-7.2216649949848888E-3</v>
      </c>
      <c r="I771">
        <v>7027800</v>
      </c>
      <c r="J771" s="38" t="s">
        <v>784</v>
      </c>
      <c r="K771" s="45">
        <f t="shared" si="46"/>
        <v>-4.9036329524134725E-3</v>
      </c>
    </row>
    <row r="772" spans="1:11" x14ac:dyDescent="0.25">
      <c r="A772" s="8">
        <v>45511</v>
      </c>
      <c r="B772">
        <v>8199.84</v>
      </c>
      <c r="C772">
        <f t="shared" ref="C772:C835" si="48">B772/B771-1</f>
        <v>-6.7590156547523428E-3</v>
      </c>
      <c r="D772" s="35">
        <v>13779.45</v>
      </c>
      <c r="E772" s="45">
        <f t="shared" si="47"/>
        <v>1.7673364032156247E-2</v>
      </c>
      <c r="G772">
        <v>747.8</v>
      </c>
      <c r="H772" s="45">
        <f t="shared" ref="H772:H835" si="49">G772/G771-1</f>
        <v>7.3415504815785848E-3</v>
      </c>
      <c r="I772">
        <v>6909400</v>
      </c>
      <c r="J772" s="38" t="s">
        <v>785</v>
      </c>
      <c r="K772" s="45">
        <f t="shared" ref="K772:K835" si="50">J772/J771-1</f>
        <v>4.7992458327978937E-3</v>
      </c>
    </row>
    <row r="773" spans="1:11" x14ac:dyDescent="0.25">
      <c r="A773" s="8">
        <v>45512</v>
      </c>
      <c r="B773">
        <v>8255.8799999999992</v>
      </c>
      <c r="C773">
        <f t="shared" si="48"/>
        <v>6.834279693262113E-3</v>
      </c>
      <c r="D773" s="35">
        <v>13686.4</v>
      </c>
      <c r="E773" s="45">
        <f t="shared" ref="E773:E836" si="51">D773/D772-1</f>
        <v>-6.7528094372417691E-3</v>
      </c>
      <c r="G773">
        <v>742.6</v>
      </c>
      <c r="H773" s="45">
        <f t="shared" si="49"/>
        <v>-6.9537309441025652E-3</v>
      </c>
      <c r="I773">
        <v>5850200</v>
      </c>
      <c r="J773" s="38" t="s">
        <v>786</v>
      </c>
      <c r="K773" s="45">
        <f t="shared" si="50"/>
        <v>-6.6953814661606659E-3</v>
      </c>
    </row>
    <row r="774" spans="1:11" x14ac:dyDescent="0.25">
      <c r="A774" s="8">
        <v>45513</v>
      </c>
      <c r="B774">
        <v>8227.0400000000009</v>
      </c>
      <c r="C774">
        <f t="shared" si="48"/>
        <v>-3.4932678285050089E-3</v>
      </c>
      <c r="D774" s="35">
        <v>13826.05</v>
      </c>
      <c r="E774" s="45">
        <f t="shared" si="51"/>
        <v>1.0203559738134249E-2</v>
      </c>
      <c r="G774">
        <v>747.45</v>
      </c>
      <c r="H774" s="45">
        <f t="shared" si="49"/>
        <v>6.5311069216267281E-3</v>
      </c>
      <c r="I774">
        <v>9166600</v>
      </c>
      <c r="J774" s="38" t="s">
        <v>787</v>
      </c>
      <c r="K774" s="45">
        <f t="shared" si="50"/>
        <v>6.0106474325949399E-3</v>
      </c>
    </row>
    <row r="775" spans="1:11" x14ac:dyDescent="0.25">
      <c r="A775" s="8">
        <v>45516</v>
      </c>
      <c r="B775">
        <v>8252.39</v>
      </c>
      <c r="C775">
        <f t="shared" si="48"/>
        <v>3.0813026313227798E-3</v>
      </c>
      <c r="D775" s="35">
        <v>13814.3</v>
      </c>
      <c r="E775" s="45">
        <f t="shared" si="51"/>
        <v>-8.4984503889395935E-4</v>
      </c>
      <c r="G775">
        <v>757.45</v>
      </c>
      <c r="H775" s="45">
        <f t="shared" si="49"/>
        <v>1.3378821325841228E-2</v>
      </c>
      <c r="I775">
        <v>8883300</v>
      </c>
      <c r="J775" s="38" t="s">
        <v>788</v>
      </c>
      <c r="K775" s="45">
        <f t="shared" si="50"/>
        <v>1.024240355069983E-3</v>
      </c>
    </row>
    <row r="776" spans="1:11" x14ac:dyDescent="0.25">
      <c r="A776" s="8">
        <v>45517</v>
      </c>
      <c r="B776">
        <v>8232.02</v>
      </c>
      <c r="C776">
        <f t="shared" si="48"/>
        <v>-2.4683758280933388E-3</v>
      </c>
      <c r="D776" s="35">
        <v>13691.5</v>
      </c>
      <c r="E776" s="45">
        <f t="shared" si="51"/>
        <v>-8.8893393078186556E-3</v>
      </c>
      <c r="G776">
        <v>785.9</v>
      </c>
      <c r="H776" s="45">
        <f t="shared" si="49"/>
        <v>3.7560234999009845E-2</v>
      </c>
      <c r="I776">
        <v>8041500</v>
      </c>
      <c r="J776" s="38" t="s">
        <v>789</v>
      </c>
      <c r="K776" s="45">
        <f t="shared" si="50"/>
        <v>-3.7943383356071614E-3</v>
      </c>
    </row>
    <row r="777" spans="1:11" x14ac:dyDescent="0.25">
      <c r="A777" s="8">
        <v>45518</v>
      </c>
      <c r="B777">
        <v>8175.72</v>
      </c>
      <c r="C777">
        <f t="shared" si="48"/>
        <v>-6.8391476211184798E-3</v>
      </c>
      <c r="D777" s="35">
        <v>13680.85</v>
      </c>
      <c r="E777" s="45">
        <f t="shared" si="51"/>
        <v>-7.7785487346160309E-4</v>
      </c>
      <c r="G777">
        <v>805.65</v>
      </c>
      <c r="H777" s="45">
        <f t="shared" si="49"/>
        <v>2.5130423718030315E-2</v>
      </c>
      <c r="I777">
        <v>14113000</v>
      </c>
      <c r="J777" s="38" t="s">
        <v>790</v>
      </c>
      <c r="K777" s="45">
        <f t="shared" si="50"/>
        <v>-5.7345829588735242E-3</v>
      </c>
    </row>
    <row r="778" spans="1:11" x14ac:dyDescent="0.25">
      <c r="A778" s="8">
        <v>45520</v>
      </c>
      <c r="B778">
        <v>8249.3799999999992</v>
      </c>
      <c r="C778">
        <f t="shared" si="48"/>
        <v>9.0096040471052685E-3</v>
      </c>
      <c r="D778" s="35">
        <v>13914.7</v>
      </c>
      <c r="E778" s="45">
        <f t="shared" si="51"/>
        <v>1.7093236165881542E-2</v>
      </c>
      <c r="G778">
        <v>800.05</v>
      </c>
      <c r="H778" s="45">
        <f t="shared" si="49"/>
        <v>-6.9509092037485232E-3</v>
      </c>
      <c r="I778">
        <v>12430800</v>
      </c>
      <c r="J778" s="38" t="s">
        <v>791</v>
      </c>
      <c r="K778" s="45">
        <f t="shared" si="50"/>
        <v>2.2037618904144907E-2</v>
      </c>
    </row>
    <row r="779" spans="1:11" x14ac:dyDescent="0.25">
      <c r="A779" s="8">
        <v>45523</v>
      </c>
      <c r="B779">
        <v>8271.7900000000009</v>
      </c>
      <c r="C779">
        <f t="shared" si="48"/>
        <v>2.7165677905494068E-3</v>
      </c>
      <c r="D779" s="35">
        <v>13946.05</v>
      </c>
      <c r="E779" s="45">
        <f t="shared" si="51"/>
        <v>2.2530130006395144E-3</v>
      </c>
      <c r="G779">
        <v>795.65</v>
      </c>
      <c r="H779" s="45">
        <f t="shared" si="49"/>
        <v>-5.4996562714829667E-3</v>
      </c>
      <c r="I779">
        <v>8419500</v>
      </c>
      <c r="J779" s="38" t="s">
        <v>792</v>
      </c>
      <c r="K779" s="45">
        <f t="shared" si="50"/>
        <v>-9.5599073489154307E-3</v>
      </c>
    </row>
    <row r="780" spans="1:11" x14ac:dyDescent="0.25">
      <c r="A780" s="8">
        <v>45524</v>
      </c>
      <c r="B780">
        <v>8233.2000000000007</v>
      </c>
      <c r="C780">
        <f t="shared" si="48"/>
        <v>-4.6652538326045212E-3</v>
      </c>
      <c r="D780" s="35">
        <v>14030.8</v>
      </c>
      <c r="E780" s="45">
        <f t="shared" si="51"/>
        <v>6.0769895418415487E-3</v>
      </c>
      <c r="G780">
        <v>848.25</v>
      </c>
      <c r="H780" s="45">
        <f t="shared" si="49"/>
        <v>6.6109470244454238E-2</v>
      </c>
      <c r="I780">
        <v>11176100</v>
      </c>
      <c r="J780" s="38" t="s">
        <v>793</v>
      </c>
      <c r="K780" s="45">
        <f t="shared" si="50"/>
        <v>3.0189641976359205E-3</v>
      </c>
    </row>
    <row r="781" spans="1:11" x14ac:dyDescent="0.25">
      <c r="A781" s="8">
        <v>45525</v>
      </c>
      <c r="B781">
        <v>8269.65</v>
      </c>
      <c r="C781">
        <f t="shared" si="48"/>
        <v>4.4271972015739181E-3</v>
      </c>
      <c r="D781" s="35">
        <v>14070.8</v>
      </c>
      <c r="E781" s="45">
        <f t="shared" si="51"/>
        <v>2.850870941072392E-3</v>
      </c>
      <c r="G781">
        <v>785.95</v>
      </c>
      <c r="H781" s="45">
        <f t="shared" si="49"/>
        <v>-7.3445328617742334E-2</v>
      </c>
      <c r="I781">
        <v>8113400</v>
      </c>
      <c r="J781" s="38" t="s">
        <v>794</v>
      </c>
      <c r="K781" s="45">
        <f t="shared" si="50"/>
        <v>-3.900122938657935E-3</v>
      </c>
    </row>
    <row r="782" spans="1:11" x14ac:dyDescent="0.25">
      <c r="A782" s="8">
        <v>45526</v>
      </c>
      <c r="B782">
        <v>8324.75</v>
      </c>
      <c r="C782">
        <f t="shared" si="48"/>
        <v>6.6629180195050264E-3</v>
      </c>
      <c r="D782" s="35">
        <v>14112.6</v>
      </c>
      <c r="E782" s="45">
        <f t="shared" si="51"/>
        <v>2.970691076555676E-3</v>
      </c>
      <c r="G782">
        <v>795.45</v>
      </c>
      <c r="H782" s="45">
        <f t="shared" si="49"/>
        <v>1.2087282906037222E-2</v>
      </c>
      <c r="I782">
        <v>8874300</v>
      </c>
      <c r="J782" s="38" t="s">
        <v>795</v>
      </c>
      <c r="K782" s="45">
        <f t="shared" si="50"/>
        <v>1.3831552964208127E-2</v>
      </c>
    </row>
    <row r="783" spans="1:11" x14ac:dyDescent="0.25">
      <c r="A783" s="8">
        <v>45527</v>
      </c>
      <c r="B783">
        <v>8369.17</v>
      </c>
      <c r="C783">
        <f t="shared" si="48"/>
        <v>5.3358959728520006E-3</v>
      </c>
      <c r="D783" s="35">
        <v>14099.2</v>
      </c>
      <c r="E783" s="45">
        <f t="shared" si="51"/>
        <v>-9.4950611510280503E-4</v>
      </c>
      <c r="G783">
        <v>809.45</v>
      </c>
      <c r="H783" s="45">
        <f t="shared" si="49"/>
        <v>1.760010057200323E-2</v>
      </c>
      <c r="I783">
        <v>8933900</v>
      </c>
      <c r="J783" s="38" t="s">
        <v>796</v>
      </c>
      <c r="K783" s="45">
        <f t="shared" si="50"/>
        <v>1.0410544874485783E-2</v>
      </c>
    </row>
    <row r="784" spans="1:11" x14ac:dyDescent="0.25">
      <c r="A784" s="8">
        <v>45530</v>
      </c>
      <c r="B784">
        <v>8359.82</v>
      </c>
      <c r="C784">
        <f t="shared" si="48"/>
        <v>-1.117195611990196E-3</v>
      </c>
      <c r="D784" s="35">
        <v>14191.75</v>
      </c>
      <c r="E784" s="45">
        <f t="shared" si="51"/>
        <v>6.5642022242395903E-3</v>
      </c>
      <c r="G784">
        <v>808.25</v>
      </c>
      <c r="H784" s="45">
        <f t="shared" si="49"/>
        <v>-1.4824881092100339E-3</v>
      </c>
      <c r="I784">
        <v>6607300</v>
      </c>
      <c r="J784" s="38" t="s">
        <v>797</v>
      </c>
      <c r="K784" s="45">
        <f t="shared" si="50"/>
        <v>8.1429164935604703E-3</v>
      </c>
    </row>
    <row r="785" spans="1:11" x14ac:dyDescent="0.25">
      <c r="A785" s="8">
        <v>45531</v>
      </c>
      <c r="B785">
        <v>8270.65</v>
      </c>
      <c r="C785">
        <f t="shared" si="48"/>
        <v>-1.066649760401539E-2</v>
      </c>
      <c r="D785" s="35">
        <v>14206</v>
      </c>
      <c r="E785" s="45">
        <f t="shared" si="51"/>
        <v>1.0041044973312374E-3</v>
      </c>
      <c r="G785">
        <v>818.9</v>
      </c>
      <c r="H785" s="45">
        <f t="shared" si="49"/>
        <v>1.3176616145994302E-2</v>
      </c>
      <c r="I785">
        <v>7395500</v>
      </c>
      <c r="J785" s="38" t="s">
        <v>798</v>
      </c>
      <c r="K785" s="45">
        <f t="shared" si="50"/>
        <v>1.0755789994230547E-2</v>
      </c>
    </row>
    <row r="786" spans="1:11" x14ac:dyDescent="0.25">
      <c r="A786" s="8">
        <v>45532</v>
      </c>
      <c r="B786">
        <v>8283.08</v>
      </c>
      <c r="C786">
        <f t="shared" si="48"/>
        <v>1.502904850283926E-3</v>
      </c>
      <c r="D786" s="35">
        <v>14218.45</v>
      </c>
      <c r="E786" s="45">
        <f t="shared" si="51"/>
        <v>8.7639025763763811E-4</v>
      </c>
      <c r="G786">
        <v>822.2</v>
      </c>
      <c r="H786" s="45">
        <f t="shared" si="49"/>
        <v>4.0297960678961076E-3</v>
      </c>
      <c r="I786">
        <v>7153800</v>
      </c>
      <c r="J786" s="38" t="s">
        <v>799</v>
      </c>
      <c r="K786" s="45">
        <f t="shared" si="50"/>
        <v>-2.038569739470808E-3</v>
      </c>
    </row>
    <row r="787" spans="1:11" x14ac:dyDescent="0.25">
      <c r="A787" s="8">
        <v>45533</v>
      </c>
      <c r="B787">
        <v>8214.4599999999991</v>
      </c>
      <c r="C787">
        <f t="shared" si="48"/>
        <v>-8.284357992437652E-3</v>
      </c>
      <c r="D787" s="35">
        <v>14240.95</v>
      </c>
      <c r="E787" s="45">
        <f t="shared" si="51"/>
        <v>1.5824509703941114E-3</v>
      </c>
      <c r="G787">
        <v>817.5</v>
      </c>
      <c r="H787" s="45">
        <f t="shared" si="49"/>
        <v>-5.7163707127220187E-3</v>
      </c>
      <c r="I787">
        <v>13443800</v>
      </c>
      <c r="J787" s="38" t="s">
        <v>800</v>
      </c>
      <c r="K787" s="45">
        <f t="shared" si="50"/>
        <v>-1.5933325162396095E-3</v>
      </c>
    </row>
    <row r="788" spans="1:11" x14ac:dyDescent="0.25">
      <c r="A788" s="8">
        <v>45534</v>
      </c>
      <c r="B788">
        <v>8220.5499999999993</v>
      </c>
      <c r="C788">
        <f t="shared" si="48"/>
        <v>7.4137557429221346E-4</v>
      </c>
      <c r="D788" s="35">
        <v>14295.7</v>
      </c>
      <c r="E788" s="45">
        <f t="shared" si="51"/>
        <v>3.8445468876724398E-3</v>
      </c>
      <c r="G788">
        <v>823.65</v>
      </c>
      <c r="H788" s="45">
        <f t="shared" si="49"/>
        <v>7.522935779816553E-3</v>
      </c>
      <c r="I788">
        <v>8850500</v>
      </c>
      <c r="J788" s="38" t="s">
        <v>801</v>
      </c>
      <c r="K788" s="45">
        <f t="shared" si="50"/>
        <v>5.9743023160652164E-3</v>
      </c>
    </row>
    <row r="789" spans="1:11" x14ac:dyDescent="0.25">
      <c r="A789" s="8">
        <v>45537</v>
      </c>
      <c r="B789">
        <v>8227.9500000000007</v>
      </c>
      <c r="C789">
        <f t="shared" si="48"/>
        <v>9.0018307777484097E-4</v>
      </c>
      <c r="D789" s="35">
        <v>14318.05</v>
      </c>
      <c r="E789" s="45">
        <f t="shared" si="51"/>
        <v>1.5634071783821035E-3</v>
      </c>
      <c r="G789">
        <v>833.5</v>
      </c>
      <c r="H789" s="45">
        <f t="shared" si="49"/>
        <v>1.1958963151824209E-2</v>
      </c>
      <c r="I789">
        <v>6852400</v>
      </c>
      <c r="J789" s="38" t="s">
        <v>769</v>
      </c>
      <c r="K789" s="45">
        <f t="shared" si="50"/>
        <v>6.101529450048826E-4</v>
      </c>
    </row>
    <row r="790" spans="1:11" x14ac:dyDescent="0.25">
      <c r="A790" s="8">
        <v>45538</v>
      </c>
      <c r="B790">
        <v>8242.15</v>
      </c>
      <c r="C790">
        <f t="shared" si="48"/>
        <v>1.7258247801699156E-3</v>
      </c>
      <c r="D790" s="35">
        <v>14326.8</v>
      </c>
      <c r="E790" s="45">
        <f t="shared" si="51"/>
        <v>6.1111673726510496E-4</v>
      </c>
      <c r="G790">
        <v>840.45</v>
      </c>
      <c r="H790" s="45">
        <f t="shared" si="49"/>
        <v>8.3383323335333159E-3</v>
      </c>
      <c r="I790">
        <v>13180500</v>
      </c>
      <c r="J790" s="38" t="s">
        <v>802</v>
      </c>
      <c r="K790" s="45">
        <f t="shared" si="50"/>
        <v>1.4431480954510301E-2</v>
      </c>
    </row>
    <row r="791" spans="1:11" x14ac:dyDescent="0.25">
      <c r="A791" s="8">
        <v>45539</v>
      </c>
      <c r="B791">
        <v>8389.44</v>
      </c>
      <c r="C791">
        <f t="shared" si="48"/>
        <v>1.7870337229970445E-2</v>
      </c>
      <c r="D791" s="35">
        <v>14293.85</v>
      </c>
      <c r="E791" s="45">
        <f t="shared" si="51"/>
        <v>-2.2998855292178932E-3</v>
      </c>
      <c r="G791">
        <v>826.8</v>
      </c>
      <c r="H791" s="45">
        <f t="shared" si="49"/>
        <v>-1.6241299303944468E-2</v>
      </c>
      <c r="I791">
        <v>11187100</v>
      </c>
      <c r="J791" s="38" t="s">
        <v>803</v>
      </c>
      <c r="K791" s="45">
        <f t="shared" si="50"/>
        <v>-9.0967379979163265E-3</v>
      </c>
    </row>
    <row r="792" spans="1:11" x14ac:dyDescent="0.25">
      <c r="A792" s="8">
        <v>45540</v>
      </c>
      <c r="B792">
        <v>8431.25</v>
      </c>
      <c r="C792">
        <f t="shared" si="48"/>
        <v>4.9836461074874716E-3</v>
      </c>
      <c r="D792" s="35">
        <v>14286</v>
      </c>
      <c r="E792" s="45">
        <f t="shared" si="51"/>
        <v>-5.491872378680096E-4</v>
      </c>
      <c r="G792">
        <v>834.15</v>
      </c>
      <c r="H792" s="45">
        <f t="shared" si="49"/>
        <v>8.8896952104500215E-3</v>
      </c>
      <c r="I792">
        <v>12878200</v>
      </c>
      <c r="J792" s="38" t="s">
        <v>804</v>
      </c>
      <c r="K792" s="45">
        <f t="shared" si="50"/>
        <v>-3.2353298014309306E-4</v>
      </c>
    </row>
    <row r="793" spans="1:11" x14ac:dyDescent="0.25">
      <c r="A793" s="8">
        <v>45541</v>
      </c>
      <c r="B793">
        <v>8422.1299999999992</v>
      </c>
      <c r="C793">
        <f t="shared" si="48"/>
        <v>-1.0816901408451374E-3</v>
      </c>
      <c r="D793" s="35">
        <v>14107.4</v>
      </c>
      <c r="E793" s="45">
        <f t="shared" si="51"/>
        <v>-1.2501749965000752E-2</v>
      </c>
      <c r="G793">
        <v>833.8</v>
      </c>
      <c r="H793" s="45">
        <f t="shared" si="49"/>
        <v>-4.1958880297310319E-4</v>
      </c>
      <c r="I793">
        <v>15583700</v>
      </c>
      <c r="J793" s="38" t="s">
        <v>805</v>
      </c>
      <c r="K793" s="45">
        <f t="shared" si="50"/>
        <v>-2.2492819288806198E-2</v>
      </c>
    </row>
    <row r="794" spans="1:11" x14ac:dyDescent="0.25">
      <c r="A794" s="8">
        <v>45544</v>
      </c>
      <c r="B794">
        <v>8461.06</v>
      </c>
      <c r="C794">
        <f t="shared" si="48"/>
        <v>4.6223461285921363E-3</v>
      </c>
      <c r="D794" s="35">
        <v>14139</v>
      </c>
      <c r="E794" s="45">
        <f t="shared" si="51"/>
        <v>2.2399591703645694E-3</v>
      </c>
      <c r="G794">
        <v>840.6</v>
      </c>
      <c r="H794" s="45">
        <f t="shared" si="49"/>
        <v>8.155432957543951E-3</v>
      </c>
      <c r="I794">
        <v>12077500</v>
      </c>
      <c r="J794" s="38" t="s">
        <v>806</v>
      </c>
      <c r="K794" s="45">
        <f t="shared" si="50"/>
        <v>2.2224061581757049E-2</v>
      </c>
    </row>
    <row r="795" spans="1:11" x14ac:dyDescent="0.25">
      <c r="A795" s="8">
        <v>45545</v>
      </c>
      <c r="B795">
        <v>8440.59</v>
      </c>
      <c r="C795">
        <f t="shared" si="48"/>
        <v>-2.4193186196528327E-3</v>
      </c>
      <c r="D795" s="35">
        <v>14213.5</v>
      </c>
      <c r="E795" s="45">
        <f t="shared" si="51"/>
        <v>5.2691137987128656E-3</v>
      </c>
      <c r="G795">
        <v>839.6</v>
      </c>
      <c r="H795" s="45">
        <f t="shared" si="49"/>
        <v>-1.1896264572923698E-3</v>
      </c>
      <c r="I795">
        <v>9313700</v>
      </c>
      <c r="J795" s="38" t="s">
        <v>807</v>
      </c>
      <c r="K795" s="45">
        <f t="shared" si="50"/>
        <v>1.8623481781376849E-3</v>
      </c>
    </row>
    <row r="796" spans="1:11" x14ac:dyDescent="0.25">
      <c r="A796" s="8">
        <v>45546</v>
      </c>
      <c r="B796">
        <v>8405.92</v>
      </c>
      <c r="C796">
        <f t="shared" si="48"/>
        <v>-4.1075327672591699E-3</v>
      </c>
      <c r="D796" s="35">
        <v>14151.5</v>
      </c>
      <c r="E796" s="45">
        <f t="shared" si="51"/>
        <v>-4.362050163576936E-3</v>
      </c>
      <c r="G796">
        <v>834.75</v>
      </c>
      <c r="H796" s="45">
        <f t="shared" si="49"/>
        <v>-5.7765602667937399E-3</v>
      </c>
      <c r="I796">
        <v>22369800</v>
      </c>
      <c r="J796" s="38" t="s">
        <v>803</v>
      </c>
      <c r="K796" s="45">
        <f t="shared" si="50"/>
        <v>-7.6780085670413722E-4</v>
      </c>
    </row>
    <row r="797" spans="1:11" x14ac:dyDescent="0.25">
      <c r="A797" s="8">
        <v>45547</v>
      </c>
      <c r="B797">
        <v>8429.86</v>
      </c>
      <c r="C797">
        <f t="shared" si="48"/>
        <v>2.84799284313908E-3</v>
      </c>
      <c r="D797" s="35">
        <v>14394.65</v>
      </c>
      <c r="E797" s="45">
        <f t="shared" si="51"/>
        <v>1.7181924177648966E-2</v>
      </c>
      <c r="G797">
        <v>843.9</v>
      </c>
      <c r="H797" s="45">
        <f t="shared" si="49"/>
        <v>1.0961365678346713E-2</v>
      </c>
      <c r="I797">
        <v>15869100</v>
      </c>
      <c r="J797" s="38" t="s">
        <v>808</v>
      </c>
      <c r="K797" s="45">
        <f t="shared" si="50"/>
        <v>1.2779552715655118E-2</v>
      </c>
    </row>
    <row r="798" spans="1:11" x14ac:dyDescent="0.25">
      <c r="A798" s="8">
        <v>45548</v>
      </c>
      <c r="B798">
        <v>8440.5</v>
      </c>
      <c r="C798">
        <f t="shared" si="48"/>
        <v>1.2621799175787096E-3</v>
      </c>
      <c r="D798" s="35">
        <v>14391.4</v>
      </c>
      <c r="E798" s="45">
        <f t="shared" si="51"/>
        <v>-2.2577832736470071E-4</v>
      </c>
      <c r="G798">
        <v>846.5</v>
      </c>
      <c r="H798" s="45">
        <f t="shared" si="49"/>
        <v>3.0809337599242426E-3</v>
      </c>
      <c r="I798">
        <v>8826800</v>
      </c>
      <c r="J798" s="38" t="s">
        <v>809</v>
      </c>
      <c r="K798" s="45">
        <f t="shared" si="50"/>
        <v>-1.437527452781362E-3</v>
      </c>
    </row>
    <row r="799" spans="1:11" x14ac:dyDescent="0.25">
      <c r="A799" s="8">
        <v>45551</v>
      </c>
      <c r="B799">
        <v>8471.43</v>
      </c>
      <c r="C799">
        <f t="shared" si="48"/>
        <v>3.664474853385391E-3</v>
      </c>
      <c r="D799" s="35">
        <v>14415.5</v>
      </c>
      <c r="E799" s="45">
        <f t="shared" si="51"/>
        <v>1.6746112261489809E-3</v>
      </c>
      <c r="G799">
        <v>856.05</v>
      </c>
      <c r="H799" s="45">
        <f t="shared" si="49"/>
        <v>1.1281748375664424E-2</v>
      </c>
      <c r="I799">
        <v>8917700</v>
      </c>
      <c r="J799" s="38" t="s">
        <v>810</v>
      </c>
      <c r="K799" s="45">
        <f t="shared" si="50"/>
        <v>9.9972007837805243E-3</v>
      </c>
    </row>
    <row r="800" spans="1:11" x14ac:dyDescent="0.25">
      <c r="A800" s="8">
        <v>45552</v>
      </c>
      <c r="B800">
        <v>8461.75</v>
      </c>
      <c r="C800">
        <f t="shared" si="48"/>
        <v>-1.1426642255204511E-3</v>
      </c>
      <c r="D800" s="35">
        <v>14420.55</v>
      </c>
      <c r="E800" s="45">
        <f t="shared" si="51"/>
        <v>3.5031736672319624E-4</v>
      </c>
      <c r="G800">
        <v>856.15</v>
      </c>
      <c r="H800" s="45">
        <f t="shared" si="49"/>
        <v>1.1681560656495726E-4</v>
      </c>
      <c r="I800">
        <v>7304800</v>
      </c>
      <c r="J800" s="38" t="s">
        <v>811</v>
      </c>
      <c r="K800" s="45">
        <f t="shared" si="50"/>
        <v>4.157263332937422E-3</v>
      </c>
    </row>
    <row r="801" spans="1:11" x14ac:dyDescent="0.25">
      <c r="A801" s="8">
        <v>45553</v>
      </c>
      <c r="B801">
        <v>8541.7999999999993</v>
      </c>
      <c r="C801">
        <f t="shared" si="48"/>
        <v>9.4602180400034097E-3</v>
      </c>
      <c r="D801" s="35">
        <v>14380.45</v>
      </c>
      <c r="E801" s="45">
        <f t="shared" si="51"/>
        <v>-2.7807538547419686E-3</v>
      </c>
      <c r="G801">
        <v>868.6</v>
      </c>
      <c r="H801" s="45">
        <f t="shared" si="49"/>
        <v>1.454184430298433E-2</v>
      </c>
      <c r="I801">
        <v>8489400</v>
      </c>
      <c r="J801" s="38" t="s">
        <v>812</v>
      </c>
      <c r="K801" s="45">
        <f t="shared" si="50"/>
        <v>1.5968772178850177E-2</v>
      </c>
    </row>
    <row r="802" spans="1:11" x14ac:dyDescent="0.25">
      <c r="A802" s="8">
        <v>45554</v>
      </c>
      <c r="B802">
        <v>8497.23</v>
      </c>
      <c r="C802">
        <f t="shared" si="48"/>
        <v>-5.2178697698377352E-3</v>
      </c>
      <c r="D802" s="35">
        <v>14367</v>
      </c>
      <c r="E802" s="45">
        <f t="shared" si="51"/>
        <v>-9.3529757413712833E-4</v>
      </c>
      <c r="G802">
        <v>882.55</v>
      </c>
      <c r="H802" s="45">
        <f t="shared" si="49"/>
        <v>1.6060326962928695E-2</v>
      </c>
      <c r="I802">
        <v>28760000</v>
      </c>
      <c r="J802" s="38" t="s">
        <v>813</v>
      </c>
      <c r="K802" s="45">
        <f t="shared" si="50"/>
        <v>2.8330810726899802E-3</v>
      </c>
    </row>
    <row r="803" spans="1:11" x14ac:dyDescent="0.25">
      <c r="A803" s="8">
        <v>45555</v>
      </c>
      <c r="B803">
        <v>8531.61</v>
      </c>
      <c r="C803">
        <f t="shared" si="48"/>
        <v>4.0460244103079912E-3</v>
      </c>
      <c r="D803" s="35">
        <v>14580.9</v>
      </c>
      <c r="E803" s="45">
        <f t="shared" si="51"/>
        <v>1.4888285654625077E-2</v>
      </c>
      <c r="G803">
        <v>894.15</v>
      </c>
      <c r="H803" s="45">
        <f t="shared" si="49"/>
        <v>1.3143731233357991E-2</v>
      </c>
      <c r="I803">
        <v>15422700</v>
      </c>
      <c r="J803" s="38" t="s">
        <v>814</v>
      </c>
      <c r="K803" s="45">
        <f t="shared" si="50"/>
        <v>3.5952012383901E-2</v>
      </c>
    </row>
    <row r="804" spans="1:11" x14ac:dyDescent="0.25">
      <c r="A804" s="8">
        <v>45558</v>
      </c>
      <c r="B804">
        <v>8632.94</v>
      </c>
      <c r="C804">
        <f t="shared" si="48"/>
        <v>1.1877007973875919E-2</v>
      </c>
      <c r="D804" s="35">
        <v>14693.2</v>
      </c>
      <c r="E804" s="45">
        <f t="shared" si="51"/>
        <v>7.7018565383482063E-3</v>
      </c>
      <c r="G804">
        <v>898.15</v>
      </c>
      <c r="H804" s="45">
        <f t="shared" si="49"/>
        <v>4.4735223396521473E-3</v>
      </c>
      <c r="I804">
        <v>13408200</v>
      </c>
      <c r="J804" s="38" t="s">
        <v>815</v>
      </c>
      <c r="K804" s="45">
        <f t="shared" si="50"/>
        <v>-1.2365049123986616E-2</v>
      </c>
    </row>
    <row r="805" spans="1:11" x14ac:dyDescent="0.25">
      <c r="A805" s="8">
        <v>45559</v>
      </c>
      <c r="B805">
        <v>8623.2199999999993</v>
      </c>
      <c r="C805">
        <f t="shared" si="48"/>
        <v>-1.1259200226112487E-3</v>
      </c>
      <c r="D805" s="35">
        <v>14700.15</v>
      </c>
      <c r="E805" s="45">
        <f t="shared" si="51"/>
        <v>4.7300792203186504E-4</v>
      </c>
      <c r="G805">
        <v>892.5</v>
      </c>
      <c r="H805" s="45">
        <f t="shared" si="49"/>
        <v>-6.2907086789512068E-3</v>
      </c>
      <c r="I805">
        <v>14654500</v>
      </c>
      <c r="J805" s="38" t="s">
        <v>816</v>
      </c>
      <c r="K805" s="45">
        <f t="shared" si="50"/>
        <v>-2.4964066873440771E-3</v>
      </c>
    </row>
    <row r="806" spans="1:11" x14ac:dyDescent="0.25">
      <c r="A806" s="8">
        <v>45560</v>
      </c>
      <c r="B806">
        <v>8646.9599999999991</v>
      </c>
      <c r="C806">
        <f t="shared" si="48"/>
        <v>2.7530319300679285E-3</v>
      </c>
      <c r="D806" s="35">
        <v>14696</v>
      </c>
      <c r="E806" s="45">
        <f t="shared" si="51"/>
        <v>-2.8231004445533614E-4</v>
      </c>
      <c r="G806">
        <v>896.75</v>
      </c>
      <c r="H806" s="45">
        <f t="shared" si="49"/>
        <v>4.761904761904745E-3</v>
      </c>
      <c r="I806">
        <v>11459900</v>
      </c>
      <c r="J806" s="38" t="s">
        <v>817</v>
      </c>
      <c r="K806" s="45">
        <f t="shared" si="50"/>
        <v>3.981495525557488E-3</v>
      </c>
    </row>
    <row r="807" spans="1:11" x14ac:dyDescent="0.25">
      <c r="A807" s="8">
        <v>45561</v>
      </c>
      <c r="B807">
        <v>8631.59</v>
      </c>
      <c r="C807">
        <f t="shared" si="48"/>
        <v>-1.7775033075206892E-3</v>
      </c>
      <c r="D807" s="35">
        <v>14789.35</v>
      </c>
      <c r="E807" s="45">
        <f t="shared" si="51"/>
        <v>6.3520685900926299E-3</v>
      </c>
      <c r="G807">
        <v>896.55</v>
      </c>
      <c r="H807" s="45">
        <f t="shared" si="49"/>
        <v>-2.2302759966552621E-4</v>
      </c>
      <c r="I807">
        <v>9617500</v>
      </c>
      <c r="J807" s="38" t="s">
        <v>818</v>
      </c>
      <c r="K807" s="45">
        <f t="shared" si="50"/>
        <v>3.9279374551497437E-3</v>
      </c>
    </row>
    <row r="808" spans="1:11" x14ac:dyDescent="0.25">
      <c r="A808" s="8">
        <v>45562</v>
      </c>
      <c r="B808">
        <v>8526.74</v>
      </c>
      <c r="C808">
        <f t="shared" si="48"/>
        <v>-1.2147240543167626E-2</v>
      </c>
      <c r="D808" s="35">
        <v>14784.8</v>
      </c>
      <c r="E808" s="45">
        <f t="shared" si="51"/>
        <v>-3.0765381845732076E-4</v>
      </c>
      <c r="G808">
        <v>890.35</v>
      </c>
      <c r="H808" s="45">
        <f t="shared" si="49"/>
        <v>-6.9153979142266842E-3</v>
      </c>
      <c r="I808">
        <v>12379000</v>
      </c>
      <c r="J808" s="38" t="s">
        <v>819</v>
      </c>
      <c r="K808" s="45">
        <f t="shared" si="50"/>
        <v>-1.689176479440202E-2</v>
      </c>
    </row>
    <row r="809" spans="1:11" x14ac:dyDescent="0.25">
      <c r="A809" s="8">
        <v>45565</v>
      </c>
      <c r="B809">
        <v>8411.26</v>
      </c>
      <c r="C809">
        <f t="shared" si="48"/>
        <v>-1.3543276797463033E-2</v>
      </c>
      <c r="D809" s="35">
        <v>14610.8</v>
      </c>
      <c r="E809" s="45">
        <f t="shared" si="51"/>
        <v>-1.1768843677290142E-2</v>
      </c>
      <c r="G809">
        <v>872.9</v>
      </c>
      <c r="H809" s="45">
        <f t="shared" si="49"/>
        <v>-1.9599034087718348E-2</v>
      </c>
      <c r="I809">
        <v>13890600</v>
      </c>
      <c r="J809" s="38" t="s">
        <v>820</v>
      </c>
      <c r="K809" s="45">
        <f t="shared" si="50"/>
        <v>-2.5715597734578211E-2</v>
      </c>
    </row>
    <row r="810" spans="1:11" x14ac:dyDescent="0.25">
      <c r="A810" s="8">
        <v>45566</v>
      </c>
      <c r="B810">
        <v>8378.2099999999991</v>
      </c>
      <c r="C810">
        <f t="shared" si="48"/>
        <v>-3.9292567344251239E-3</v>
      </c>
      <c r="D810" s="35">
        <v>14616.8</v>
      </c>
      <c r="E810" s="45">
        <f t="shared" si="51"/>
        <v>4.1065513182036995E-4</v>
      </c>
      <c r="G810">
        <v>889.85</v>
      </c>
      <c r="H810" s="45">
        <f t="shared" si="49"/>
        <v>1.9418031847863393E-2</v>
      </c>
      <c r="I810">
        <v>11534800</v>
      </c>
      <c r="J810" s="38" t="s">
        <v>821</v>
      </c>
      <c r="K810" s="45">
        <f t="shared" si="50"/>
        <v>1.0997643362138376E-3</v>
      </c>
    </row>
    <row r="811" spans="1:11" x14ac:dyDescent="0.25">
      <c r="A811" s="8">
        <v>45568</v>
      </c>
      <c r="B811">
        <v>8387.57</v>
      </c>
      <c r="C811">
        <f t="shared" si="48"/>
        <v>1.1171837421120046E-3</v>
      </c>
      <c r="D811" s="35">
        <v>14300.2</v>
      </c>
      <c r="E811" s="45">
        <f t="shared" si="51"/>
        <v>-2.1660007662415715E-2</v>
      </c>
      <c r="G811">
        <v>870.05</v>
      </c>
      <c r="H811" s="45">
        <f t="shared" si="49"/>
        <v>-2.225094116986015E-2</v>
      </c>
      <c r="I811">
        <v>11488100</v>
      </c>
      <c r="J811" s="38" t="s">
        <v>822</v>
      </c>
      <c r="K811" s="45">
        <f t="shared" si="50"/>
        <v>-1.4163527934714537E-2</v>
      </c>
    </row>
    <row r="812" spans="1:11" x14ac:dyDescent="0.25">
      <c r="A812" s="8">
        <v>45569</v>
      </c>
      <c r="B812">
        <v>8199.3799999999992</v>
      </c>
      <c r="C812">
        <f t="shared" si="48"/>
        <v>-2.2436772509797254E-2</v>
      </c>
      <c r="D812" s="35">
        <v>14165.05</v>
      </c>
      <c r="E812" s="45">
        <f t="shared" si="51"/>
        <v>-9.4509167703948904E-3</v>
      </c>
      <c r="G812">
        <v>868.85</v>
      </c>
      <c r="H812" s="45">
        <f t="shared" si="49"/>
        <v>-1.3792310786735484E-3</v>
      </c>
      <c r="I812">
        <v>10081600</v>
      </c>
      <c r="J812" s="38" t="s">
        <v>823</v>
      </c>
      <c r="K812" s="45">
        <f t="shared" si="50"/>
        <v>-1.3212878576829623E-2</v>
      </c>
    </row>
    <row r="813" spans="1:11" x14ac:dyDescent="0.25">
      <c r="A813" s="8">
        <v>45572</v>
      </c>
      <c r="B813">
        <v>8148.18</v>
      </c>
      <c r="C813">
        <f t="shared" si="48"/>
        <v>-6.2443745746628698E-3</v>
      </c>
      <c r="D813" s="35">
        <v>13978.9</v>
      </c>
      <c r="E813" s="45">
        <f t="shared" si="51"/>
        <v>-1.3141499677021939E-2</v>
      </c>
      <c r="G813">
        <v>866.4</v>
      </c>
      <c r="H813" s="45">
        <f t="shared" si="49"/>
        <v>-2.8198193013754258E-3</v>
      </c>
      <c r="I813">
        <v>8131000</v>
      </c>
      <c r="J813" s="38" t="s">
        <v>824</v>
      </c>
      <c r="K813" s="45">
        <f t="shared" si="50"/>
        <v>-4.7186932849364593E-3</v>
      </c>
    </row>
    <row r="814" spans="1:11" x14ac:dyDescent="0.25">
      <c r="A814" s="8">
        <v>45573</v>
      </c>
      <c r="B814">
        <v>8176.06</v>
      </c>
      <c r="C814">
        <f t="shared" si="48"/>
        <v>3.4216229882011451E-3</v>
      </c>
      <c r="D814" s="35">
        <v>14168.15</v>
      </c>
      <c r="E814" s="45">
        <f t="shared" si="51"/>
        <v>1.3538261236577975E-2</v>
      </c>
      <c r="G814">
        <v>869.85</v>
      </c>
      <c r="H814" s="45">
        <f t="shared" si="49"/>
        <v>3.9819944598338264E-3</v>
      </c>
      <c r="I814">
        <v>16266900</v>
      </c>
      <c r="J814" s="38" t="s">
        <v>825</v>
      </c>
      <c r="K814" s="45">
        <f t="shared" si="50"/>
        <v>2.1881838074395699E-3</v>
      </c>
    </row>
    <row r="815" spans="1:11" x14ac:dyDescent="0.25">
      <c r="A815" s="8">
        <v>45574</v>
      </c>
      <c r="B815">
        <v>8094.8</v>
      </c>
      <c r="C815">
        <f t="shared" si="48"/>
        <v>-9.938772464977097E-3</v>
      </c>
      <c r="D815" s="35">
        <v>14199.75</v>
      </c>
      <c r="E815" s="45">
        <f t="shared" si="51"/>
        <v>2.2303547040369853E-3</v>
      </c>
      <c r="G815">
        <v>868.25</v>
      </c>
      <c r="H815" s="45">
        <f t="shared" si="49"/>
        <v>-1.839397597286907E-3</v>
      </c>
      <c r="I815">
        <v>9208400</v>
      </c>
      <c r="J815" s="38" t="s">
        <v>826</v>
      </c>
      <c r="K815" s="45">
        <f t="shared" si="50"/>
        <v>6.105450428594672E-3</v>
      </c>
    </row>
    <row r="816" spans="1:11" x14ac:dyDescent="0.25">
      <c r="A816" s="8">
        <v>45575</v>
      </c>
      <c r="B816">
        <v>8094.96</v>
      </c>
      <c r="C816">
        <f t="shared" si="48"/>
        <v>1.9765775559621446E-5</v>
      </c>
      <c r="D816" s="35">
        <v>14194.25</v>
      </c>
      <c r="E816" s="45">
        <f t="shared" si="51"/>
        <v>-3.8733076286556756E-4</v>
      </c>
      <c r="G816">
        <v>842.95</v>
      </c>
      <c r="H816" s="45">
        <f t="shared" si="49"/>
        <v>-2.9139072847682024E-2</v>
      </c>
      <c r="I816">
        <v>9513200</v>
      </c>
      <c r="J816" s="38" t="s">
        <v>827</v>
      </c>
      <c r="K816" s="45">
        <f t="shared" si="50"/>
        <v>-5.2244504280041237E-4</v>
      </c>
    </row>
    <row r="817" spans="1:11" x14ac:dyDescent="0.25">
      <c r="A817" s="8">
        <v>45576</v>
      </c>
      <c r="B817">
        <v>8062.93</v>
      </c>
      <c r="C817">
        <f t="shared" si="48"/>
        <v>-3.9567829859566972E-3</v>
      </c>
      <c r="D817" s="35">
        <v>14194</v>
      </c>
      <c r="E817" s="45">
        <f t="shared" si="51"/>
        <v>-1.7612765732644142E-5</v>
      </c>
      <c r="G817">
        <v>829.45</v>
      </c>
      <c r="H817" s="45">
        <f t="shared" si="49"/>
        <v>-1.6015184767779855E-2</v>
      </c>
      <c r="I817">
        <v>10032200</v>
      </c>
      <c r="J817" s="38" t="s">
        <v>775</v>
      </c>
      <c r="K817" s="45">
        <f t="shared" si="50"/>
        <v>-1.6485725774024962E-2</v>
      </c>
    </row>
    <row r="818" spans="1:11" x14ac:dyDescent="0.25">
      <c r="A818" s="8">
        <v>45579</v>
      </c>
      <c r="B818">
        <v>8187.4</v>
      </c>
      <c r="C818">
        <f t="shared" si="48"/>
        <v>1.5437316211352359E-2</v>
      </c>
      <c r="D818" s="35">
        <v>14269.35</v>
      </c>
      <c r="E818" s="45">
        <f t="shared" si="51"/>
        <v>5.3085810906017272E-3</v>
      </c>
      <c r="G818">
        <v>832.3</v>
      </c>
      <c r="H818" s="45">
        <f t="shared" si="49"/>
        <v>3.4360118150580377E-3</v>
      </c>
      <c r="I818">
        <v>8082700</v>
      </c>
      <c r="J818" s="38" t="s">
        <v>828</v>
      </c>
      <c r="K818" s="45">
        <f t="shared" si="50"/>
        <v>7.1545380212592047E-3</v>
      </c>
    </row>
    <row r="819" spans="1:11" x14ac:dyDescent="0.25">
      <c r="A819" s="8">
        <v>45580</v>
      </c>
      <c r="B819">
        <v>8241.15</v>
      </c>
      <c r="C819">
        <f t="shared" si="48"/>
        <v>6.5649656789701361E-3</v>
      </c>
      <c r="D819" s="35">
        <v>14252.4</v>
      </c>
      <c r="E819" s="45">
        <f t="shared" si="51"/>
        <v>-1.1878606944255576E-3</v>
      </c>
      <c r="G819">
        <v>847.55</v>
      </c>
      <c r="H819" s="45">
        <f t="shared" si="49"/>
        <v>1.8322720173014506E-2</v>
      </c>
      <c r="I819">
        <v>6442600</v>
      </c>
      <c r="J819" s="38" t="s">
        <v>829</v>
      </c>
      <c r="K819" s="45">
        <f t="shared" si="50"/>
        <v>1.928151004668166E-2</v>
      </c>
    </row>
    <row r="820" spans="1:11" x14ac:dyDescent="0.25">
      <c r="A820" s="8">
        <v>45581</v>
      </c>
      <c r="B820">
        <v>8110.99</v>
      </c>
      <c r="C820">
        <f t="shared" si="48"/>
        <v>-1.579391225739124E-2</v>
      </c>
      <c r="D820" s="35">
        <v>14205.5</v>
      </c>
      <c r="E820" s="45">
        <f t="shared" si="51"/>
        <v>-3.2906738514214551E-3</v>
      </c>
      <c r="G820">
        <v>872.9</v>
      </c>
      <c r="H820" s="45">
        <f t="shared" si="49"/>
        <v>2.9909739838357652E-2</v>
      </c>
      <c r="I820">
        <v>6972000</v>
      </c>
      <c r="J820" s="38" t="s">
        <v>830</v>
      </c>
      <c r="K820" s="45">
        <f t="shared" si="50"/>
        <v>-9.8367184388689077E-3</v>
      </c>
    </row>
    <row r="821" spans="1:11" x14ac:dyDescent="0.25">
      <c r="A821" s="8">
        <v>45582</v>
      </c>
      <c r="B821">
        <v>8189.11</v>
      </c>
      <c r="C821">
        <f t="shared" si="48"/>
        <v>9.6313766876792162E-3</v>
      </c>
      <c r="D821" s="35">
        <v>14033.05</v>
      </c>
      <c r="E821" s="45">
        <f t="shared" si="51"/>
        <v>-1.2139664214564805E-2</v>
      </c>
      <c r="G821">
        <v>845.4</v>
      </c>
      <c r="H821" s="45">
        <f t="shared" si="49"/>
        <v>-3.1504181464085179E-2</v>
      </c>
      <c r="I821">
        <v>11624100</v>
      </c>
      <c r="J821" s="38" t="s">
        <v>831</v>
      </c>
      <c r="K821" s="45">
        <f t="shared" si="50"/>
        <v>-9.5724570647146567E-3</v>
      </c>
    </row>
    <row r="822" spans="1:11" x14ac:dyDescent="0.25">
      <c r="A822" s="8">
        <v>45583</v>
      </c>
      <c r="B822">
        <v>8270.8799999999992</v>
      </c>
      <c r="C822">
        <f t="shared" si="48"/>
        <v>9.9852120682222267E-3</v>
      </c>
      <c r="D822" s="35">
        <v>14080.5</v>
      </c>
      <c r="E822" s="45">
        <f t="shared" si="51"/>
        <v>3.3813034229908112E-3</v>
      </c>
      <c r="G822">
        <v>859.85</v>
      </c>
      <c r="H822" s="45">
        <f t="shared" si="49"/>
        <v>1.7092500591435966E-2</v>
      </c>
      <c r="I822">
        <v>6941200</v>
      </c>
      <c r="J822" s="38" t="s">
        <v>832</v>
      </c>
      <c r="K822" s="45">
        <f t="shared" si="50"/>
        <v>2.7005076142131879E-2</v>
      </c>
    </row>
    <row r="823" spans="1:11" x14ac:dyDescent="0.25">
      <c r="A823" s="8">
        <v>45586</v>
      </c>
      <c r="B823">
        <v>8305.25</v>
      </c>
      <c r="C823">
        <f t="shared" si="48"/>
        <v>4.155543303735687E-3</v>
      </c>
      <c r="D823" s="35">
        <v>13989.4</v>
      </c>
      <c r="E823" s="45">
        <f t="shared" si="51"/>
        <v>-6.4699406981286733E-3</v>
      </c>
      <c r="G823">
        <v>849.8</v>
      </c>
      <c r="H823" s="45">
        <f t="shared" si="49"/>
        <v>-1.1688085131127623E-2</v>
      </c>
      <c r="I823">
        <v>8578200</v>
      </c>
      <c r="J823" s="38" t="s">
        <v>833</v>
      </c>
      <c r="K823" s="45">
        <f t="shared" si="50"/>
        <v>-4.3100039541320578E-3</v>
      </c>
    </row>
    <row r="824" spans="1:11" x14ac:dyDescent="0.25">
      <c r="A824" s="8">
        <v>45587</v>
      </c>
      <c r="B824">
        <v>8145.53</v>
      </c>
      <c r="C824">
        <f t="shared" si="48"/>
        <v>-1.9231209174919495E-2</v>
      </c>
      <c r="D824" s="35">
        <v>13751.3</v>
      </c>
      <c r="E824" s="45">
        <f t="shared" si="51"/>
        <v>-1.702002945087E-2</v>
      </c>
      <c r="G824">
        <v>845.9</v>
      </c>
      <c r="H824" s="45">
        <f t="shared" si="49"/>
        <v>-4.5893151329724491E-3</v>
      </c>
      <c r="I824">
        <v>8025800</v>
      </c>
      <c r="J824" s="38" t="s">
        <v>834</v>
      </c>
      <c r="K824" s="45">
        <f t="shared" si="50"/>
        <v>6.7114093959732557E-3</v>
      </c>
    </row>
    <row r="825" spans="1:11" x14ac:dyDescent="0.25">
      <c r="A825" s="8">
        <v>45588</v>
      </c>
      <c r="B825">
        <v>8100.71</v>
      </c>
      <c r="C825">
        <f t="shared" si="48"/>
        <v>-5.5024043862093031E-3</v>
      </c>
      <c r="D825" s="35">
        <v>13753.45</v>
      </c>
      <c r="E825" s="45">
        <f t="shared" si="51"/>
        <v>1.5634885429016698E-4</v>
      </c>
      <c r="G825">
        <v>836.8</v>
      </c>
      <c r="H825" s="45">
        <f t="shared" si="49"/>
        <v>-1.0757772786381348E-2</v>
      </c>
      <c r="I825">
        <v>9189300</v>
      </c>
      <c r="J825" s="38" t="s">
        <v>835</v>
      </c>
      <c r="K825" s="45">
        <f t="shared" si="50"/>
        <v>-1.2544378698224889E-2</v>
      </c>
    </row>
    <row r="826" spans="1:11" x14ac:dyDescent="0.25">
      <c r="A826" s="8">
        <v>45589</v>
      </c>
      <c r="B826">
        <v>8037.06</v>
      </c>
      <c r="C826">
        <f t="shared" si="48"/>
        <v>-7.8573359619095173E-3</v>
      </c>
      <c r="D826" s="35">
        <v>13725.55</v>
      </c>
      <c r="E826" s="45">
        <f t="shared" si="51"/>
        <v>-2.028581919445771E-3</v>
      </c>
      <c r="G826">
        <v>836.25</v>
      </c>
      <c r="H826" s="45">
        <f t="shared" si="49"/>
        <v>-6.5726577437852374E-4</v>
      </c>
      <c r="I826">
        <v>8439600</v>
      </c>
      <c r="J826" s="38" t="s">
        <v>836</v>
      </c>
      <c r="K826" s="45">
        <f t="shared" si="50"/>
        <v>9.188239054012115E-4</v>
      </c>
    </row>
    <row r="827" spans="1:11" x14ac:dyDescent="0.25">
      <c r="A827" s="8">
        <v>45590</v>
      </c>
      <c r="B827">
        <v>7992.49</v>
      </c>
      <c r="C827">
        <f t="shared" si="48"/>
        <v>-5.545560192408705E-3</v>
      </c>
      <c r="D827" s="35">
        <v>13567.5</v>
      </c>
      <c r="E827" s="45">
        <f t="shared" si="51"/>
        <v>-1.1515021255978808E-2</v>
      </c>
      <c r="G827">
        <v>834.75</v>
      </c>
      <c r="H827" s="45">
        <f t="shared" si="49"/>
        <v>-1.7937219730941312E-3</v>
      </c>
      <c r="I827">
        <v>15081400</v>
      </c>
      <c r="J827" s="38" t="s">
        <v>837</v>
      </c>
      <c r="K827" s="45">
        <f t="shared" si="50"/>
        <v>2.1552584314508128E-3</v>
      </c>
    </row>
    <row r="828" spans="1:11" x14ac:dyDescent="0.25">
      <c r="A828" s="8">
        <v>45593</v>
      </c>
      <c r="B828">
        <v>7965.32</v>
      </c>
      <c r="C828">
        <f t="shared" si="48"/>
        <v>-3.3994412254504391E-3</v>
      </c>
      <c r="D828" s="35">
        <v>13655.35</v>
      </c>
      <c r="E828" s="45">
        <f t="shared" si="51"/>
        <v>6.4750322461766263E-3</v>
      </c>
      <c r="G828">
        <v>858.35</v>
      </c>
      <c r="H828" s="45">
        <f t="shared" si="49"/>
        <v>2.8271937705899974E-2</v>
      </c>
      <c r="I828">
        <v>7723700</v>
      </c>
      <c r="J828" s="38" t="s">
        <v>838</v>
      </c>
      <c r="K828" s="45">
        <f t="shared" si="50"/>
        <v>2.9790115098171865E-2</v>
      </c>
    </row>
    <row r="829" spans="1:11" x14ac:dyDescent="0.25">
      <c r="A829" s="8">
        <v>45594</v>
      </c>
      <c r="B829">
        <v>7855.44</v>
      </c>
      <c r="C829">
        <f t="shared" si="48"/>
        <v>-1.3794800459994039E-2</v>
      </c>
      <c r="D829" s="35">
        <v>13742.3</v>
      </c>
      <c r="E829" s="45">
        <f t="shared" si="51"/>
        <v>6.367467695811424E-3</v>
      </c>
      <c r="G829">
        <v>882.1</v>
      </c>
      <c r="H829" s="45">
        <f t="shared" si="49"/>
        <v>2.7669365643385513E-2</v>
      </c>
      <c r="I829">
        <v>5924200</v>
      </c>
      <c r="J829" s="38" t="s">
        <v>839</v>
      </c>
      <c r="K829" s="45">
        <f t="shared" si="50"/>
        <v>3.0165912518853588E-2</v>
      </c>
    </row>
    <row r="830" spans="1:11" x14ac:dyDescent="0.25">
      <c r="A830" s="8">
        <v>45595</v>
      </c>
      <c r="B830">
        <v>7719.78</v>
      </c>
      <c r="C830">
        <f t="shared" si="48"/>
        <v>-1.7269560966667652E-2</v>
      </c>
      <c r="D830" s="35">
        <v>13688.7</v>
      </c>
      <c r="E830" s="45">
        <f t="shared" si="51"/>
        <v>-3.9003660231546888E-3</v>
      </c>
      <c r="G830">
        <v>873.1</v>
      </c>
      <c r="H830" s="45">
        <f t="shared" si="49"/>
        <v>-1.0202924838453642E-2</v>
      </c>
      <c r="I830">
        <v>10432400</v>
      </c>
      <c r="J830" s="38" t="s">
        <v>840</v>
      </c>
      <c r="K830" s="45">
        <f t="shared" si="50"/>
        <v>-1.4791455494237216E-2</v>
      </c>
    </row>
    <row r="831" spans="1:11" x14ac:dyDescent="0.25">
      <c r="A831" s="8">
        <v>45596</v>
      </c>
      <c r="B831">
        <v>7780.33</v>
      </c>
      <c r="C831">
        <f t="shared" si="48"/>
        <v>7.8434877677862058E-3</v>
      </c>
      <c r="D831" s="35">
        <v>13618.2</v>
      </c>
      <c r="E831" s="45">
        <f t="shared" si="51"/>
        <v>-5.1502334041947373E-3</v>
      </c>
      <c r="G831">
        <v>867.6</v>
      </c>
      <c r="H831" s="45">
        <f t="shared" si="49"/>
        <v>-6.2993929675867477E-3</v>
      </c>
      <c r="I831">
        <v>8757400</v>
      </c>
      <c r="J831" s="38" t="s">
        <v>841</v>
      </c>
      <c r="K831" s="45">
        <f t="shared" si="50"/>
        <v>-1.5165949014975477E-2</v>
      </c>
    </row>
    <row r="832" spans="1:11" x14ac:dyDescent="0.25">
      <c r="A832" s="8">
        <v>45597</v>
      </c>
      <c r="B832">
        <v>7976.45</v>
      </c>
      <c r="C832">
        <f t="shared" si="48"/>
        <v>2.520715702290266E-2</v>
      </c>
      <c r="D832" s="35">
        <v>13690.35</v>
      </c>
      <c r="E832" s="45">
        <f t="shared" si="51"/>
        <v>5.2980570119398607E-3</v>
      </c>
      <c r="G832">
        <v>863.9</v>
      </c>
      <c r="H832" s="45">
        <f t="shared" si="49"/>
        <v>-4.2646380820655638E-3</v>
      </c>
      <c r="I832">
        <v>8548000</v>
      </c>
      <c r="J832" s="38" t="s">
        <v>842</v>
      </c>
      <c r="K832" s="45">
        <f t="shared" si="50"/>
        <v>-3.4822983168891763E-4</v>
      </c>
    </row>
    <row r="833" spans="1:11" x14ac:dyDescent="0.25">
      <c r="A833" s="8">
        <v>45600</v>
      </c>
      <c r="B833">
        <v>7933.86</v>
      </c>
      <c r="C833">
        <f t="shared" si="48"/>
        <v>-5.3394680590990173E-3</v>
      </c>
      <c r="D833" s="35">
        <v>13513.55</v>
      </c>
      <c r="E833" s="45">
        <f t="shared" si="51"/>
        <v>-1.2914205991811811E-2</v>
      </c>
      <c r="G833">
        <v>853.1</v>
      </c>
      <c r="H833" s="45">
        <f t="shared" si="49"/>
        <v>-1.2501446926727611E-2</v>
      </c>
      <c r="I833">
        <v>10805400</v>
      </c>
      <c r="J833" s="38" t="s">
        <v>843</v>
      </c>
      <c r="K833" s="45">
        <f t="shared" si="50"/>
        <v>-1.1302059142281995E-2</v>
      </c>
    </row>
    <row r="834" spans="1:11" x14ac:dyDescent="0.25">
      <c r="A834" s="8">
        <v>45601</v>
      </c>
      <c r="B834">
        <v>7850.23</v>
      </c>
      <c r="C834">
        <f t="shared" si="48"/>
        <v>-1.0540896864829952E-2</v>
      </c>
      <c r="D834" s="35">
        <v>13618.85</v>
      </c>
      <c r="E834" s="45">
        <f t="shared" si="51"/>
        <v>7.7921789611168357E-3</v>
      </c>
      <c r="G834">
        <v>861.95</v>
      </c>
      <c r="H834" s="45">
        <f t="shared" si="49"/>
        <v>1.037393037158596E-2</v>
      </c>
      <c r="I834">
        <v>11239200</v>
      </c>
      <c r="J834" s="38" t="s">
        <v>844</v>
      </c>
      <c r="K834" s="45">
        <f t="shared" si="50"/>
        <v>1.52677732539932E-2</v>
      </c>
    </row>
    <row r="835" spans="1:11" x14ac:dyDescent="0.25">
      <c r="A835" s="8">
        <v>45602</v>
      </c>
      <c r="B835">
        <v>7860.36</v>
      </c>
      <c r="C835">
        <f t="shared" si="48"/>
        <v>1.290408051738634E-3</v>
      </c>
      <c r="D835" s="35">
        <v>13824.1</v>
      </c>
      <c r="E835" s="45">
        <f t="shared" si="51"/>
        <v>1.5071022883723639E-2</v>
      </c>
      <c r="G835">
        <v>867.5</v>
      </c>
      <c r="H835" s="45">
        <f t="shared" si="49"/>
        <v>6.4388885666222251E-3</v>
      </c>
      <c r="I835">
        <v>11378600</v>
      </c>
      <c r="J835" s="38" t="s">
        <v>845</v>
      </c>
      <c r="K835" s="45">
        <f t="shared" si="50"/>
        <v>4.3572144674943747E-3</v>
      </c>
    </row>
    <row r="836" spans="1:11" x14ac:dyDescent="0.25">
      <c r="A836" s="8">
        <v>45603</v>
      </c>
      <c r="B836">
        <v>7953.46</v>
      </c>
      <c r="C836">
        <f t="shared" ref="C836:C899" si="52">B836/B835-1</f>
        <v>1.1844241230681618E-2</v>
      </c>
      <c r="D836" s="35">
        <v>13681.75</v>
      </c>
      <c r="E836" s="45">
        <f t="shared" si="51"/>
        <v>-1.0297234539680677E-2</v>
      </c>
      <c r="G836">
        <v>852.45</v>
      </c>
      <c r="H836" s="45">
        <f t="shared" ref="H836:H899" si="53">G836/G835-1</f>
        <v>-1.734870317002879E-2</v>
      </c>
      <c r="I836">
        <v>8701300</v>
      </c>
      <c r="J836" s="38" t="s">
        <v>846</v>
      </c>
      <c r="K836" s="45">
        <f t="shared" ref="K836:K899" si="54">J836/J835-1</f>
        <v>-1.8159480938303774E-2</v>
      </c>
    </row>
    <row r="837" spans="1:11" x14ac:dyDescent="0.25">
      <c r="A837" s="8">
        <v>45604</v>
      </c>
      <c r="B837">
        <v>7920.32</v>
      </c>
      <c r="C837">
        <f t="shared" si="52"/>
        <v>-4.1667400100082741E-3</v>
      </c>
      <c r="D837" s="35">
        <v>13602.3</v>
      </c>
      <c r="E837" s="45">
        <f t="shared" ref="E837:E900" si="55">D837/D836-1</f>
        <v>-5.8070056827526084E-3</v>
      </c>
      <c r="G837">
        <v>843.2</v>
      </c>
      <c r="H837" s="45">
        <f t="shared" si="53"/>
        <v>-1.0851076309460916E-2</v>
      </c>
      <c r="I837">
        <v>6128000</v>
      </c>
      <c r="J837" s="38" t="s">
        <v>847</v>
      </c>
      <c r="K837" s="45">
        <f t="shared" si="54"/>
        <v>-1.5523578634550783E-2</v>
      </c>
    </row>
    <row r="838" spans="1:11" x14ac:dyDescent="0.25">
      <c r="A838" s="8">
        <v>45607</v>
      </c>
      <c r="B838">
        <v>7924.62</v>
      </c>
      <c r="C838">
        <f t="shared" si="52"/>
        <v>5.4290735727846595E-4</v>
      </c>
      <c r="D838" s="35">
        <v>13586.75</v>
      </c>
      <c r="E838" s="45">
        <f t="shared" si="55"/>
        <v>-1.1431890195040539E-3</v>
      </c>
      <c r="G838">
        <v>841.9</v>
      </c>
      <c r="H838" s="45">
        <f t="shared" si="53"/>
        <v>-1.5417457305503257E-3</v>
      </c>
      <c r="I838">
        <v>6917400</v>
      </c>
      <c r="J838" s="38" t="s">
        <v>848</v>
      </c>
      <c r="K838" s="45">
        <f t="shared" si="54"/>
        <v>8.3012273106406465E-3</v>
      </c>
    </row>
    <row r="839" spans="1:11" x14ac:dyDescent="0.25">
      <c r="A839" s="8">
        <v>45608</v>
      </c>
      <c r="B839">
        <v>7966.79</v>
      </c>
      <c r="C839">
        <f t="shared" si="52"/>
        <v>5.3213908048588277E-3</v>
      </c>
      <c r="D839" s="35">
        <v>13427.8</v>
      </c>
      <c r="E839" s="45">
        <f t="shared" si="55"/>
        <v>-1.1698897823246956E-2</v>
      </c>
      <c r="G839">
        <v>842.65</v>
      </c>
      <c r="H839" s="45">
        <f t="shared" si="53"/>
        <v>8.9084214277224127E-4</v>
      </c>
      <c r="I839">
        <v>5617900</v>
      </c>
      <c r="J839" s="38" t="s">
        <v>849</v>
      </c>
      <c r="K839" s="45">
        <f t="shared" si="54"/>
        <v>1.0241865595208566E-3</v>
      </c>
    </row>
    <row r="840" spans="1:11" x14ac:dyDescent="0.25">
      <c r="A840" s="8">
        <v>45609</v>
      </c>
      <c r="B840">
        <v>7886.48</v>
      </c>
      <c r="C840">
        <f t="shared" si="52"/>
        <v>-1.0080597078622633E-2</v>
      </c>
      <c r="D840" s="35">
        <v>13201.95</v>
      </c>
      <c r="E840" s="45">
        <f t="shared" si="55"/>
        <v>-1.6819583252654868E-2</v>
      </c>
      <c r="G840">
        <v>841</v>
      </c>
      <c r="H840" s="45">
        <f t="shared" si="53"/>
        <v>-1.9581083486619466E-3</v>
      </c>
      <c r="I840">
        <v>7336400</v>
      </c>
      <c r="J840" s="38" t="s">
        <v>850</v>
      </c>
      <c r="K840" s="45">
        <f t="shared" si="54"/>
        <v>-1.3300802770344622E-2</v>
      </c>
    </row>
    <row r="841" spans="1:11" x14ac:dyDescent="0.25">
      <c r="A841" s="8">
        <v>45610</v>
      </c>
      <c r="B841">
        <v>7929.7</v>
      </c>
      <c r="C841">
        <f t="shared" si="52"/>
        <v>5.4802649597793796E-3</v>
      </c>
      <c r="D841" s="35">
        <v>13220.4</v>
      </c>
      <c r="E841" s="45">
        <f t="shared" si="55"/>
        <v>1.397520820787701E-3</v>
      </c>
      <c r="G841">
        <v>843.65</v>
      </c>
      <c r="H841" s="45">
        <f t="shared" si="53"/>
        <v>3.1510107015457756E-3</v>
      </c>
      <c r="I841">
        <v>6488200</v>
      </c>
      <c r="J841" s="38" t="s">
        <v>851</v>
      </c>
      <c r="K841" s="45">
        <f t="shared" si="54"/>
        <v>2.5923267129297489E-3</v>
      </c>
    </row>
    <row r="842" spans="1:11" x14ac:dyDescent="0.25">
      <c r="A842" s="8">
        <v>45614</v>
      </c>
      <c r="B842">
        <v>8138.86</v>
      </c>
      <c r="C842">
        <f t="shared" si="52"/>
        <v>2.6376786007036745E-2</v>
      </c>
      <c r="D842" s="35">
        <v>13191</v>
      </c>
      <c r="E842" s="45">
        <f t="shared" si="55"/>
        <v>-2.2238358899882016E-3</v>
      </c>
      <c r="G842">
        <v>841.55</v>
      </c>
      <c r="H842" s="45">
        <f t="shared" si="53"/>
        <v>-2.4891839032774588E-3</v>
      </c>
      <c r="I842">
        <v>10319200</v>
      </c>
      <c r="J842" s="38" t="s">
        <v>852</v>
      </c>
      <c r="K842" s="45">
        <f t="shared" si="54"/>
        <v>-2.7845180794781044E-3</v>
      </c>
    </row>
    <row r="843" spans="1:11" x14ac:dyDescent="0.25">
      <c r="A843" s="8">
        <v>45615</v>
      </c>
      <c r="B843">
        <v>8169.07</v>
      </c>
      <c r="C843">
        <f t="shared" si="52"/>
        <v>3.7118220487881715E-3</v>
      </c>
      <c r="D843" s="35">
        <v>13244.8</v>
      </c>
      <c r="E843" s="45">
        <f t="shared" si="55"/>
        <v>4.0785383973920286E-3</v>
      </c>
      <c r="G843">
        <v>839.55</v>
      </c>
      <c r="H843" s="45">
        <f t="shared" si="53"/>
        <v>-2.3765670488978818E-3</v>
      </c>
      <c r="I843">
        <v>21161600</v>
      </c>
      <c r="J843" s="38" t="s">
        <v>853</v>
      </c>
      <c r="K843" s="45">
        <f t="shared" si="54"/>
        <v>-3.4704216362839713E-3</v>
      </c>
    </row>
    <row r="844" spans="1:11" x14ac:dyDescent="0.25">
      <c r="A844" s="8">
        <v>45617</v>
      </c>
      <c r="B844">
        <v>8241.51</v>
      </c>
      <c r="C844">
        <f t="shared" si="52"/>
        <v>8.8675944752585334E-3</v>
      </c>
      <c r="D844" s="35">
        <v>13129.7</v>
      </c>
      <c r="E844" s="45">
        <f t="shared" si="55"/>
        <v>-8.6902029475717235E-3</v>
      </c>
      <c r="G844">
        <v>837.15</v>
      </c>
      <c r="H844" s="45">
        <f t="shared" si="53"/>
        <v>-2.8586742897980244E-3</v>
      </c>
      <c r="I844">
        <v>4592900</v>
      </c>
      <c r="J844" s="38" t="s">
        <v>854</v>
      </c>
      <c r="K844" s="45">
        <f t="shared" si="54"/>
        <v>1.1608358017773934E-3</v>
      </c>
    </row>
    <row r="845" spans="1:11" x14ac:dyDescent="0.25">
      <c r="A845" s="8">
        <v>45618</v>
      </c>
      <c r="B845">
        <v>8163.94</v>
      </c>
      <c r="C845">
        <f t="shared" si="52"/>
        <v>-9.4121101594247802E-3</v>
      </c>
      <c r="D845" s="35">
        <v>13390.8</v>
      </c>
      <c r="E845" s="45">
        <f t="shared" si="55"/>
        <v>1.9886212175449502E-2</v>
      </c>
      <c r="G845">
        <v>850.95</v>
      </c>
      <c r="H845" s="45">
        <f t="shared" si="53"/>
        <v>1.6484500985486594E-2</v>
      </c>
      <c r="I845">
        <v>9147000</v>
      </c>
      <c r="J845" s="38" t="s">
        <v>855</v>
      </c>
      <c r="K845" s="45">
        <f t="shared" si="54"/>
        <v>2.1990324257326721E-2</v>
      </c>
    </row>
    <row r="846" spans="1:11" x14ac:dyDescent="0.25">
      <c r="A846" s="8">
        <v>45621</v>
      </c>
      <c r="B846">
        <v>8197.84</v>
      </c>
      <c r="C846">
        <f t="shared" si="52"/>
        <v>4.1524068035776462E-3</v>
      </c>
      <c r="D846" s="35">
        <v>13579.75</v>
      </c>
      <c r="E846" s="45">
        <f t="shared" si="55"/>
        <v>1.4110434029333652E-2</v>
      </c>
      <c r="G846">
        <v>873.05</v>
      </c>
      <c r="H846" s="45">
        <f t="shared" si="53"/>
        <v>2.597097361772116E-2</v>
      </c>
      <c r="I846">
        <v>7215500</v>
      </c>
      <c r="J846" s="38" t="s">
        <v>856</v>
      </c>
      <c r="K846" s="45">
        <f t="shared" si="54"/>
        <v>1.791792183404417E-2</v>
      </c>
    </row>
    <row r="847" spans="1:11" x14ac:dyDescent="0.25">
      <c r="A847" s="8">
        <v>45622</v>
      </c>
      <c r="B847">
        <v>8155.05</v>
      </c>
      <c r="C847">
        <f t="shared" si="52"/>
        <v>-5.2196676197632241E-3</v>
      </c>
      <c r="D847" s="35">
        <v>13575.55</v>
      </c>
      <c r="E847" s="45">
        <f t="shared" si="55"/>
        <v>-3.0928404425711875E-4</v>
      </c>
      <c r="G847">
        <v>876.2</v>
      </c>
      <c r="H847" s="45">
        <f t="shared" si="53"/>
        <v>3.6080407765879396E-3</v>
      </c>
      <c r="I847">
        <v>6834700</v>
      </c>
      <c r="J847" s="38" t="s">
        <v>857</v>
      </c>
      <c r="K847" s="45">
        <f t="shared" si="54"/>
        <v>3.0746761981628179E-3</v>
      </c>
    </row>
    <row r="848" spans="1:11" x14ac:dyDescent="0.25">
      <c r="A848" s="8">
        <v>45623</v>
      </c>
      <c r="B848">
        <v>8175.18</v>
      </c>
      <c r="C848">
        <f t="shared" si="52"/>
        <v>2.4684091452535917E-3</v>
      </c>
      <c r="D848" s="35">
        <v>13649.85</v>
      </c>
      <c r="E848" s="45">
        <f t="shared" si="55"/>
        <v>5.4730747557190096E-3</v>
      </c>
      <c r="G848">
        <v>875</v>
      </c>
      <c r="H848" s="45">
        <f t="shared" si="53"/>
        <v>-1.3695503309747448E-3</v>
      </c>
      <c r="I848">
        <v>6776600</v>
      </c>
      <c r="J848" s="38" t="s">
        <v>858</v>
      </c>
      <c r="K848" s="45">
        <f t="shared" si="54"/>
        <v>-3.2568297635924282E-3</v>
      </c>
    </row>
    <row r="849" spans="1:11" x14ac:dyDescent="0.25">
      <c r="A849" s="8">
        <v>45624</v>
      </c>
      <c r="B849">
        <v>8206.2800000000007</v>
      </c>
      <c r="C849">
        <f t="shared" si="52"/>
        <v>3.8041975834171016E-3</v>
      </c>
      <c r="D849" s="35">
        <v>13524.75</v>
      </c>
      <c r="E849" s="45">
        <f t="shared" si="55"/>
        <v>-9.1649358784162693E-3</v>
      </c>
      <c r="G849">
        <v>866.15</v>
      </c>
      <c r="H849" s="45">
        <f t="shared" si="53"/>
        <v>-1.0114285714285742E-2</v>
      </c>
      <c r="I849">
        <v>6104100</v>
      </c>
      <c r="J849" s="38" t="s">
        <v>859</v>
      </c>
      <c r="K849" s="45">
        <f t="shared" si="54"/>
        <v>-1.103252095025764E-2</v>
      </c>
    </row>
    <row r="850" spans="1:11" x14ac:dyDescent="0.25">
      <c r="A850" s="8">
        <v>45625</v>
      </c>
      <c r="B850">
        <v>8113.18</v>
      </c>
      <c r="C850">
        <f t="shared" si="52"/>
        <v>-1.1344969949843353E-2</v>
      </c>
      <c r="D850" s="35">
        <v>13627</v>
      </c>
      <c r="E850" s="45">
        <f t="shared" si="55"/>
        <v>7.5602136823231803E-3</v>
      </c>
      <c r="G850">
        <v>872.65</v>
      </c>
      <c r="H850" s="45">
        <f t="shared" si="53"/>
        <v>7.5044738209317785E-3</v>
      </c>
      <c r="I850">
        <v>7060100</v>
      </c>
      <c r="J850" s="38" t="s">
        <v>860</v>
      </c>
      <c r="K850" s="45">
        <f t="shared" si="54"/>
        <v>1.0689159249037905E-2</v>
      </c>
    </row>
    <row r="851" spans="1:11" x14ac:dyDescent="0.25">
      <c r="A851" s="8">
        <v>45628</v>
      </c>
      <c r="B851">
        <v>7991.85</v>
      </c>
      <c r="C851">
        <f t="shared" si="52"/>
        <v>-1.495467868332756E-2</v>
      </c>
      <c r="D851" s="35">
        <v>13716.95</v>
      </c>
      <c r="E851" s="45">
        <f t="shared" si="55"/>
        <v>6.6008659279372939E-3</v>
      </c>
      <c r="G851">
        <v>872.85</v>
      </c>
      <c r="H851" s="45">
        <f t="shared" si="53"/>
        <v>2.2918695926210653E-4</v>
      </c>
      <c r="I851">
        <v>9209500</v>
      </c>
      <c r="J851" s="38" t="s">
        <v>861</v>
      </c>
      <c r="K851" s="45">
        <f t="shared" si="54"/>
        <v>3.4997307899393704E-3</v>
      </c>
    </row>
    <row r="852" spans="1:11" x14ac:dyDescent="0.25">
      <c r="A852" s="8">
        <v>45629</v>
      </c>
      <c r="B852">
        <v>7950.07</v>
      </c>
      <c r="C852">
        <f t="shared" si="52"/>
        <v>-5.2278258475823014E-3</v>
      </c>
      <c r="D852" s="35">
        <v>13825.85</v>
      </c>
      <c r="E852" s="45">
        <f t="shared" si="55"/>
        <v>7.939082667794306E-3</v>
      </c>
      <c r="G852">
        <v>878.3</v>
      </c>
      <c r="H852" s="45">
        <f t="shared" si="53"/>
        <v>6.2439136163143782E-3</v>
      </c>
      <c r="I852">
        <v>8959200</v>
      </c>
      <c r="J852" s="38" t="s">
        <v>862</v>
      </c>
      <c r="K852" s="45">
        <f t="shared" si="54"/>
        <v>2.8743341125971877E-3</v>
      </c>
    </row>
    <row r="853" spans="1:11" x14ac:dyDescent="0.25">
      <c r="A853" s="8">
        <v>45630</v>
      </c>
      <c r="B853">
        <v>7892.87</v>
      </c>
      <c r="C853">
        <f t="shared" si="52"/>
        <v>-7.1949052020925386E-3</v>
      </c>
      <c r="D853" s="35">
        <v>13866.2</v>
      </c>
      <c r="E853" s="45">
        <f t="shared" si="55"/>
        <v>2.9184462438114345E-3</v>
      </c>
      <c r="G853">
        <v>881.1</v>
      </c>
      <c r="H853" s="45">
        <f t="shared" si="53"/>
        <v>3.1879767733120623E-3</v>
      </c>
      <c r="I853">
        <v>6167300</v>
      </c>
      <c r="J853" s="38" t="s">
        <v>863</v>
      </c>
      <c r="K853" s="45">
        <f t="shared" si="54"/>
        <v>5.8468358300212131E-3</v>
      </c>
    </row>
    <row r="854" spans="1:11" x14ac:dyDescent="0.25">
      <c r="A854" s="8">
        <v>45631</v>
      </c>
      <c r="B854">
        <v>7898.36</v>
      </c>
      <c r="C854">
        <f t="shared" si="52"/>
        <v>6.9556447781349284E-4</v>
      </c>
      <c r="D854" s="35">
        <v>13983.4</v>
      </c>
      <c r="E854" s="45">
        <f t="shared" si="55"/>
        <v>8.4522075262147833E-3</v>
      </c>
      <c r="G854">
        <v>892.35</v>
      </c>
      <c r="H854" s="45">
        <f t="shared" si="53"/>
        <v>1.2768130745658857E-2</v>
      </c>
      <c r="I854">
        <v>7123000</v>
      </c>
      <c r="J854" s="38" t="s">
        <v>864</v>
      </c>
      <c r="K854" s="45">
        <f t="shared" si="54"/>
        <v>1.5538923293187956E-2</v>
      </c>
    </row>
    <row r="855" spans="1:11" x14ac:dyDescent="0.25">
      <c r="A855" s="8">
        <v>45632</v>
      </c>
      <c r="B855">
        <v>8076.65</v>
      </c>
      <c r="C855">
        <f t="shared" si="52"/>
        <v>2.257304047928943E-2</v>
      </c>
      <c r="D855" s="35">
        <v>13996.8</v>
      </c>
      <c r="E855" s="45">
        <f t="shared" si="55"/>
        <v>9.582791023641235E-4</v>
      </c>
      <c r="G855">
        <v>888.95</v>
      </c>
      <c r="H855" s="45">
        <f t="shared" si="53"/>
        <v>-3.8101641732504188E-3</v>
      </c>
      <c r="I855">
        <v>7938600</v>
      </c>
      <c r="J855" s="38" t="s">
        <v>865</v>
      </c>
      <c r="K855" s="45">
        <f t="shared" si="54"/>
        <v>-5.7987280209502723E-3</v>
      </c>
    </row>
    <row r="856" spans="1:11" x14ac:dyDescent="0.25">
      <c r="A856" s="8">
        <v>45635</v>
      </c>
      <c r="B856">
        <v>8007.53</v>
      </c>
      <c r="C856">
        <f t="shared" si="52"/>
        <v>-8.5580036277417282E-3</v>
      </c>
      <c r="D856" s="35">
        <v>13977.2</v>
      </c>
      <c r="E856" s="45">
        <f t="shared" si="55"/>
        <v>-1.4003200731594889E-3</v>
      </c>
      <c r="G856">
        <v>882.35</v>
      </c>
      <c r="H856" s="45">
        <f t="shared" si="53"/>
        <v>-7.4244895663423405E-3</v>
      </c>
      <c r="I856">
        <v>5751700</v>
      </c>
      <c r="J856" s="38" t="s">
        <v>866</v>
      </c>
      <c r="K856" s="45">
        <f t="shared" si="54"/>
        <v>-4.8541862652869971E-3</v>
      </c>
    </row>
    <row r="857" spans="1:11" x14ac:dyDescent="0.25">
      <c r="A857" s="8">
        <v>45636</v>
      </c>
      <c r="B857">
        <v>7953.14</v>
      </c>
      <c r="C857">
        <f t="shared" si="52"/>
        <v>-6.792356694261481E-3</v>
      </c>
      <c r="D857" s="35">
        <v>13985.45</v>
      </c>
      <c r="E857" s="45">
        <f t="shared" si="55"/>
        <v>5.9024697364273848E-4</v>
      </c>
      <c r="G857">
        <v>882.35</v>
      </c>
      <c r="H857" s="45">
        <f t="shared" si="53"/>
        <v>0</v>
      </c>
      <c r="I857">
        <v>8014400</v>
      </c>
      <c r="J857" s="38" t="s">
        <v>867</v>
      </c>
      <c r="K857" s="45">
        <f t="shared" si="54"/>
        <v>6.1635029872193492E-3</v>
      </c>
    </row>
    <row r="858" spans="1:11" x14ac:dyDescent="0.25">
      <c r="A858" s="8">
        <v>45637</v>
      </c>
      <c r="B858">
        <v>8099.94</v>
      </c>
      <c r="C858">
        <f t="shared" si="52"/>
        <v>1.8458118428696046E-2</v>
      </c>
      <c r="D858" s="35">
        <v>14007.6</v>
      </c>
      <c r="E858" s="45">
        <f t="shared" si="55"/>
        <v>1.5837888662859623E-3</v>
      </c>
      <c r="G858">
        <v>880.4</v>
      </c>
      <c r="H858" s="45">
        <f t="shared" si="53"/>
        <v>-2.2100073666913023E-3</v>
      </c>
      <c r="I858">
        <v>4482400</v>
      </c>
      <c r="J858" s="38" t="s">
        <v>868</v>
      </c>
      <c r="K858" s="45">
        <f t="shared" si="54"/>
        <v>-2.2172949002217113E-3</v>
      </c>
    </row>
    <row r="859" spans="1:11" x14ac:dyDescent="0.25">
      <c r="A859" s="8">
        <v>45638</v>
      </c>
      <c r="B859">
        <v>8149.77</v>
      </c>
      <c r="C859">
        <f t="shared" si="52"/>
        <v>6.1518974214624933E-3</v>
      </c>
      <c r="D859" s="35">
        <v>13956.45</v>
      </c>
      <c r="E859" s="45">
        <f t="shared" si="55"/>
        <v>-3.6515891373254394E-3</v>
      </c>
      <c r="G859">
        <v>878.7</v>
      </c>
      <c r="H859" s="45">
        <f t="shared" si="53"/>
        <v>-1.9309404815991416E-3</v>
      </c>
      <c r="I859">
        <v>6701600</v>
      </c>
      <c r="J859" s="38" t="s">
        <v>869</v>
      </c>
      <c r="K859" s="45">
        <f t="shared" si="54"/>
        <v>1.3182674199623268E-3</v>
      </c>
    </row>
    <row r="860" spans="1:11" x14ac:dyDescent="0.25">
      <c r="A860" s="8">
        <v>45639</v>
      </c>
      <c r="B860">
        <v>8164.26</v>
      </c>
      <c r="C860">
        <f t="shared" si="52"/>
        <v>1.7779642861086575E-3</v>
      </c>
      <c r="D860" s="35">
        <v>14035.9</v>
      </c>
      <c r="E860" s="45">
        <f t="shared" si="55"/>
        <v>5.6927083893110186E-3</v>
      </c>
      <c r="G860">
        <v>884.15</v>
      </c>
      <c r="H860" s="45">
        <f t="shared" si="53"/>
        <v>6.2023443723682181E-3</v>
      </c>
      <c r="I860">
        <v>7223500</v>
      </c>
      <c r="J860" s="38" t="s">
        <v>870</v>
      </c>
      <c r="K860" s="45">
        <f t="shared" si="54"/>
        <v>1.1773556516832873E-2</v>
      </c>
    </row>
    <row r="861" spans="1:11" x14ac:dyDescent="0.25">
      <c r="A861" s="8">
        <v>45642</v>
      </c>
      <c r="B861">
        <v>8144.86</v>
      </c>
      <c r="C861">
        <f t="shared" si="52"/>
        <v>-2.3762104587556898E-3</v>
      </c>
      <c r="D861" s="35">
        <v>14021.75</v>
      </c>
      <c r="E861" s="45">
        <f t="shared" si="55"/>
        <v>-1.0081291545251947E-3</v>
      </c>
      <c r="G861">
        <v>889.3</v>
      </c>
      <c r="H861" s="45">
        <f t="shared" si="53"/>
        <v>5.8248034835717277E-3</v>
      </c>
      <c r="I861">
        <v>5575300</v>
      </c>
      <c r="J861" s="38" t="s">
        <v>871</v>
      </c>
      <c r="K861" s="45">
        <f t="shared" si="54"/>
        <v>8.9225964755734744E-4</v>
      </c>
    </row>
    <row r="862" spans="1:11" x14ac:dyDescent="0.25">
      <c r="A862" s="8">
        <v>45643</v>
      </c>
      <c r="B862">
        <v>8254.98</v>
      </c>
      <c r="C862">
        <f t="shared" si="52"/>
        <v>1.3520183281235054E-2</v>
      </c>
      <c r="D862" s="35">
        <v>13858</v>
      </c>
      <c r="E862" s="45">
        <f t="shared" si="55"/>
        <v>-1.1678285520708931E-2</v>
      </c>
      <c r="G862">
        <v>874.7</v>
      </c>
      <c r="H862" s="45">
        <f t="shared" si="53"/>
        <v>-1.641740694928584E-2</v>
      </c>
      <c r="I862">
        <v>5886700</v>
      </c>
      <c r="J862" s="38" t="s">
        <v>872</v>
      </c>
      <c r="K862" s="45">
        <f t="shared" si="54"/>
        <v>-9.1746527003936373E-3</v>
      </c>
    </row>
    <row r="863" spans="1:11" x14ac:dyDescent="0.25">
      <c r="A863" s="8">
        <v>45644</v>
      </c>
      <c r="B863">
        <v>8242.1200000000008</v>
      </c>
      <c r="C863">
        <f t="shared" si="52"/>
        <v>-1.5578475053844576E-3</v>
      </c>
      <c r="D863" s="35">
        <v>13759.3</v>
      </c>
      <c r="E863" s="45">
        <f t="shared" si="55"/>
        <v>-7.1222398614518845E-3</v>
      </c>
      <c r="G863">
        <v>859.6</v>
      </c>
      <c r="H863" s="45">
        <f t="shared" si="53"/>
        <v>-1.7263061621127229E-2</v>
      </c>
      <c r="I863">
        <v>7592900</v>
      </c>
      <c r="J863" s="38" t="s">
        <v>873</v>
      </c>
      <c r="K863" s="45">
        <f t="shared" si="54"/>
        <v>-1.4695407685098361E-2</v>
      </c>
    </row>
    <row r="864" spans="1:11" x14ac:dyDescent="0.25">
      <c r="A864" s="8">
        <v>45645</v>
      </c>
      <c r="B864">
        <v>8206.1</v>
      </c>
      <c r="C864">
        <f t="shared" si="52"/>
        <v>-4.3702348424919935E-3</v>
      </c>
      <c r="D864" s="35">
        <v>13638.15</v>
      </c>
      <c r="E864" s="45">
        <f t="shared" si="55"/>
        <v>-8.8049537403792622E-3</v>
      </c>
      <c r="G864">
        <v>842.85</v>
      </c>
      <c r="H864" s="45">
        <f t="shared" si="53"/>
        <v>-1.9485807352256912E-2</v>
      </c>
      <c r="I864">
        <v>5851700</v>
      </c>
      <c r="J864" s="38" t="s">
        <v>874</v>
      </c>
      <c r="K864" s="45">
        <f t="shared" si="54"/>
        <v>-2.0735836852718514E-2</v>
      </c>
    </row>
    <row r="865" spans="1:11" x14ac:dyDescent="0.25">
      <c r="A865" s="8">
        <v>45646</v>
      </c>
      <c r="B865">
        <v>8259.91</v>
      </c>
      <c r="C865">
        <f t="shared" si="52"/>
        <v>6.5573171177537581E-3</v>
      </c>
      <c r="D865" s="35">
        <v>13373.9</v>
      </c>
      <c r="E865" s="45">
        <f t="shared" si="55"/>
        <v>-1.9375795104174642E-2</v>
      </c>
      <c r="G865">
        <v>831.65</v>
      </c>
      <c r="H865" s="45">
        <f t="shared" si="53"/>
        <v>-1.3288248205493347E-2</v>
      </c>
      <c r="I865">
        <v>17708100</v>
      </c>
      <c r="J865" s="38" t="s">
        <v>875</v>
      </c>
      <c r="K865" s="45">
        <f t="shared" si="54"/>
        <v>1.1655917320692044E-3</v>
      </c>
    </row>
    <row r="866" spans="1:11" x14ac:dyDescent="0.25">
      <c r="A866" s="8">
        <v>45649</v>
      </c>
      <c r="B866">
        <v>8262.44</v>
      </c>
      <c r="C866">
        <f t="shared" si="52"/>
        <v>3.062987369113479E-4</v>
      </c>
      <c r="D866" s="35">
        <v>13449.75</v>
      </c>
      <c r="E866" s="45">
        <f t="shared" si="55"/>
        <v>5.6714944780504872E-3</v>
      </c>
      <c r="G866">
        <v>847.5</v>
      </c>
      <c r="H866" s="45">
        <f t="shared" si="53"/>
        <v>1.9058498166296012E-2</v>
      </c>
      <c r="I866">
        <v>12370500</v>
      </c>
      <c r="J866" s="38" t="s">
        <v>876</v>
      </c>
      <c r="K866" s="45">
        <f t="shared" si="54"/>
        <v>6.5197143744177843E-3</v>
      </c>
    </row>
    <row r="867" spans="1:11" x14ac:dyDescent="0.25">
      <c r="A867" s="8">
        <v>45650</v>
      </c>
      <c r="B867">
        <v>8270.92</v>
      </c>
      <c r="C867">
        <f t="shared" si="52"/>
        <v>1.0263312048255369E-3</v>
      </c>
      <c r="D867" s="35">
        <v>13436</v>
      </c>
      <c r="E867" s="45">
        <f t="shared" si="55"/>
        <v>-1.0223238350155484E-3</v>
      </c>
      <c r="G867">
        <v>849.6</v>
      </c>
      <c r="H867" s="45">
        <f t="shared" si="53"/>
        <v>2.4778761061947652E-3</v>
      </c>
      <c r="I867">
        <v>7888800</v>
      </c>
      <c r="J867" s="38" t="s">
        <v>877</v>
      </c>
      <c r="K867" s="45">
        <f t="shared" si="54"/>
        <v>3.4700801974096862E-4</v>
      </c>
    </row>
    <row r="868" spans="1:11" x14ac:dyDescent="0.25">
      <c r="A868" s="8">
        <v>45652</v>
      </c>
      <c r="B868">
        <v>8238.5300000000007</v>
      </c>
      <c r="C868">
        <f t="shared" si="52"/>
        <v>-3.9161302491137473E-3</v>
      </c>
      <c r="D868" s="35">
        <v>13456.35</v>
      </c>
      <c r="E868" s="45">
        <f t="shared" si="55"/>
        <v>1.5145876749032006E-3</v>
      </c>
      <c r="G868">
        <v>848.55</v>
      </c>
      <c r="H868" s="45">
        <f t="shared" si="53"/>
        <v>-1.2358757062147507E-3</v>
      </c>
      <c r="I868">
        <v>6377400</v>
      </c>
      <c r="J868" s="38" t="s">
        <v>878</v>
      </c>
      <c r="K868" s="45">
        <f t="shared" si="54"/>
        <v>7.7086143765559001E-5</v>
      </c>
    </row>
    <row r="869" spans="1:11" x14ac:dyDescent="0.25">
      <c r="A869" s="8">
        <v>45653</v>
      </c>
      <c r="B869">
        <v>8210.19</v>
      </c>
      <c r="C869">
        <f t="shared" si="52"/>
        <v>-3.4399340659073685E-3</v>
      </c>
      <c r="D869" s="35">
        <v>13459.75</v>
      </c>
      <c r="E869" s="45">
        <f t="shared" si="55"/>
        <v>2.526688143515976E-4</v>
      </c>
      <c r="G869">
        <v>853.9</v>
      </c>
      <c r="H869" s="45">
        <f t="shared" si="53"/>
        <v>6.3048730186789914E-3</v>
      </c>
      <c r="I869">
        <v>9319300</v>
      </c>
      <c r="J869" s="38" t="s">
        <v>879</v>
      </c>
      <c r="K869" s="45">
        <f t="shared" si="54"/>
        <v>7.8621805989131932E-3</v>
      </c>
    </row>
    <row r="870" spans="1:11" x14ac:dyDescent="0.25">
      <c r="A870" s="8">
        <v>45656</v>
      </c>
      <c r="B870">
        <v>8192.6299999999992</v>
      </c>
      <c r="C870">
        <f t="shared" si="52"/>
        <v>-2.1388055574842468E-3</v>
      </c>
      <c r="D870" s="35">
        <v>13408.85</v>
      </c>
      <c r="E870" s="45">
        <f t="shared" si="55"/>
        <v>-3.7816452757294394E-3</v>
      </c>
      <c r="G870">
        <v>863.65</v>
      </c>
      <c r="H870" s="45">
        <f t="shared" si="53"/>
        <v>1.1418198852324535E-2</v>
      </c>
      <c r="I870">
        <v>5617000</v>
      </c>
      <c r="J870" s="38" t="s">
        <v>880</v>
      </c>
      <c r="K870" s="45">
        <f t="shared" si="54"/>
        <v>-9.8657795112996327E-3</v>
      </c>
    </row>
    <row r="871" spans="1:11" x14ac:dyDescent="0.25">
      <c r="A871" s="8">
        <v>45657</v>
      </c>
      <c r="B871">
        <v>8209.7800000000007</v>
      </c>
      <c r="C871">
        <f t="shared" si="52"/>
        <v>2.0933448721596193E-3</v>
      </c>
      <c r="D871" s="35">
        <v>13406.95</v>
      </c>
      <c r="E871" s="45">
        <f t="shared" si="55"/>
        <v>-1.4169746100523017E-4</v>
      </c>
      <c r="G871">
        <v>856.35</v>
      </c>
      <c r="H871" s="45">
        <f t="shared" si="53"/>
        <v>-8.4524981184507242E-3</v>
      </c>
      <c r="I871">
        <v>8648900</v>
      </c>
      <c r="J871" s="38" t="s">
        <v>881</v>
      </c>
      <c r="K871" s="45">
        <f t="shared" si="54"/>
        <v>-1.0041323909937061E-2</v>
      </c>
    </row>
    <row r="872" spans="1:11" x14ac:dyDescent="0.25">
      <c r="A872" s="8">
        <v>45658</v>
      </c>
      <c r="B872">
        <v>8163.28</v>
      </c>
      <c r="C872">
        <f t="shared" si="52"/>
        <v>-5.6639763793915332E-3</v>
      </c>
      <c r="D872" s="35">
        <v>13462.45</v>
      </c>
      <c r="E872" s="45">
        <f t="shared" si="55"/>
        <v>4.1396439906167259E-3</v>
      </c>
      <c r="G872">
        <v>857.6</v>
      </c>
      <c r="H872" s="45">
        <f t="shared" si="53"/>
        <v>1.4596835406084363E-3</v>
      </c>
      <c r="I872">
        <v>8092600</v>
      </c>
      <c r="J872" s="38" t="s">
        <v>882</v>
      </c>
      <c r="K872" s="45">
        <f t="shared" si="54"/>
        <v>1.560488432879481E-3</v>
      </c>
    </row>
    <row r="873" spans="1:11" x14ac:dyDescent="0.25">
      <c r="A873" s="67">
        <v>45659</v>
      </c>
      <c r="B873">
        <v>8169.68</v>
      </c>
      <c r="C873">
        <f t="shared" si="52"/>
        <v>7.8399858880251472E-4</v>
      </c>
      <c r="D873" s="35">
        <v>13685.05</v>
      </c>
      <c r="E873" s="45">
        <f t="shared" si="55"/>
        <v>1.6534880352387482E-2</v>
      </c>
      <c r="G873">
        <v>861.9</v>
      </c>
      <c r="H873" s="45">
        <f t="shared" si="53"/>
        <v>5.0139925373133831E-3</v>
      </c>
      <c r="I873">
        <v>8069500</v>
      </c>
      <c r="J873" s="38" t="s">
        <v>883</v>
      </c>
      <c r="K873" s="45">
        <f t="shared" si="54"/>
        <v>5.4142484322048379E-3</v>
      </c>
    </row>
    <row r="874" spans="1:11" x14ac:dyDescent="0.25">
      <c r="A874" s="8">
        <v>45660</v>
      </c>
      <c r="B874">
        <v>8296.02</v>
      </c>
      <c r="C874">
        <f t="shared" si="52"/>
        <v>1.5464497997473625E-2</v>
      </c>
      <c r="D874" s="35">
        <v>13610.5</v>
      </c>
      <c r="E874" s="45">
        <f t="shared" si="55"/>
        <v>-5.4475504291178201E-3</v>
      </c>
      <c r="G874">
        <v>838</v>
      </c>
      <c r="H874" s="45">
        <f t="shared" si="53"/>
        <v>-2.7729434969253952E-2</v>
      </c>
      <c r="I874">
        <v>6944800</v>
      </c>
      <c r="J874" s="38" t="s">
        <v>884</v>
      </c>
      <c r="K874" s="45">
        <f t="shared" si="54"/>
        <v>-1.9796993646366001E-2</v>
      </c>
    </row>
    <row r="875" spans="1:11" x14ac:dyDescent="0.25">
      <c r="A875" s="8">
        <v>45663</v>
      </c>
      <c r="B875">
        <v>8357.4</v>
      </c>
      <c r="C875">
        <f t="shared" si="52"/>
        <v>7.3987285469416797E-3</v>
      </c>
      <c r="D875" s="35">
        <v>13331.8</v>
      </c>
      <c r="E875" s="45">
        <f t="shared" si="55"/>
        <v>-2.0476837735571851E-2</v>
      </c>
      <c r="G875">
        <v>839.35</v>
      </c>
      <c r="H875" s="45">
        <f t="shared" si="53"/>
        <v>1.6109785202864657E-3</v>
      </c>
      <c r="I875">
        <v>6605100</v>
      </c>
      <c r="J875" s="38" t="s">
        <v>885</v>
      </c>
      <c r="K875" s="45">
        <f t="shared" si="54"/>
        <v>-7.5095846013994993E-4</v>
      </c>
    </row>
    <row r="876" spans="1:11" x14ac:dyDescent="0.25">
      <c r="A876" s="8">
        <v>45664</v>
      </c>
      <c r="B876">
        <v>8354.07</v>
      </c>
      <c r="C876">
        <f t="shared" si="52"/>
        <v>-3.98449278483759E-4</v>
      </c>
      <c r="D876" s="35">
        <v>13385.55</v>
      </c>
      <c r="E876" s="45">
        <f t="shared" si="55"/>
        <v>4.0317136470693349E-3</v>
      </c>
      <c r="G876">
        <v>848.25</v>
      </c>
      <c r="H876" s="45">
        <f t="shared" si="53"/>
        <v>1.0603443140525304E-2</v>
      </c>
      <c r="I876">
        <v>6589200</v>
      </c>
      <c r="J876" s="38" t="s">
        <v>886</v>
      </c>
      <c r="K876" s="45">
        <f t="shared" si="54"/>
        <v>1.1984811328217715E-2</v>
      </c>
    </row>
    <row r="877" spans="1:11" x14ac:dyDescent="0.25">
      <c r="A877" s="8">
        <v>45665</v>
      </c>
      <c r="B877">
        <v>8379.93</v>
      </c>
      <c r="C877">
        <f t="shared" si="52"/>
        <v>3.0954971648551322E-3</v>
      </c>
      <c r="D877" s="35">
        <v>13337.5</v>
      </c>
      <c r="E877" s="45">
        <f t="shared" si="55"/>
        <v>-3.5896918692170932E-3</v>
      </c>
      <c r="G877">
        <v>840.15</v>
      </c>
      <c r="H877" s="45">
        <f t="shared" si="53"/>
        <v>-9.5490716180371971E-3</v>
      </c>
      <c r="I877">
        <v>6865300</v>
      </c>
      <c r="J877" s="38" t="s">
        <v>887</v>
      </c>
      <c r="K877" s="45">
        <f t="shared" si="54"/>
        <v>-1.2116474496775442E-2</v>
      </c>
    </row>
    <row r="878" spans="1:11" x14ac:dyDescent="0.25">
      <c r="A878" s="8">
        <v>45666</v>
      </c>
      <c r="B878">
        <v>8361.7000000000007</v>
      </c>
      <c r="C878">
        <f t="shared" si="52"/>
        <v>-2.1754358329961754E-3</v>
      </c>
      <c r="D878" s="35">
        <v>13228.5</v>
      </c>
      <c r="E878" s="45">
        <f t="shared" si="55"/>
        <v>-8.1724461105904256E-3</v>
      </c>
      <c r="G878">
        <v>839.4</v>
      </c>
      <c r="H878" s="45">
        <f t="shared" si="53"/>
        <v>-8.9269773254774254E-4</v>
      </c>
      <c r="I878">
        <v>5296600</v>
      </c>
      <c r="J878" s="38" t="s">
        <v>888</v>
      </c>
      <c r="K878" s="45">
        <f t="shared" si="54"/>
        <v>-1.068249258160181E-3</v>
      </c>
    </row>
    <row r="879" spans="1:11" x14ac:dyDescent="0.25">
      <c r="A879" s="8">
        <v>45667</v>
      </c>
      <c r="B879">
        <v>8364.24</v>
      </c>
      <c r="C879">
        <f t="shared" si="52"/>
        <v>3.0376598060199989E-4</v>
      </c>
      <c r="D879" s="35">
        <v>13105.35</v>
      </c>
      <c r="E879" s="45">
        <f t="shared" si="55"/>
        <v>-9.3094455153645006E-3</v>
      </c>
      <c r="G879">
        <v>827.55</v>
      </c>
      <c r="H879" s="45">
        <f t="shared" si="53"/>
        <v>-1.4117226590421805E-2</v>
      </c>
      <c r="I879">
        <v>6521600</v>
      </c>
      <c r="J879" s="38" t="s">
        <v>889</v>
      </c>
      <c r="K879" s="45">
        <f t="shared" si="54"/>
        <v>-9.9413814955641167E-3</v>
      </c>
    </row>
    <row r="880" spans="1:11" x14ac:dyDescent="0.25">
      <c r="A880" s="8">
        <v>45670</v>
      </c>
      <c r="B880">
        <v>8320.19</v>
      </c>
      <c r="C880">
        <f t="shared" si="52"/>
        <v>-5.2664677245032321E-3</v>
      </c>
      <c r="D880" s="35">
        <v>12799.6</v>
      </c>
      <c r="E880" s="45">
        <f t="shared" si="55"/>
        <v>-2.3330166687650422E-2</v>
      </c>
      <c r="G880">
        <v>816.8</v>
      </c>
      <c r="H880" s="45">
        <f t="shared" si="53"/>
        <v>-1.2990151652468085E-2</v>
      </c>
      <c r="I880">
        <v>4850200</v>
      </c>
      <c r="J880" s="38" t="s">
        <v>890</v>
      </c>
      <c r="K880" s="45">
        <f t="shared" si="54"/>
        <v>-1.6081929831579744E-2</v>
      </c>
    </row>
    <row r="881" spans="1:11" x14ac:dyDescent="0.25">
      <c r="A881" s="8">
        <v>45671</v>
      </c>
      <c r="B881">
        <v>8327.57</v>
      </c>
      <c r="C881">
        <f t="shared" si="52"/>
        <v>8.8699897478283773E-4</v>
      </c>
      <c r="D881" s="35">
        <v>12935.25</v>
      </c>
      <c r="E881" s="45">
        <f t="shared" si="55"/>
        <v>1.0597987437107381E-2</v>
      </c>
      <c r="G881">
        <v>828.5</v>
      </c>
      <c r="H881" s="45">
        <f t="shared" si="53"/>
        <v>1.4324191968658306E-2</v>
      </c>
      <c r="I881">
        <v>5346300</v>
      </c>
      <c r="J881" s="38" t="s">
        <v>891</v>
      </c>
      <c r="K881" s="45">
        <f t="shared" si="54"/>
        <v>8.5789794673714059E-3</v>
      </c>
    </row>
    <row r="882" spans="1:11" x14ac:dyDescent="0.25">
      <c r="A882" s="8">
        <v>45672</v>
      </c>
      <c r="B882">
        <v>8318.0300000000007</v>
      </c>
      <c r="C882">
        <f t="shared" si="52"/>
        <v>-1.1455922916288053E-3</v>
      </c>
      <c r="D882" s="35">
        <v>12975.4</v>
      </c>
      <c r="E882" s="45">
        <f t="shared" si="55"/>
        <v>3.1039214549390959E-3</v>
      </c>
      <c r="G882">
        <v>826.65</v>
      </c>
      <c r="H882" s="45">
        <f t="shared" si="53"/>
        <v>-2.23295111647559E-3</v>
      </c>
      <c r="I882">
        <v>4492800</v>
      </c>
      <c r="J882" s="38" t="s">
        <v>892</v>
      </c>
      <c r="K882" s="45">
        <f t="shared" si="54"/>
        <v>-1.6528259292106773E-3</v>
      </c>
    </row>
    <row r="883" spans="1:11" x14ac:dyDescent="0.25">
      <c r="A883" s="8">
        <v>45673</v>
      </c>
      <c r="B883">
        <v>8359.18</v>
      </c>
      <c r="C883">
        <f t="shared" si="52"/>
        <v>4.9470848265755762E-3</v>
      </c>
      <c r="D883" s="35">
        <v>13064.95</v>
      </c>
      <c r="E883" s="45">
        <f t="shared" si="55"/>
        <v>6.9015213403826881E-3</v>
      </c>
      <c r="G883">
        <v>824.05</v>
      </c>
      <c r="H883" s="45">
        <f t="shared" si="53"/>
        <v>-3.1452247021109825E-3</v>
      </c>
      <c r="I883">
        <v>6248600</v>
      </c>
      <c r="J883" s="38" t="s">
        <v>853</v>
      </c>
      <c r="K883" s="45">
        <f t="shared" si="54"/>
        <v>8.7623662426812299E-3</v>
      </c>
    </row>
    <row r="884" spans="1:11" x14ac:dyDescent="0.25">
      <c r="A884" s="8">
        <v>45674</v>
      </c>
      <c r="B884">
        <v>8383.64</v>
      </c>
      <c r="C884">
        <f t="shared" si="52"/>
        <v>2.9261243327693975E-3</v>
      </c>
      <c r="D884" s="35">
        <v>13043.55</v>
      </c>
      <c r="E884" s="45">
        <f t="shared" si="55"/>
        <v>-1.637970294566915E-3</v>
      </c>
      <c r="G884">
        <v>813.85</v>
      </c>
      <c r="H884" s="45">
        <f t="shared" si="53"/>
        <v>-1.2377889691159383E-2</v>
      </c>
      <c r="I884">
        <v>4940800</v>
      </c>
      <c r="J884" s="38" t="s">
        <v>893</v>
      </c>
      <c r="K884" s="45">
        <f t="shared" si="54"/>
        <v>-1.893363221519484E-2</v>
      </c>
    </row>
    <row r="885" spans="1:11" x14ac:dyDescent="0.25">
      <c r="A885" s="8">
        <v>45677</v>
      </c>
      <c r="B885">
        <v>8388.3799999999992</v>
      </c>
      <c r="C885">
        <f t="shared" si="52"/>
        <v>5.6538687252793984E-4</v>
      </c>
      <c r="D885" s="35">
        <v>13119.45</v>
      </c>
      <c r="E885" s="45">
        <f t="shared" si="55"/>
        <v>5.8189679956761609E-3</v>
      </c>
      <c r="G885">
        <v>818.45</v>
      </c>
      <c r="H885" s="45">
        <f t="shared" si="53"/>
        <v>5.6521472015726992E-3</v>
      </c>
      <c r="I885">
        <v>8797700</v>
      </c>
      <c r="J885" s="38" t="s">
        <v>894</v>
      </c>
      <c r="K885" s="45">
        <f t="shared" si="54"/>
        <v>6.1202007425844585E-3</v>
      </c>
    </row>
    <row r="886" spans="1:11" x14ac:dyDescent="0.25">
      <c r="A886" s="8">
        <v>45678</v>
      </c>
      <c r="B886">
        <v>8388.56</v>
      </c>
      <c r="C886">
        <f t="shared" si="52"/>
        <v>2.1458255348605348E-5</v>
      </c>
      <c r="D886" s="35">
        <v>12893.9</v>
      </c>
      <c r="E886" s="45">
        <f t="shared" si="55"/>
        <v>-1.7192031678157305E-2</v>
      </c>
      <c r="G886">
        <v>796.65</v>
      </c>
      <c r="H886" s="45">
        <f t="shared" si="53"/>
        <v>-2.6635713849349485E-2</v>
      </c>
      <c r="I886">
        <v>6514600</v>
      </c>
      <c r="J886" s="38" t="s">
        <v>895</v>
      </c>
      <c r="K886" s="45">
        <f t="shared" si="54"/>
        <v>-2.9847114643740569E-2</v>
      </c>
    </row>
    <row r="887" spans="1:11" x14ac:dyDescent="0.25">
      <c r="A887" s="8">
        <v>45679</v>
      </c>
      <c r="B887">
        <v>8435.75</v>
      </c>
      <c r="C887">
        <f t="shared" si="52"/>
        <v>5.6255185633768967E-3</v>
      </c>
      <c r="D887" s="35">
        <v>12897.7</v>
      </c>
      <c r="E887" s="45">
        <f t="shared" si="55"/>
        <v>2.9471300382355459E-4</v>
      </c>
      <c r="G887">
        <v>800.9</v>
      </c>
      <c r="H887" s="45">
        <f t="shared" si="53"/>
        <v>5.3348396409966803E-3</v>
      </c>
      <c r="I887">
        <v>4132300</v>
      </c>
      <c r="J887" s="38" t="s">
        <v>896</v>
      </c>
      <c r="K887" s="45">
        <f t="shared" si="54"/>
        <v>3.5948668645235937E-3</v>
      </c>
    </row>
    <row r="888" spans="1:11" x14ac:dyDescent="0.25">
      <c r="A888" s="8">
        <v>45680</v>
      </c>
      <c r="B888">
        <v>8452.9599999999991</v>
      </c>
      <c r="C888">
        <f t="shared" si="52"/>
        <v>2.040126841122536E-3</v>
      </c>
      <c r="D888" s="35">
        <v>12976.35</v>
      </c>
      <c r="E888" s="45">
        <f t="shared" si="55"/>
        <v>6.0979864627026537E-3</v>
      </c>
      <c r="G888">
        <v>798.95</v>
      </c>
      <c r="H888" s="45">
        <f t="shared" si="53"/>
        <v>-2.4347608939941923E-3</v>
      </c>
      <c r="I888">
        <v>6288700</v>
      </c>
      <c r="J888" s="38" t="s">
        <v>897</v>
      </c>
      <c r="K888" s="45">
        <f t="shared" si="54"/>
        <v>1.0829272356198683E-3</v>
      </c>
    </row>
    <row r="889" spans="1:11" x14ac:dyDescent="0.25">
      <c r="A889" s="8">
        <v>45681</v>
      </c>
      <c r="B889">
        <v>8345.2199999999993</v>
      </c>
      <c r="C889">
        <f t="shared" si="52"/>
        <v>-1.2745831046166001E-2</v>
      </c>
      <c r="D889" s="35">
        <v>12868.5</v>
      </c>
      <c r="E889" s="45">
        <f t="shared" si="55"/>
        <v>-8.3112739714943373E-3</v>
      </c>
      <c r="G889">
        <v>804.2</v>
      </c>
      <c r="H889" s="45">
        <f t="shared" si="53"/>
        <v>6.5711246010389246E-3</v>
      </c>
      <c r="I889">
        <v>4595800</v>
      </c>
      <c r="J889" s="38" t="s">
        <v>898</v>
      </c>
      <c r="K889" s="45">
        <f t="shared" si="54"/>
        <v>6.1992926981486729E-3</v>
      </c>
    </row>
    <row r="890" spans="1:11" x14ac:dyDescent="0.25">
      <c r="A890" s="8">
        <v>45684</v>
      </c>
      <c r="B890">
        <v>8287.81</v>
      </c>
      <c r="C890">
        <f t="shared" si="52"/>
        <v>-6.8793872420379598E-3</v>
      </c>
      <c r="D890" s="35">
        <v>12654.75</v>
      </c>
      <c r="E890" s="45">
        <f t="shared" si="55"/>
        <v>-1.6610327544002823E-2</v>
      </c>
      <c r="G890">
        <v>815.15</v>
      </c>
      <c r="H890" s="45">
        <f t="shared" si="53"/>
        <v>1.3616015916438684E-2</v>
      </c>
      <c r="I890">
        <v>7174100</v>
      </c>
      <c r="J890" s="38" t="s">
        <v>899</v>
      </c>
      <c r="K890" s="45">
        <f t="shared" si="54"/>
        <v>1.5506119748594172E-2</v>
      </c>
    </row>
    <row r="891" spans="1:11" x14ac:dyDescent="0.25">
      <c r="A891" s="8">
        <v>45685</v>
      </c>
      <c r="B891">
        <v>8294.64</v>
      </c>
      <c r="C891">
        <f t="shared" si="52"/>
        <v>8.24101903880603E-4</v>
      </c>
      <c r="D891" s="35">
        <v>12698.1</v>
      </c>
      <c r="E891" s="45">
        <f t="shared" si="55"/>
        <v>3.4255911811771345E-3</v>
      </c>
      <c r="G891">
        <v>827.9</v>
      </c>
      <c r="H891" s="45">
        <f t="shared" si="53"/>
        <v>1.5641293013555879E-2</v>
      </c>
      <c r="I891">
        <v>5725900</v>
      </c>
      <c r="J891" s="38" t="s">
        <v>900</v>
      </c>
      <c r="K891" s="45">
        <f t="shared" si="54"/>
        <v>1.5432224439105857E-2</v>
      </c>
    </row>
    <row r="892" spans="1:11" x14ac:dyDescent="0.25">
      <c r="A892" s="8">
        <v>45686</v>
      </c>
      <c r="B892">
        <v>8262.17</v>
      </c>
      <c r="C892">
        <f t="shared" si="52"/>
        <v>-3.9145761600261064E-3</v>
      </c>
      <c r="D892" s="35">
        <v>12862.5</v>
      </c>
      <c r="E892" s="45">
        <f t="shared" si="55"/>
        <v>1.2946818815413375E-2</v>
      </c>
      <c r="G892">
        <v>828.05</v>
      </c>
      <c r="H892" s="45">
        <f t="shared" si="53"/>
        <v>1.811813020895503E-4</v>
      </c>
      <c r="I892">
        <v>9152200</v>
      </c>
      <c r="J892" s="38" t="s">
        <v>901</v>
      </c>
      <c r="K892" s="45">
        <f t="shared" si="54"/>
        <v>3.8094474296255232E-3</v>
      </c>
    </row>
    <row r="893" spans="1:11" x14ac:dyDescent="0.25">
      <c r="A893" s="8">
        <v>45687</v>
      </c>
      <c r="B893">
        <v>8348.32</v>
      </c>
      <c r="C893">
        <f t="shared" si="52"/>
        <v>1.0427042774476813E-2</v>
      </c>
      <c r="D893" s="35">
        <v>12896.75</v>
      </c>
      <c r="E893" s="45">
        <f t="shared" si="55"/>
        <v>2.6627793974731695E-3</v>
      </c>
      <c r="G893">
        <v>829.25</v>
      </c>
      <c r="H893" s="45">
        <f t="shared" si="53"/>
        <v>1.4491878509752532E-3</v>
      </c>
      <c r="I893">
        <v>5626800</v>
      </c>
      <c r="J893" s="38" t="s">
        <v>902</v>
      </c>
      <c r="K893" s="45">
        <f t="shared" si="54"/>
        <v>3.1558342987254573E-3</v>
      </c>
    </row>
    <row r="894" spans="1:11" x14ac:dyDescent="0.25">
      <c r="A894" s="8">
        <v>45688</v>
      </c>
      <c r="B894">
        <v>8382.7000000000007</v>
      </c>
      <c r="C894">
        <f t="shared" si="52"/>
        <v>4.118193840197959E-3</v>
      </c>
      <c r="D894" s="35">
        <v>13064.55</v>
      </c>
      <c r="E894" s="45">
        <f t="shared" si="55"/>
        <v>1.3011029910636296E-2</v>
      </c>
      <c r="G894">
        <v>828.6</v>
      </c>
      <c r="H894" s="45">
        <f t="shared" si="53"/>
        <v>-7.8384082001803357E-4</v>
      </c>
      <c r="I894">
        <v>11058100</v>
      </c>
      <c r="J894" s="38" t="s">
        <v>903</v>
      </c>
      <c r="K894" s="45">
        <f t="shared" si="54"/>
        <v>-2.2300095571837764E-3</v>
      </c>
    </row>
    <row r="895" spans="1:11" x14ac:dyDescent="0.25">
      <c r="A895" s="8">
        <v>45689</v>
      </c>
      <c r="B895">
        <v>8357.81</v>
      </c>
      <c r="C895">
        <f t="shared" si="52"/>
        <v>-2.9692103976047823E-3</v>
      </c>
      <c r="D895" s="35">
        <v>13056.7</v>
      </c>
      <c r="E895" s="45">
        <f t="shared" si="55"/>
        <v>-6.0086263973868625E-4</v>
      </c>
      <c r="G895">
        <v>834.15</v>
      </c>
      <c r="H895" s="45">
        <f t="shared" si="53"/>
        <v>6.6980448950035854E-3</v>
      </c>
      <c r="I895">
        <v>8959600</v>
      </c>
      <c r="J895" s="38" t="s">
        <v>904</v>
      </c>
      <c r="K895" s="45">
        <f t="shared" si="54"/>
        <v>2.1950830140484712E-3</v>
      </c>
    </row>
    <row r="896" spans="1:11" x14ac:dyDescent="0.25">
      <c r="A896" s="8">
        <v>45691</v>
      </c>
      <c r="B896">
        <v>8363.4500000000007</v>
      </c>
      <c r="C896">
        <f t="shared" si="52"/>
        <v>6.7481792479151537E-4</v>
      </c>
      <c r="D896" s="35">
        <v>12963.85</v>
      </c>
      <c r="E896" s="45">
        <f t="shared" si="55"/>
        <v>-7.1112915208284555E-3</v>
      </c>
      <c r="G896">
        <v>833.25</v>
      </c>
      <c r="H896" s="45">
        <f t="shared" si="53"/>
        <v>-1.07894263621644E-3</v>
      </c>
      <c r="I896">
        <v>17544000</v>
      </c>
      <c r="J896" s="38" t="s">
        <v>905</v>
      </c>
      <c r="K896" s="45">
        <f t="shared" si="54"/>
        <v>-2.0309824379753927E-3</v>
      </c>
    </row>
    <row r="897" spans="1:11" x14ac:dyDescent="0.25">
      <c r="A897" s="8">
        <v>45692</v>
      </c>
      <c r="B897">
        <v>8390.4699999999993</v>
      </c>
      <c r="C897">
        <f t="shared" si="52"/>
        <v>3.230724162875287E-3</v>
      </c>
      <c r="D897" s="35">
        <v>13170.85</v>
      </c>
      <c r="E897" s="45">
        <f t="shared" si="55"/>
        <v>1.5967478796808043E-2</v>
      </c>
      <c r="G897">
        <v>841.9</v>
      </c>
      <c r="H897" s="45">
        <f t="shared" si="53"/>
        <v>1.0381038103810303E-2</v>
      </c>
      <c r="I897">
        <v>6676300</v>
      </c>
      <c r="J897" s="38" t="s">
        <v>906</v>
      </c>
      <c r="K897" s="45">
        <f t="shared" si="54"/>
        <v>1.2130885873902653E-2</v>
      </c>
    </row>
    <row r="898" spans="1:11" x14ac:dyDescent="0.25">
      <c r="A898" s="8">
        <v>45693</v>
      </c>
      <c r="B898">
        <v>8347.57</v>
      </c>
      <c r="C898">
        <f t="shared" si="52"/>
        <v>-5.1129436134089712E-3</v>
      </c>
      <c r="D898" s="35">
        <v>13182.15</v>
      </c>
      <c r="E898" s="45">
        <f t="shared" si="55"/>
        <v>8.5795525725362864E-4</v>
      </c>
      <c r="G898">
        <v>843.65</v>
      </c>
      <c r="H898" s="45">
        <f t="shared" si="53"/>
        <v>2.078631666468711E-3</v>
      </c>
      <c r="I898">
        <v>7318100</v>
      </c>
      <c r="J898" s="38" t="s">
        <v>907</v>
      </c>
      <c r="K898" s="45">
        <f t="shared" si="54"/>
        <v>-3.9425958050776089E-4</v>
      </c>
    </row>
    <row r="899" spans="1:11" x14ac:dyDescent="0.25">
      <c r="A899" s="8">
        <v>45694</v>
      </c>
      <c r="B899">
        <v>8391.84</v>
      </c>
      <c r="C899">
        <f t="shared" si="52"/>
        <v>5.3033397743296185E-3</v>
      </c>
      <c r="D899" s="35">
        <v>13104.45</v>
      </c>
      <c r="E899" s="45">
        <f t="shared" si="55"/>
        <v>-5.8943343839964468E-3</v>
      </c>
      <c r="G899">
        <v>847.8</v>
      </c>
      <c r="H899" s="45">
        <f t="shared" si="53"/>
        <v>4.9191015231435653E-3</v>
      </c>
      <c r="I899">
        <v>6997800</v>
      </c>
      <c r="J899" s="38" t="s">
        <v>908</v>
      </c>
      <c r="K899" s="45">
        <f t="shared" si="54"/>
        <v>3.707501774868005E-3</v>
      </c>
    </row>
    <row r="900" spans="1:11" x14ac:dyDescent="0.25">
      <c r="A900" s="8">
        <v>45695</v>
      </c>
      <c r="B900">
        <v>8373.31</v>
      </c>
      <c r="C900">
        <f t="shared" ref="C900:C963" si="56">B900/B899-1</f>
        <v>-2.2080973898453982E-3</v>
      </c>
      <c r="D900" s="35">
        <v>13092.85</v>
      </c>
      <c r="E900" s="45">
        <f t="shared" si="55"/>
        <v>-8.8519548702925555E-4</v>
      </c>
      <c r="G900">
        <v>836.35</v>
      </c>
      <c r="H900" s="45">
        <f t="shared" ref="H900:H928" si="57">G900/G899-1</f>
        <v>-1.350554376032076E-2</v>
      </c>
      <c r="I900">
        <v>9904700</v>
      </c>
      <c r="J900" s="38" t="s">
        <v>909</v>
      </c>
      <c r="K900" s="45">
        <f t="shared" ref="K900:K963" si="58">J900/J899-1</f>
        <v>-1.2181703866708582E-2</v>
      </c>
    </row>
    <row r="901" spans="1:11" x14ac:dyDescent="0.25">
      <c r="A901" s="8">
        <v>45698</v>
      </c>
      <c r="B901">
        <v>8344.67</v>
      </c>
      <c r="C901">
        <f t="shared" si="56"/>
        <v>-3.4203916969512971E-3</v>
      </c>
      <c r="D901" s="35">
        <v>12943.05</v>
      </c>
      <c r="E901" s="45">
        <f t="shared" ref="E901:E964" si="59">D901/D900-1</f>
        <v>-1.144135921514422E-2</v>
      </c>
      <c r="G901">
        <v>841.05</v>
      </c>
      <c r="H901" s="45">
        <f t="shared" si="57"/>
        <v>5.6196568422310911E-3</v>
      </c>
      <c r="I901">
        <v>6795200</v>
      </c>
      <c r="J901" s="38" t="s">
        <v>910</v>
      </c>
      <c r="K901" s="45">
        <f t="shared" si="58"/>
        <v>4.5349669822578598E-3</v>
      </c>
    </row>
    <row r="902" spans="1:11" x14ac:dyDescent="0.25">
      <c r="A902" s="8">
        <v>45699</v>
      </c>
      <c r="B902">
        <v>8398.3799999999992</v>
      </c>
      <c r="C902">
        <f t="shared" si="56"/>
        <v>6.4364438617703357E-3</v>
      </c>
      <c r="D902" s="35">
        <v>12712.75</v>
      </c>
      <c r="E902" s="45">
        <f t="shared" si="59"/>
        <v>-1.7793333101548625E-2</v>
      </c>
      <c r="G902">
        <v>833.25</v>
      </c>
      <c r="H902" s="45">
        <f t="shared" si="57"/>
        <v>-9.2741216336721388E-3</v>
      </c>
      <c r="I902">
        <v>8143300</v>
      </c>
      <c r="J902" s="38" t="s">
        <v>836</v>
      </c>
      <c r="K902" s="45">
        <f t="shared" si="58"/>
        <v>-7.8013622683350548E-3</v>
      </c>
    </row>
    <row r="903" spans="1:11" x14ac:dyDescent="0.25">
      <c r="A903" s="8">
        <v>45700</v>
      </c>
      <c r="B903">
        <v>8451.7900000000009</v>
      </c>
      <c r="C903">
        <f t="shared" si="56"/>
        <v>6.3595598198702419E-3</v>
      </c>
      <c r="D903" s="35">
        <v>12697.25</v>
      </c>
      <c r="E903" s="45">
        <f t="shared" si="59"/>
        <v>-1.2192483923619823E-3</v>
      </c>
      <c r="G903">
        <v>832.4</v>
      </c>
      <c r="H903" s="45">
        <f t="shared" si="57"/>
        <v>-1.0201020102010849E-3</v>
      </c>
      <c r="I903">
        <v>8944700</v>
      </c>
      <c r="J903" s="38" t="s">
        <v>911</v>
      </c>
      <c r="K903" s="45">
        <f t="shared" si="58"/>
        <v>-7.5833167032535176E-4</v>
      </c>
    </row>
    <row r="904" spans="1:11" x14ac:dyDescent="0.25">
      <c r="A904" s="8">
        <v>45701</v>
      </c>
      <c r="B904">
        <v>8476.51</v>
      </c>
      <c r="C904">
        <f t="shared" si="56"/>
        <v>2.9248242088362186E-3</v>
      </c>
      <c r="D904" s="35">
        <v>12700.8</v>
      </c>
      <c r="E904" s="45">
        <f t="shared" si="59"/>
        <v>2.7958809978523291E-4</v>
      </c>
      <c r="G904">
        <v>831.6</v>
      </c>
      <c r="H904" s="45">
        <f t="shared" si="57"/>
        <v>-9.610764055741905E-4</v>
      </c>
      <c r="I904">
        <v>8368600</v>
      </c>
      <c r="J904" s="38" t="s">
        <v>912</v>
      </c>
      <c r="K904" s="45">
        <f t="shared" si="58"/>
        <v>-2.3166640038343456E-3</v>
      </c>
    </row>
    <row r="905" spans="1:11" x14ac:dyDescent="0.25">
      <c r="A905" s="8">
        <v>45702</v>
      </c>
      <c r="B905">
        <v>8490.68</v>
      </c>
      <c r="C905">
        <f t="shared" si="56"/>
        <v>1.6716785563870573E-3</v>
      </c>
      <c r="D905" s="35">
        <v>12569.35</v>
      </c>
      <c r="E905" s="45">
        <f t="shared" si="59"/>
        <v>-1.0349741748551189E-2</v>
      </c>
      <c r="G905">
        <v>843.85</v>
      </c>
      <c r="H905" s="45">
        <f t="shared" si="57"/>
        <v>1.4730639730639705E-2</v>
      </c>
      <c r="I905">
        <v>9379800</v>
      </c>
      <c r="J905" s="38" t="s">
        <v>913</v>
      </c>
      <c r="K905" s="45">
        <f t="shared" si="58"/>
        <v>8.9678917447351125E-3</v>
      </c>
    </row>
    <row r="906" spans="1:11" x14ac:dyDescent="0.25">
      <c r="A906" s="8">
        <v>45705</v>
      </c>
      <c r="B906">
        <v>8469.65</v>
      </c>
      <c r="C906">
        <f t="shared" si="56"/>
        <v>-2.4768334220581778E-3</v>
      </c>
      <c r="D906" s="35">
        <v>12585.5</v>
      </c>
      <c r="E906" s="45">
        <f t="shared" si="59"/>
        <v>1.2848715327362648E-3</v>
      </c>
      <c r="G906">
        <v>841.65</v>
      </c>
      <c r="H906" s="45">
        <f t="shared" si="57"/>
        <v>-2.6070984179653589E-3</v>
      </c>
      <c r="I906">
        <v>7232500</v>
      </c>
      <c r="J906" s="38" t="s">
        <v>914</v>
      </c>
      <c r="K906" s="45">
        <f t="shared" si="58"/>
        <v>-7.1026109038964114E-3</v>
      </c>
    </row>
    <row r="907" spans="1:11" x14ac:dyDescent="0.25">
      <c r="A907" s="8">
        <v>45706</v>
      </c>
      <c r="B907">
        <v>8461.3799999999992</v>
      </c>
      <c r="C907">
        <f t="shared" si="56"/>
        <v>-9.7642759736238371E-4</v>
      </c>
      <c r="D907" s="35">
        <v>12576.15</v>
      </c>
      <c r="E907" s="45">
        <f t="shared" si="59"/>
        <v>-7.4291843788487633E-4</v>
      </c>
      <c r="G907">
        <v>828.2</v>
      </c>
      <c r="H907" s="45">
        <f t="shared" si="57"/>
        <v>-1.5980514465632867E-2</v>
      </c>
      <c r="I907">
        <v>4772100</v>
      </c>
      <c r="J907" s="38" t="s">
        <v>915</v>
      </c>
      <c r="K907" s="45">
        <f t="shared" si="58"/>
        <v>-6.4740438796307975E-3</v>
      </c>
    </row>
    <row r="908" spans="1:11" x14ac:dyDescent="0.25">
      <c r="A908" s="8">
        <v>45707</v>
      </c>
      <c r="B908">
        <v>8447.83</v>
      </c>
      <c r="C908">
        <f t="shared" si="56"/>
        <v>-1.6013936260986794E-3</v>
      </c>
      <c r="D908" s="35">
        <v>12624.75</v>
      </c>
      <c r="E908" s="45">
        <f t="shared" si="59"/>
        <v>3.8644577235482647E-3</v>
      </c>
      <c r="G908">
        <v>837.1</v>
      </c>
      <c r="H908" s="45">
        <f t="shared" si="57"/>
        <v>1.0746196570876609E-2</v>
      </c>
      <c r="I908">
        <v>8824800</v>
      </c>
      <c r="J908" s="38" t="s">
        <v>916</v>
      </c>
      <c r="K908" s="45">
        <f t="shared" si="58"/>
        <v>1.4963195366236359E-2</v>
      </c>
    </row>
    <row r="909" spans="1:11" x14ac:dyDescent="0.25">
      <c r="A909" s="8">
        <v>45708</v>
      </c>
      <c r="B909">
        <v>8538.67</v>
      </c>
      <c r="C909">
        <f t="shared" si="56"/>
        <v>1.0753057294003332E-2</v>
      </c>
      <c r="D909" s="35">
        <v>12670.15</v>
      </c>
      <c r="E909" s="45">
        <f t="shared" si="59"/>
        <v>3.5961108140754039E-3</v>
      </c>
      <c r="G909">
        <v>830.95</v>
      </c>
      <c r="H909" s="45">
        <f t="shared" si="57"/>
        <v>-7.3467924979093713E-3</v>
      </c>
      <c r="I909">
        <v>15130400</v>
      </c>
      <c r="J909" s="38" t="s">
        <v>917</v>
      </c>
      <c r="K909" s="45">
        <f t="shared" si="58"/>
        <v>-9.2735703245749868E-3</v>
      </c>
    </row>
    <row r="910" spans="1:11" x14ac:dyDescent="0.25">
      <c r="A910" s="8">
        <v>45709</v>
      </c>
      <c r="B910">
        <v>8570.48</v>
      </c>
      <c r="C910">
        <f t="shared" si="56"/>
        <v>3.7254045419250481E-3</v>
      </c>
      <c r="D910" s="35">
        <v>12580.35</v>
      </c>
      <c r="E910" s="45">
        <f t="shared" si="59"/>
        <v>-7.0875246149413318E-3</v>
      </c>
      <c r="G910">
        <v>819.25</v>
      </c>
      <c r="H910" s="45">
        <f t="shared" si="57"/>
        <v>-1.4080269570973081E-2</v>
      </c>
      <c r="I910">
        <v>8246900</v>
      </c>
      <c r="J910" s="38" t="s">
        <v>894</v>
      </c>
      <c r="K910" s="45">
        <f t="shared" si="58"/>
        <v>-1.3600544021760919E-2</v>
      </c>
    </row>
    <row r="911" spans="1:11" x14ac:dyDescent="0.25">
      <c r="A911" s="8">
        <v>45712</v>
      </c>
      <c r="B911">
        <v>8534.32</v>
      </c>
      <c r="C911">
        <f t="shared" si="56"/>
        <v>-4.21913358411663E-3</v>
      </c>
      <c r="D911" s="35">
        <v>12447</v>
      </c>
      <c r="E911" s="45">
        <f t="shared" si="59"/>
        <v>-1.0599864073734033E-2</v>
      </c>
      <c r="G911">
        <v>811.55</v>
      </c>
      <c r="H911" s="45">
        <f t="shared" si="57"/>
        <v>-9.3988404028074735E-3</v>
      </c>
      <c r="I911">
        <v>7072300</v>
      </c>
      <c r="J911" s="38" t="s">
        <v>918</v>
      </c>
      <c r="K911" s="45">
        <f t="shared" si="58"/>
        <v>-1.1841518309745003E-2</v>
      </c>
    </row>
    <row r="912" spans="1:11" x14ac:dyDescent="0.25">
      <c r="A912" s="8">
        <v>45713</v>
      </c>
      <c r="B912">
        <v>8538.4</v>
      </c>
      <c r="C912">
        <f t="shared" si="56"/>
        <v>4.7806972318831242E-4</v>
      </c>
      <c r="D912" s="35">
        <v>12418.65</v>
      </c>
      <c r="E912" s="45">
        <f t="shared" si="59"/>
        <v>-2.2776572668112838E-3</v>
      </c>
      <c r="G912">
        <v>812.45</v>
      </c>
      <c r="H912" s="45">
        <f t="shared" si="57"/>
        <v>1.1089889717208479E-3</v>
      </c>
      <c r="I912">
        <v>3882500</v>
      </c>
      <c r="J912" s="38" t="s">
        <v>919</v>
      </c>
      <c r="K912" s="45">
        <f t="shared" si="58"/>
        <v>4.7605367915624086E-3</v>
      </c>
    </row>
    <row r="913" spans="1:11" x14ac:dyDescent="0.25">
      <c r="A913" s="8">
        <v>45715</v>
      </c>
      <c r="B913">
        <v>8563.6</v>
      </c>
      <c r="C913">
        <f t="shared" si="56"/>
        <v>2.9513726225054437E-3</v>
      </c>
      <c r="D913" s="35">
        <v>12377.95</v>
      </c>
      <c r="E913" s="45">
        <f t="shared" si="59"/>
        <v>-3.2773288561960268E-3</v>
      </c>
      <c r="G913">
        <v>806.7</v>
      </c>
      <c r="H913" s="45">
        <f t="shared" si="57"/>
        <v>-7.0773586066834593E-3</v>
      </c>
      <c r="I913">
        <v>7690400</v>
      </c>
      <c r="J913" s="38" t="s">
        <v>920</v>
      </c>
      <c r="K913" s="45">
        <f t="shared" si="58"/>
        <v>-1.3887187027733505E-3</v>
      </c>
    </row>
    <row r="914" spans="1:11" x14ac:dyDescent="0.25">
      <c r="A914" s="8">
        <v>45716</v>
      </c>
      <c r="B914">
        <v>8540.64</v>
      </c>
      <c r="C914">
        <f t="shared" si="56"/>
        <v>-2.6811154187492692E-3</v>
      </c>
      <c r="D914" s="35">
        <v>12116.15</v>
      </c>
      <c r="E914" s="45">
        <f t="shared" si="59"/>
        <v>-2.1150513614936362E-2</v>
      </c>
      <c r="G914">
        <v>801.9</v>
      </c>
      <c r="H914" s="45">
        <f t="shared" si="57"/>
        <v>-5.9501673484567696E-3</v>
      </c>
      <c r="I914">
        <v>4826500</v>
      </c>
      <c r="J914" s="38" t="s">
        <v>921</v>
      </c>
      <c r="K914" s="45">
        <f t="shared" si="58"/>
        <v>-1.5010838889116251E-2</v>
      </c>
    </row>
    <row r="915" spans="1:11" x14ac:dyDescent="0.25">
      <c r="A915" s="8">
        <v>45719</v>
      </c>
      <c r="B915">
        <v>8626.86</v>
      </c>
      <c r="C915">
        <f t="shared" si="56"/>
        <v>1.0095262181756937E-2</v>
      </c>
      <c r="D915" s="35">
        <v>12134.65</v>
      </c>
      <c r="E915" s="45">
        <f t="shared" si="59"/>
        <v>1.526887666461807E-3</v>
      </c>
      <c r="G915">
        <v>802.55</v>
      </c>
      <c r="H915" s="45">
        <f t="shared" si="57"/>
        <v>8.1057488464897354E-4</v>
      </c>
      <c r="I915">
        <v>5933100</v>
      </c>
      <c r="J915" s="38" t="s">
        <v>922</v>
      </c>
      <c r="K915" s="45">
        <f t="shared" si="58"/>
        <v>1.7440411925921939E-3</v>
      </c>
    </row>
    <row r="916" spans="1:11" x14ac:dyDescent="0.25">
      <c r="A916" s="8">
        <v>45720</v>
      </c>
      <c r="B916">
        <v>8645.5</v>
      </c>
      <c r="C916">
        <f t="shared" si="56"/>
        <v>2.1606934620475027E-3</v>
      </c>
      <c r="D916" s="35">
        <v>12131.4</v>
      </c>
      <c r="E916" s="45">
        <f t="shared" si="59"/>
        <v>-2.6782807909586648E-4</v>
      </c>
      <c r="G916">
        <v>804.55</v>
      </c>
      <c r="H916" s="45">
        <f t="shared" si="57"/>
        <v>2.492056569684209E-3</v>
      </c>
      <c r="I916">
        <v>7187800</v>
      </c>
      <c r="J916" s="38" t="s">
        <v>923</v>
      </c>
      <c r="K916" s="45">
        <f t="shared" si="58"/>
        <v>3.482009616978976E-3</v>
      </c>
    </row>
    <row r="917" spans="1:11" x14ac:dyDescent="0.25">
      <c r="A917" s="8">
        <v>45721</v>
      </c>
      <c r="B917">
        <v>8692.4599999999991</v>
      </c>
      <c r="C917">
        <f t="shared" si="56"/>
        <v>5.4317274882886846E-3</v>
      </c>
      <c r="D917" s="35">
        <v>12320.75</v>
      </c>
      <c r="E917" s="45">
        <f t="shared" si="59"/>
        <v>1.5608256260613018E-2</v>
      </c>
      <c r="G917">
        <v>804.85</v>
      </c>
      <c r="H917" s="45">
        <f t="shared" si="57"/>
        <v>3.7287924926987515E-4</v>
      </c>
      <c r="I917">
        <v>5243500</v>
      </c>
      <c r="J917" s="38" t="s">
        <v>924</v>
      </c>
      <c r="K917" s="45">
        <f t="shared" si="58"/>
        <v>4.3787177792464771E-3</v>
      </c>
    </row>
    <row r="918" spans="1:11" x14ac:dyDescent="0.25">
      <c r="A918" s="8">
        <v>45722</v>
      </c>
      <c r="B918">
        <v>8646.4500000000007</v>
      </c>
      <c r="C918">
        <f t="shared" si="56"/>
        <v>-5.2930930944747878E-3</v>
      </c>
      <c r="D918" s="35">
        <v>12427.45</v>
      </c>
      <c r="E918" s="45">
        <f t="shared" si="59"/>
        <v>8.6601870827669458E-3</v>
      </c>
      <c r="G918">
        <v>801.75</v>
      </c>
      <c r="H918" s="45">
        <f t="shared" si="57"/>
        <v>-3.8516493756600712E-3</v>
      </c>
      <c r="I918">
        <v>6684200</v>
      </c>
      <c r="J918" s="38" t="s">
        <v>925</v>
      </c>
      <c r="K918" s="45">
        <f t="shared" si="58"/>
        <v>1.933042691453446E-3</v>
      </c>
    </row>
    <row r="919" spans="1:11" x14ac:dyDescent="0.25">
      <c r="A919" s="8">
        <v>45723</v>
      </c>
      <c r="B919">
        <v>8663.5400000000009</v>
      </c>
      <c r="C919">
        <f t="shared" si="56"/>
        <v>1.9765337219321832E-3</v>
      </c>
      <c r="D919" s="35">
        <v>12416</v>
      </c>
      <c r="E919" s="45">
        <f t="shared" si="59"/>
        <v>-9.2134750089523099E-4</v>
      </c>
      <c r="G919">
        <v>796</v>
      </c>
      <c r="H919" s="45">
        <f t="shared" si="57"/>
        <v>-7.1718116619894356E-3</v>
      </c>
      <c r="I919">
        <v>7517900</v>
      </c>
      <c r="J919" s="38" t="s">
        <v>926</v>
      </c>
      <c r="K919" s="45">
        <f t="shared" si="58"/>
        <v>-2.8734452608677463E-3</v>
      </c>
    </row>
    <row r="920" spans="1:11" x14ac:dyDescent="0.25">
      <c r="A920" s="8">
        <v>45726</v>
      </c>
      <c r="B920">
        <v>8700.81</v>
      </c>
      <c r="C920">
        <f t="shared" si="56"/>
        <v>4.3019366217502686E-3</v>
      </c>
      <c r="D920" s="35">
        <v>12323.4</v>
      </c>
      <c r="E920" s="45">
        <f t="shared" si="59"/>
        <v>-7.4581185567010877E-3</v>
      </c>
      <c r="G920">
        <v>795.15</v>
      </c>
      <c r="H920" s="45">
        <f t="shared" si="57"/>
        <v>-1.0678391959799693E-3</v>
      </c>
      <c r="I920">
        <v>5236800</v>
      </c>
      <c r="J920" s="38" t="s">
        <v>927</v>
      </c>
      <c r="K920" s="45">
        <f t="shared" si="58"/>
        <v>2.4700506360386676E-4</v>
      </c>
    </row>
    <row r="921" spans="1:11" x14ac:dyDescent="0.25">
      <c r="A921" s="8">
        <v>45727</v>
      </c>
      <c r="B921">
        <v>8702.0300000000007</v>
      </c>
      <c r="C921">
        <f t="shared" si="56"/>
        <v>1.4021683038722976E-4</v>
      </c>
      <c r="D921" s="35">
        <v>12360.1</v>
      </c>
      <c r="E921" s="45">
        <f t="shared" si="59"/>
        <v>2.9780742327605303E-3</v>
      </c>
      <c r="G921">
        <v>830.35</v>
      </c>
      <c r="H921" s="45">
        <f t="shared" si="57"/>
        <v>4.426837703577946E-2</v>
      </c>
      <c r="I921">
        <v>8001100</v>
      </c>
      <c r="J921" s="38" t="s">
        <v>928</v>
      </c>
      <c r="K921" s="45">
        <f t="shared" si="58"/>
        <v>2.5147137506688289E-2</v>
      </c>
    </row>
    <row r="922" spans="1:11" x14ac:dyDescent="0.25">
      <c r="A922" s="8">
        <v>45728</v>
      </c>
      <c r="B922">
        <v>8736.59</v>
      </c>
      <c r="C922">
        <f t="shared" si="56"/>
        <v>3.9714871127771723E-3</v>
      </c>
      <c r="D922" s="35">
        <v>12338.45</v>
      </c>
      <c r="E922" s="45">
        <f t="shared" si="59"/>
        <v>-1.7516039514242632E-3</v>
      </c>
      <c r="G922">
        <v>832.1</v>
      </c>
      <c r="H922" s="45">
        <f t="shared" si="57"/>
        <v>2.1075450111398553E-3</v>
      </c>
      <c r="I922">
        <v>7354400</v>
      </c>
      <c r="J922" s="38" t="s">
        <v>929</v>
      </c>
      <c r="K922" s="45">
        <f t="shared" si="58"/>
        <v>-1.1642845672074076E-3</v>
      </c>
    </row>
    <row r="923" spans="1:11" x14ac:dyDescent="0.25">
      <c r="A923" s="8">
        <v>45729</v>
      </c>
      <c r="B923">
        <v>8750.07</v>
      </c>
      <c r="C923">
        <f t="shared" si="56"/>
        <v>1.542936088336555E-3</v>
      </c>
      <c r="D923" s="35">
        <v>12286.6</v>
      </c>
      <c r="E923" s="45">
        <f t="shared" si="59"/>
        <v>-4.2023106630088014E-3</v>
      </c>
      <c r="G923">
        <v>836.75</v>
      </c>
      <c r="H923" s="45">
        <f t="shared" si="57"/>
        <v>5.5882706405478988E-3</v>
      </c>
      <c r="I923">
        <v>6879900</v>
      </c>
      <c r="J923" s="38" t="s">
        <v>930</v>
      </c>
      <c r="K923" s="45">
        <f t="shared" si="58"/>
        <v>4.9037340729127799E-3</v>
      </c>
    </row>
    <row r="924" spans="1:11" x14ac:dyDescent="0.25">
      <c r="A924" s="8">
        <v>45733</v>
      </c>
      <c r="B924">
        <v>8795.76</v>
      </c>
      <c r="C924">
        <f t="shared" si="56"/>
        <v>5.2216725123341856E-3</v>
      </c>
      <c r="D924" s="35">
        <v>12355.95</v>
      </c>
      <c r="E924" s="45">
        <f t="shared" si="59"/>
        <v>5.6443605228460036E-3</v>
      </c>
      <c r="G924">
        <v>849.4</v>
      </c>
      <c r="H924" s="45">
        <f t="shared" si="57"/>
        <v>1.5118016133851109E-2</v>
      </c>
      <c r="I924">
        <v>5911000</v>
      </c>
      <c r="J924" s="38" t="s">
        <v>931</v>
      </c>
      <c r="K924" s="45">
        <f t="shared" si="58"/>
        <v>1.5159393624255113E-2</v>
      </c>
    </row>
    <row r="925" spans="1:11" x14ac:dyDescent="0.25">
      <c r="A925" s="8">
        <v>45734</v>
      </c>
      <c r="B925">
        <v>8845.32</v>
      </c>
      <c r="C925">
        <f t="shared" si="56"/>
        <v>5.6345330022646856E-3</v>
      </c>
      <c r="D925" s="35">
        <v>12570.6</v>
      </c>
      <c r="E925" s="45">
        <f t="shared" si="59"/>
        <v>1.7372197200538952E-2</v>
      </c>
      <c r="G925">
        <v>874.7</v>
      </c>
      <c r="H925" s="45">
        <f t="shared" si="57"/>
        <v>2.9785731104309043E-2</v>
      </c>
      <c r="I925">
        <v>6426000</v>
      </c>
      <c r="J925" s="38" t="s">
        <v>932</v>
      </c>
      <c r="K925" s="45">
        <f t="shared" si="58"/>
        <v>3.2190701339637418E-2</v>
      </c>
    </row>
    <row r="926" spans="1:11" x14ac:dyDescent="0.25">
      <c r="A926" s="8">
        <v>45735</v>
      </c>
      <c r="B926">
        <v>8779.8700000000008</v>
      </c>
      <c r="C926">
        <f t="shared" si="56"/>
        <v>-7.3993931254040524E-3</v>
      </c>
      <c r="D926" s="35">
        <v>12681.65</v>
      </c>
      <c r="E926" s="45">
        <f t="shared" si="59"/>
        <v>8.8341049751006206E-3</v>
      </c>
      <c r="G926">
        <v>877.05</v>
      </c>
      <c r="H926" s="45">
        <f t="shared" si="57"/>
        <v>2.6866354178574081E-3</v>
      </c>
      <c r="I926">
        <v>7174500</v>
      </c>
      <c r="J926" s="38" t="s">
        <v>933</v>
      </c>
      <c r="K926" s="45">
        <f t="shared" si="58"/>
        <v>2.4812001374203696E-3</v>
      </c>
    </row>
    <row r="927" spans="1:11" x14ac:dyDescent="0.25">
      <c r="A927" s="8">
        <v>45736</v>
      </c>
      <c r="B927">
        <v>8766.7800000000007</v>
      </c>
      <c r="C927">
        <f t="shared" si="56"/>
        <v>-1.4909104576719123E-3</v>
      </c>
      <c r="D927" s="35">
        <v>12813.55</v>
      </c>
      <c r="E927" s="45">
        <f t="shared" si="59"/>
        <v>1.0400854778360724E-2</v>
      </c>
      <c r="G927">
        <v>881.25</v>
      </c>
      <c r="H927" s="45">
        <f t="shared" si="57"/>
        <v>4.7887805712332199E-3</v>
      </c>
      <c r="I927">
        <v>8786900</v>
      </c>
      <c r="J927" s="38" t="s">
        <v>934</v>
      </c>
      <c r="K927" s="45">
        <f t="shared" si="58"/>
        <v>6.5493869469195332E-3</v>
      </c>
    </row>
    <row r="928" spans="1:11" x14ac:dyDescent="0.25">
      <c r="A928" s="8">
        <v>45737</v>
      </c>
      <c r="B928">
        <v>8774.98</v>
      </c>
      <c r="C928">
        <f t="shared" si="56"/>
        <v>9.3534912476411769E-4</v>
      </c>
      <c r="D928" s="35">
        <v>12919.9</v>
      </c>
      <c r="E928" s="45">
        <f t="shared" si="59"/>
        <v>8.2998076255214048E-3</v>
      </c>
      <c r="G928">
        <v>896.2</v>
      </c>
      <c r="H928" s="45">
        <f t="shared" si="57"/>
        <v>1.6964539007092272E-2</v>
      </c>
      <c r="I928">
        <v>14877500</v>
      </c>
      <c r="J928" s="38" t="s">
        <v>935</v>
      </c>
      <c r="K928" s="45">
        <f t="shared" si="58"/>
        <v>1.6191268820458404E-2</v>
      </c>
    </row>
    <row r="929" spans="1:11" x14ac:dyDescent="0.25">
      <c r="A929" s="64">
        <v>45740</v>
      </c>
      <c r="B929">
        <v>8718.14</v>
      </c>
      <c r="C929">
        <f t="shared" si="56"/>
        <v>-6.4775076410430454E-3</v>
      </c>
      <c r="D929" s="35">
        <v>13088.45</v>
      </c>
      <c r="E929" s="45">
        <f t="shared" si="59"/>
        <v>1.3045766608100751E-2</v>
      </c>
      <c r="I929">
        <v>8882800</v>
      </c>
      <c r="J929" s="38" t="s">
        <v>936</v>
      </c>
      <c r="K929" s="45">
        <f t="shared" si="58"/>
        <v>1.1205420296329427E-2</v>
      </c>
    </row>
    <row r="930" spans="1:11" x14ac:dyDescent="0.25">
      <c r="A930" s="8">
        <v>45741</v>
      </c>
      <c r="B930">
        <v>8722.57</v>
      </c>
      <c r="C930">
        <f t="shared" si="56"/>
        <v>5.0813590972387246E-4</v>
      </c>
      <c r="D930" s="35">
        <v>13041.25</v>
      </c>
      <c r="E930" s="45">
        <f t="shared" si="59"/>
        <v>-3.6062329764029455E-3</v>
      </c>
      <c r="I930">
        <v>8152800</v>
      </c>
      <c r="J930" s="38" t="s">
        <v>937</v>
      </c>
      <c r="K930" s="45">
        <f t="shared" si="58"/>
        <v>-1.0639472812281392E-2</v>
      </c>
    </row>
    <row r="931" spans="1:11" x14ac:dyDescent="0.25">
      <c r="A931" s="8">
        <v>45742</v>
      </c>
      <c r="B931">
        <v>8716.76</v>
      </c>
      <c r="C931">
        <f t="shared" si="56"/>
        <v>-6.660880910097644E-4</v>
      </c>
      <c r="D931" s="35">
        <v>12951.45</v>
      </c>
      <c r="E931" s="45">
        <f t="shared" si="59"/>
        <v>-6.8858429981788483E-3</v>
      </c>
      <c r="I931">
        <v>5501500</v>
      </c>
      <c r="J931" s="38" t="s">
        <v>938</v>
      </c>
      <c r="K931" s="45">
        <f t="shared" si="58"/>
        <v>-5.8048671578476707E-3</v>
      </c>
    </row>
    <row r="932" spans="1:11" x14ac:dyDescent="0.25">
      <c r="A932" s="8">
        <v>45743</v>
      </c>
      <c r="B932">
        <v>8819.6200000000008</v>
      </c>
      <c r="C932">
        <f t="shared" si="56"/>
        <v>1.1800256058443814E-2</v>
      </c>
      <c r="D932" s="35">
        <v>13029.2</v>
      </c>
      <c r="E932" s="45">
        <f t="shared" si="59"/>
        <v>6.0031888321385729E-3</v>
      </c>
      <c r="I932">
        <v>9449700</v>
      </c>
      <c r="J932" s="38" t="s">
        <v>939</v>
      </c>
      <c r="K932" s="45">
        <f t="shared" si="58"/>
        <v>5.6141926790931329E-4</v>
      </c>
    </row>
    <row r="933" spans="1:11" x14ac:dyDescent="0.25">
      <c r="A933" s="65">
        <v>45744</v>
      </c>
      <c r="B933">
        <v>8835.2199999999993</v>
      </c>
      <c r="C933">
        <f t="shared" si="56"/>
        <v>1.7687836890929454E-3</v>
      </c>
      <c r="D933" s="35">
        <v>12982.75</v>
      </c>
      <c r="E933" s="45">
        <f t="shared" si="59"/>
        <v>-3.5650692291161468E-3</v>
      </c>
      <c r="I933">
        <v>7796700</v>
      </c>
      <c r="J933" s="38" t="s">
        <v>940</v>
      </c>
      <c r="K933" s="45">
        <f t="shared" si="58"/>
        <v>8.7532263494556339E-3</v>
      </c>
    </row>
    <row r="934" spans="1:11" x14ac:dyDescent="0.25">
      <c r="A934" s="8">
        <v>45748</v>
      </c>
      <c r="B934">
        <v>8857.5499999999993</v>
      </c>
      <c r="C934">
        <f t="shared" si="56"/>
        <v>2.527384717075476E-3</v>
      </c>
      <c r="D934" s="35">
        <v>12809.3</v>
      </c>
      <c r="E934" s="45">
        <f t="shared" si="59"/>
        <v>-1.3360035431630446E-2</v>
      </c>
      <c r="I934">
        <v>9745400</v>
      </c>
      <c r="J934" s="38" t="s">
        <v>941</v>
      </c>
      <c r="K934" s="45">
        <f t="shared" si="58"/>
        <v>-2.2175251232988358E-2</v>
      </c>
    </row>
    <row r="935" spans="1:11" x14ac:dyDescent="0.25">
      <c r="A935" s="8">
        <v>45749</v>
      </c>
      <c r="B935">
        <v>8813.73</v>
      </c>
      <c r="C935">
        <f t="shared" si="56"/>
        <v>-4.9471919435961631E-3</v>
      </c>
      <c r="D935" s="35">
        <v>12927.85</v>
      </c>
      <c r="E935" s="45">
        <f t="shared" si="59"/>
        <v>9.2549944181181676E-3</v>
      </c>
      <c r="I935">
        <v>8202500</v>
      </c>
      <c r="J935" s="38" t="s">
        <v>942</v>
      </c>
      <c r="K935" s="45">
        <f t="shared" si="58"/>
        <v>9.708369676514117E-3</v>
      </c>
    </row>
    <row r="936" spans="1:11" x14ac:dyDescent="0.25">
      <c r="A936" s="8">
        <v>45750</v>
      </c>
      <c r="B936">
        <v>8827.98</v>
      </c>
      <c r="C936">
        <f t="shared" si="56"/>
        <v>1.6167956132080441E-3</v>
      </c>
      <c r="D936" s="35">
        <v>12901.25</v>
      </c>
      <c r="E936" s="45">
        <f t="shared" si="59"/>
        <v>-2.0575733784040651E-3</v>
      </c>
      <c r="I936">
        <v>6891900</v>
      </c>
      <c r="J936" s="38" t="s">
        <v>943</v>
      </c>
      <c r="K936" s="45">
        <f t="shared" si="58"/>
        <v>-1.2769953051643412E-3</v>
      </c>
    </row>
    <row r="937" spans="1:11" x14ac:dyDescent="0.25">
      <c r="A937" s="8">
        <v>45751</v>
      </c>
      <c r="B937">
        <v>8823.98</v>
      </c>
      <c r="C937">
        <f t="shared" si="56"/>
        <v>-4.5310478727866865E-4</v>
      </c>
      <c r="D937" s="35">
        <v>12658.7</v>
      </c>
      <c r="E937" s="45">
        <f t="shared" si="59"/>
        <v>-1.8800503827148485E-2</v>
      </c>
      <c r="I937">
        <v>6033000</v>
      </c>
      <c r="J937" s="38" t="s">
        <v>944</v>
      </c>
      <c r="K937" s="45">
        <f t="shared" si="58"/>
        <v>4.3247715392427111E-3</v>
      </c>
    </row>
    <row r="938" spans="1:11" x14ac:dyDescent="0.25">
      <c r="A938" s="8">
        <v>45754</v>
      </c>
      <c r="B938">
        <v>8880.4699999999993</v>
      </c>
      <c r="C938">
        <f t="shared" si="56"/>
        <v>6.4018730776815858E-3</v>
      </c>
      <c r="D938" s="35">
        <v>12242.35</v>
      </c>
      <c r="E938" s="45">
        <f t="shared" si="59"/>
        <v>-3.2890423187215134E-2</v>
      </c>
      <c r="I938">
        <v>7899400</v>
      </c>
      <c r="J938" s="38" t="s">
        <v>945</v>
      </c>
      <c r="K938" s="45">
        <f t="shared" si="58"/>
        <v>-3.5759754362315599E-2</v>
      </c>
    </row>
    <row r="939" spans="1:11" x14ac:dyDescent="0.25">
      <c r="A939" s="8">
        <v>45755</v>
      </c>
      <c r="B939">
        <v>8901.5499999999993</v>
      </c>
      <c r="C939">
        <f t="shared" si="56"/>
        <v>2.3737482362982121E-3</v>
      </c>
      <c r="D939" s="35">
        <v>12465</v>
      </c>
      <c r="E939" s="45">
        <f t="shared" si="59"/>
        <v>1.8186867717390864E-2</v>
      </c>
      <c r="I939">
        <v>5562100</v>
      </c>
      <c r="J939" s="38" t="s">
        <v>946</v>
      </c>
      <c r="K939" s="45">
        <f t="shared" si="58"/>
        <v>9.5918605102716104E-3</v>
      </c>
    </row>
    <row r="940" spans="1:11" x14ac:dyDescent="0.25">
      <c r="A940" s="8">
        <v>45756</v>
      </c>
      <c r="B940">
        <v>8894.48</v>
      </c>
      <c r="C940">
        <f t="shared" si="56"/>
        <v>-7.9424369913105863E-4</v>
      </c>
      <c r="D940" s="35">
        <v>12397.95</v>
      </c>
      <c r="E940" s="45">
        <f t="shared" si="59"/>
        <v>-5.3790613718410762E-3</v>
      </c>
      <c r="I940">
        <v>4839700</v>
      </c>
      <c r="J940" s="38" t="s">
        <v>947</v>
      </c>
      <c r="K940" s="45">
        <f t="shared" si="58"/>
        <v>6.9236095084224125E-4</v>
      </c>
    </row>
    <row r="941" spans="1:11" x14ac:dyDescent="0.25">
      <c r="A941" s="8">
        <v>45758</v>
      </c>
      <c r="B941">
        <v>8897.17</v>
      </c>
      <c r="C941">
        <f t="shared" si="56"/>
        <v>3.0243476853075713E-4</v>
      </c>
      <c r="D941" s="35">
        <v>12623.85</v>
      </c>
      <c r="E941" s="45">
        <f t="shared" si="59"/>
        <v>1.8220754237595616E-2</v>
      </c>
      <c r="I941">
        <v>6249100</v>
      </c>
      <c r="J941" s="38" t="s">
        <v>948</v>
      </c>
      <c r="K941" s="45">
        <f t="shared" si="58"/>
        <v>8.3410209102092736E-3</v>
      </c>
    </row>
    <row r="942" spans="1:11" x14ac:dyDescent="0.25">
      <c r="A942" s="8">
        <v>45762</v>
      </c>
      <c r="B942">
        <v>8884.17</v>
      </c>
      <c r="C942">
        <f t="shared" si="56"/>
        <v>-1.4611387665965925E-3</v>
      </c>
      <c r="D942" s="35">
        <v>12931.7</v>
      </c>
      <c r="E942" s="45">
        <f t="shared" si="59"/>
        <v>2.4386379749442577E-2</v>
      </c>
      <c r="I942">
        <v>4624800</v>
      </c>
      <c r="J942" s="38" t="s">
        <v>949</v>
      </c>
      <c r="K942" s="45">
        <f t="shared" si="58"/>
        <v>2.9390462394693673E-2</v>
      </c>
    </row>
    <row r="943" spans="1:11" x14ac:dyDescent="0.25">
      <c r="A943" s="8">
        <v>45763</v>
      </c>
      <c r="B943">
        <v>8918.08</v>
      </c>
      <c r="C943">
        <f t="shared" si="56"/>
        <v>3.8169012974762495E-3</v>
      </c>
      <c r="D943" s="35">
        <v>13001</v>
      </c>
      <c r="E943" s="45">
        <f t="shared" si="59"/>
        <v>5.3589241940348309E-3</v>
      </c>
      <c r="I943">
        <v>5115700</v>
      </c>
      <c r="J943" s="38" t="s">
        <v>950</v>
      </c>
      <c r="K943" s="45">
        <f t="shared" si="58"/>
        <v>4.5919123092874603E-3</v>
      </c>
    </row>
    <row r="944" spans="1:11" x14ac:dyDescent="0.25">
      <c r="A944" s="8">
        <v>45764</v>
      </c>
      <c r="B944">
        <v>8948.94</v>
      </c>
      <c r="C944">
        <f t="shared" si="56"/>
        <v>3.460386092073664E-3</v>
      </c>
      <c r="D944" s="35">
        <v>13186.1</v>
      </c>
      <c r="E944" s="45">
        <f t="shared" si="59"/>
        <v>1.4237366356434134E-2</v>
      </c>
      <c r="I944">
        <v>4059300</v>
      </c>
      <c r="J944" s="38" t="s">
        <v>951</v>
      </c>
      <c r="K944" s="45">
        <f t="shared" si="58"/>
        <v>3.7083456207608334E-2</v>
      </c>
    </row>
    <row r="945" spans="1:11" x14ac:dyDescent="0.25">
      <c r="A945" s="8">
        <v>45768</v>
      </c>
      <c r="B945">
        <v>8933.43</v>
      </c>
      <c r="C945">
        <f t="shared" si="56"/>
        <v>-1.7331661626963646E-3</v>
      </c>
      <c r="D945" s="35">
        <v>13378.65</v>
      </c>
      <c r="E945" s="45">
        <f t="shared" si="59"/>
        <v>1.460249808510472E-2</v>
      </c>
      <c r="I945">
        <v>2288700</v>
      </c>
      <c r="J945" s="38" t="s">
        <v>952</v>
      </c>
      <c r="K945" s="45">
        <f t="shared" si="58"/>
        <v>2.2037392478850837E-3</v>
      </c>
    </row>
    <row r="946" spans="1:11" x14ac:dyDescent="0.25">
      <c r="A946" s="8">
        <v>45769</v>
      </c>
      <c r="B946">
        <v>8820.59</v>
      </c>
      <c r="C946">
        <f t="shared" si="56"/>
        <v>-1.2631206602615186E-2</v>
      </c>
      <c r="D946" s="35">
        <v>13416</v>
      </c>
      <c r="E946" s="45">
        <f t="shared" si="59"/>
        <v>2.7917615005998986E-3</v>
      </c>
      <c r="I946">
        <v>7187300</v>
      </c>
      <c r="J946" s="38" t="s">
        <v>953</v>
      </c>
      <c r="K946" s="45">
        <f t="shared" si="58"/>
        <v>4.7524471556248393E-3</v>
      </c>
    </row>
    <row r="947" spans="1:11" x14ac:dyDescent="0.25">
      <c r="A947" s="8">
        <v>45770</v>
      </c>
      <c r="B947">
        <v>8851.64</v>
      </c>
      <c r="C947">
        <f t="shared" si="56"/>
        <v>3.5201726868610006E-3</v>
      </c>
      <c r="D947" s="35">
        <v>13517.55</v>
      </c>
      <c r="E947" s="45">
        <f t="shared" si="59"/>
        <v>7.5693202146689398E-3</v>
      </c>
      <c r="I947">
        <v>7152000</v>
      </c>
      <c r="J947" s="38" t="s">
        <v>954</v>
      </c>
      <c r="K947" s="45">
        <f t="shared" si="58"/>
        <v>5.5771267207906927E-3</v>
      </c>
    </row>
    <row r="948" spans="1:11" x14ac:dyDescent="0.25">
      <c r="A948" s="8">
        <v>45771</v>
      </c>
      <c r="B948">
        <v>8947.17</v>
      </c>
      <c r="C948">
        <f t="shared" si="56"/>
        <v>1.0792350344117185E-2</v>
      </c>
      <c r="D948" s="35">
        <v>13480.2</v>
      </c>
      <c r="E948" s="45">
        <f t="shared" si="59"/>
        <v>-2.7630746695961328E-3</v>
      </c>
      <c r="I948">
        <v>5767900</v>
      </c>
      <c r="J948" s="38" t="s">
        <v>955</v>
      </c>
      <c r="K948" s="45">
        <f t="shared" si="58"/>
        <v>-1.5234484695310302E-2</v>
      </c>
    </row>
    <row r="949" spans="1:11" x14ac:dyDescent="0.25">
      <c r="A949" s="8">
        <v>45772</v>
      </c>
      <c r="B949">
        <v>8969</v>
      </c>
      <c r="C949">
        <f t="shared" si="56"/>
        <v>2.4398776372864805E-3</v>
      </c>
      <c r="D949" s="35">
        <v>13296.85</v>
      </c>
      <c r="E949" s="45">
        <f t="shared" si="59"/>
        <v>-1.3601430245842039E-2</v>
      </c>
      <c r="I949">
        <v>9012100</v>
      </c>
      <c r="J949" s="38" t="s">
        <v>956</v>
      </c>
      <c r="K949" s="45">
        <f t="shared" si="58"/>
        <v>1.4971127111997884E-3</v>
      </c>
    </row>
    <row r="950" spans="1:11" x14ac:dyDescent="0.25">
      <c r="A950" s="8">
        <v>45775</v>
      </c>
      <c r="B950">
        <v>8949.07</v>
      </c>
      <c r="C950">
        <f t="shared" si="56"/>
        <v>-2.2220983387223336E-3</v>
      </c>
      <c r="D950" s="35">
        <v>13464.6</v>
      </c>
      <c r="E950" s="45">
        <f t="shared" si="59"/>
        <v>1.2615769900389928E-2</v>
      </c>
      <c r="I950">
        <v>6604400</v>
      </c>
      <c r="J950" s="38" t="s">
        <v>957</v>
      </c>
      <c r="K950" s="45">
        <f t="shared" si="58"/>
        <v>1.7084282460136713E-2</v>
      </c>
    </row>
    <row r="951" spans="1:11" x14ac:dyDescent="0.25">
      <c r="A951" s="8">
        <v>45776</v>
      </c>
      <c r="B951">
        <v>9019.0300000000007</v>
      </c>
      <c r="C951">
        <f t="shared" si="56"/>
        <v>7.8175721052580194E-3</v>
      </c>
      <c r="D951" s="35">
        <v>13469</v>
      </c>
      <c r="E951" s="45">
        <f t="shared" si="59"/>
        <v>3.2678282310638629E-4</v>
      </c>
      <c r="I951">
        <v>7102600</v>
      </c>
      <c r="J951" s="38" t="s">
        <v>958</v>
      </c>
      <c r="K951" s="45">
        <f t="shared" si="58"/>
        <v>6.9988801791720512E-4</v>
      </c>
    </row>
    <row r="952" spans="1:11" x14ac:dyDescent="0.25">
      <c r="A952" s="8">
        <v>45777</v>
      </c>
      <c r="B952">
        <v>9064.93</v>
      </c>
      <c r="C952">
        <f t="shared" si="56"/>
        <v>5.08923908668657E-3</v>
      </c>
      <c r="D952" s="35">
        <v>13438.15</v>
      </c>
      <c r="E952" s="45">
        <f t="shared" si="59"/>
        <v>-2.2904447249239013E-3</v>
      </c>
      <c r="I952">
        <v>6025100</v>
      </c>
      <c r="J952" s="38" t="s">
        <v>959</v>
      </c>
      <c r="K952" s="45">
        <f t="shared" si="58"/>
        <v>-1.9583158483703622E-3</v>
      </c>
    </row>
    <row r="953" spans="1:11" x14ac:dyDescent="0.25">
      <c r="A953" s="8">
        <v>45779</v>
      </c>
      <c r="B953">
        <v>9047.76</v>
      </c>
      <c r="C953">
        <f t="shared" si="56"/>
        <v>-1.8941128061661372E-3</v>
      </c>
      <c r="D953" s="35">
        <v>13423.5</v>
      </c>
      <c r="E953" s="45">
        <f t="shared" si="59"/>
        <v>-1.0901798238596161E-3</v>
      </c>
      <c r="I953">
        <v>5554200</v>
      </c>
      <c r="J953" s="38" t="s">
        <v>960</v>
      </c>
      <c r="K953" s="45">
        <f t="shared" si="58"/>
        <v>3.7841625788368471E-3</v>
      </c>
    </row>
    <row r="954" spans="1:11" x14ac:dyDescent="0.25">
      <c r="A954" s="8">
        <v>45782</v>
      </c>
      <c r="B954">
        <v>9041.98</v>
      </c>
      <c r="C954">
        <f t="shared" si="56"/>
        <v>-6.3883215293070172E-4</v>
      </c>
      <c r="D954" s="35">
        <v>13535.8</v>
      </c>
      <c r="E954" s="45">
        <f t="shared" si="59"/>
        <v>8.3659254292844931E-3</v>
      </c>
      <c r="I954">
        <v>6999200</v>
      </c>
      <c r="J954" s="38" t="s">
        <v>961</v>
      </c>
      <c r="K954" s="45">
        <f t="shared" si="58"/>
        <v>-2.0943870427254652E-3</v>
      </c>
    </row>
    <row r="955" spans="1:11" x14ac:dyDescent="0.25">
      <c r="A955" s="8">
        <v>45783</v>
      </c>
      <c r="B955">
        <v>9042.19</v>
      </c>
      <c r="C955">
        <f t="shared" si="56"/>
        <v>2.3225001603677242E-5</v>
      </c>
      <c r="D955" s="35">
        <v>13407.25</v>
      </c>
      <c r="E955" s="45">
        <f t="shared" si="59"/>
        <v>-9.4970374857783479E-3</v>
      </c>
      <c r="I955">
        <v>4695400</v>
      </c>
      <c r="J955" s="38" t="s">
        <v>962</v>
      </c>
      <c r="K955" s="45">
        <f t="shared" si="58"/>
        <v>1.5391073177555281E-3</v>
      </c>
    </row>
    <row r="956" spans="1:11" x14ac:dyDescent="0.25">
      <c r="A956" s="8">
        <v>45784</v>
      </c>
      <c r="B956">
        <v>9064.69</v>
      </c>
      <c r="C956">
        <f t="shared" si="56"/>
        <v>2.4883352373705758E-3</v>
      </c>
      <c r="D956" s="35">
        <v>13464.4</v>
      </c>
      <c r="E956" s="45">
        <f t="shared" si="59"/>
        <v>4.262619105334764E-3</v>
      </c>
      <c r="I956">
        <v>3864800</v>
      </c>
      <c r="J956" s="38" t="s">
        <v>963</v>
      </c>
      <c r="K956" s="45">
        <f t="shared" si="58"/>
        <v>2.6543727298129483E-3</v>
      </c>
    </row>
    <row r="957" spans="1:11" x14ac:dyDescent="0.25">
      <c r="A957" s="8">
        <v>45785</v>
      </c>
      <c r="B957">
        <v>9059.26</v>
      </c>
      <c r="C957">
        <f t="shared" si="56"/>
        <v>-5.9902765566177685E-4</v>
      </c>
      <c r="D957" s="35">
        <v>13326.75</v>
      </c>
      <c r="E957" s="45">
        <f t="shared" si="59"/>
        <v>-1.0223255399423592E-2</v>
      </c>
      <c r="I957">
        <v>7023600</v>
      </c>
      <c r="J957" s="38" t="s">
        <v>964</v>
      </c>
      <c r="K957" s="45">
        <f t="shared" si="58"/>
        <v>6.9666991779238074E-5</v>
      </c>
    </row>
    <row r="958" spans="1:11" x14ac:dyDescent="0.25">
      <c r="A958" s="8">
        <v>45786</v>
      </c>
      <c r="B958">
        <v>9082.1299999999992</v>
      </c>
      <c r="C958">
        <f t="shared" si="56"/>
        <v>2.5244887551520989E-3</v>
      </c>
      <c r="D958" s="35">
        <v>13217.7</v>
      </c>
      <c r="E958" s="45">
        <f t="shared" si="59"/>
        <v>-8.1827902526871998E-3</v>
      </c>
      <c r="I958">
        <v>6102100</v>
      </c>
      <c r="J958" s="38" t="s">
        <v>965</v>
      </c>
      <c r="K958" s="45">
        <f t="shared" si="58"/>
        <v>-3.246255660048758E-2</v>
      </c>
    </row>
    <row r="959" spans="1:11" x14ac:dyDescent="0.25">
      <c r="A959" s="8">
        <v>45789</v>
      </c>
      <c r="B959">
        <v>9147.2000000000007</v>
      </c>
      <c r="C959">
        <f t="shared" si="56"/>
        <v>7.1646188724452387E-3</v>
      </c>
      <c r="D959" s="35">
        <v>13733.8</v>
      </c>
      <c r="E959" s="45">
        <f t="shared" si="59"/>
        <v>3.904612754110004E-2</v>
      </c>
      <c r="I959">
        <v>5850500</v>
      </c>
      <c r="J959" s="38" t="s">
        <v>966</v>
      </c>
      <c r="K959" s="45">
        <f t="shared" si="58"/>
        <v>4.2911656706746237E-2</v>
      </c>
    </row>
    <row r="960" spans="1:11" x14ac:dyDescent="0.25">
      <c r="A960" s="65">
        <v>45790</v>
      </c>
      <c r="B960">
        <v>9140.39</v>
      </c>
      <c r="C960">
        <f t="shared" si="56"/>
        <v>-7.444901171944629E-4</v>
      </c>
      <c r="D960" s="35">
        <v>13604.9</v>
      </c>
      <c r="E960" s="45">
        <f t="shared" si="59"/>
        <v>-9.3856034018261481E-3</v>
      </c>
      <c r="I960">
        <v>11542300</v>
      </c>
      <c r="J960" s="38" t="s">
        <v>967</v>
      </c>
      <c r="K960" s="45">
        <f t="shared" si="58"/>
        <v>-1.2357611322057371E-2</v>
      </c>
    </row>
    <row r="961" spans="1:11" x14ac:dyDescent="0.25">
      <c r="A961" s="8">
        <v>45791</v>
      </c>
      <c r="B961">
        <v>9105.0499999999993</v>
      </c>
      <c r="C961">
        <f t="shared" si="56"/>
        <v>-3.866355811951161E-3</v>
      </c>
      <c r="D961" s="35">
        <v>13677.95</v>
      </c>
      <c r="E961" s="45">
        <f t="shared" si="59"/>
        <v>5.3693889701504904E-3</v>
      </c>
      <c r="I961">
        <v>5769300</v>
      </c>
      <c r="J961" s="38" t="s">
        <v>968</v>
      </c>
      <c r="K961" s="45">
        <f t="shared" si="58"/>
        <v>-3.0756326017055136E-3</v>
      </c>
    </row>
    <row r="962" spans="1:11" x14ac:dyDescent="0.25">
      <c r="A962" s="8">
        <v>45792</v>
      </c>
      <c r="B962">
        <v>9139.44</v>
      </c>
      <c r="C962">
        <f t="shared" si="56"/>
        <v>3.7770248378647953E-3</v>
      </c>
      <c r="D962" s="35">
        <v>13865.8</v>
      </c>
      <c r="E962" s="45">
        <f t="shared" si="59"/>
        <v>1.3733783205816641E-2</v>
      </c>
      <c r="I962">
        <v>6102700</v>
      </c>
      <c r="J962" s="38" t="s">
        <v>969</v>
      </c>
      <c r="K962" s="45">
        <f t="shared" si="58"/>
        <v>1.7248632730332281E-2</v>
      </c>
    </row>
    <row r="963" spans="1:11" x14ac:dyDescent="0.25">
      <c r="A963" s="8">
        <v>45793</v>
      </c>
      <c r="B963">
        <v>9128.8799999999992</v>
      </c>
      <c r="C963">
        <f t="shared" si="56"/>
        <v>-1.1554318426513221E-3</v>
      </c>
      <c r="D963" s="35">
        <v>13896.35</v>
      </c>
      <c r="E963" s="45">
        <f t="shared" si="59"/>
        <v>2.2032627039190178E-3</v>
      </c>
      <c r="I963">
        <v>4525700</v>
      </c>
      <c r="J963" s="38" t="s">
        <v>970</v>
      </c>
      <c r="K963" s="45">
        <f t="shared" si="58"/>
        <v>2.2056796250344846E-3</v>
      </c>
    </row>
    <row r="964" spans="1:11" x14ac:dyDescent="0.25">
      <c r="A964" s="8">
        <v>45796</v>
      </c>
      <c r="B964">
        <v>9103.4500000000007</v>
      </c>
      <c r="C964">
        <f t="shared" ref="C964:C991" si="60">B964/B963-1</f>
        <v>-2.7856648351165525E-3</v>
      </c>
      <c r="D964" s="35">
        <v>13879.4</v>
      </c>
      <c r="E964" s="45">
        <f t="shared" si="59"/>
        <v>-1.2197447531187011E-3</v>
      </c>
      <c r="I964">
        <v>6111400</v>
      </c>
      <c r="J964" s="38" t="s">
        <v>971</v>
      </c>
      <c r="K964" s="45">
        <f t="shared" ref="K964:K1027" si="61">J964/J963-1</f>
        <v>-3.4387895460797901E-3</v>
      </c>
    </row>
    <row r="965" spans="1:11" x14ac:dyDescent="0.25">
      <c r="A965" s="8">
        <v>45797</v>
      </c>
      <c r="B965">
        <v>9062.1299999999992</v>
      </c>
      <c r="C965">
        <f t="shared" si="60"/>
        <v>-4.5389385342921029E-3</v>
      </c>
      <c r="D965" s="35">
        <v>13704.9</v>
      </c>
      <c r="E965" s="45">
        <f t="shared" ref="E965:E1028" si="62">D965/D964-1</f>
        <v>-1.257258959321006E-2</v>
      </c>
      <c r="I965">
        <v>4390700</v>
      </c>
      <c r="J965" s="38" t="s">
        <v>972</v>
      </c>
      <c r="K965" s="45">
        <f t="shared" si="61"/>
        <v>-7.4534161490682482E-3</v>
      </c>
    </row>
    <row r="966" spans="1:11" x14ac:dyDescent="0.25">
      <c r="A966" s="8">
        <v>45798</v>
      </c>
      <c r="B966">
        <v>9102.25</v>
      </c>
      <c r="C966">
        <f t="shared" si="60"/>
        <v>4.4272152352704541E-3</v>
      </c>
      <c r="D966" s="35">
        <v>13795.2</v>
      </c>
      <c r="E966" s="45">
        <f t="shared" si="62"/>
        <v>6.5888842676706805E-3</v>
      </c>
      <c r="I966">
        <v>4020000</v>
      </c>
      <c r="J966" s="38" t="s">
        <v>973</v>
      </c>
      <c r="K966" s="45">
        <f t="shared" si="61"/>
        <v>4.5195383117786481E-3</v>
      </c>
    </row>
    <row r="967" spans="1:11" x14ac:dyDescent="0.25">
      <c r="A967" s="8">
        <v>45799</v>
      </c>
      <c r="B967">
        <v>9179.4</v>
      </c>
      <c r="C967">
        <f t="shared" si="60"/>
        <v>8.475926281963142E-3</v>
      </c>
      <c r="D967" s="35">
        <v>13698.55</v>
      </c>
      <c r="E967" s="45">
        <f t="shared" si="62"/>
        <v>-7.0060600788681704E-3</v>
      </c>
      <c r="I967">
        <v>5247200</v>
      </c>
      <c r="J967" s="38" t="s">
        <v>974</v>
      </c>
      <c r="K967" s="45">
        <f t="shared" si="61"/>
        <v>-1.7996815947948219E-3</v>
      </c>
    </row>
    <row r="968" spans="1:11" x14ac:dyDescent="0.25">
      <c r="A968" s="8">
        <v>45800</v>
      </c>
      <c r="B968">
        <v>9172.76</v>
      </c>
      <c r="C968">
        <f t="shared" si="60"/>
        <v>-7.2335882519547479E-4</v>
      </c>
      <c r="D968" s="35">
        <v>13817.85</v>
      </c>
      <c r="E968" s="45">
        <f t="shared" si="62"/>
        <v>8.7089509473630144E-3</v>
      </c>
      <c r="I968">
        <v>3902300</v>
      </c>
      <c r="J968" s="38" t="s">
        <v>975</v>
      </c>
      <c r="K968" s="45">
        <f t="shared" si="61"/>
        <v>5.339435545385296E-3</v>
      </c>
    </row>
    <row r="969" spans="1:11" x14ac:dyDescent="0.25">
      <c r="A969" s="8">
        <v>45803</v>
      </c>
      <c r="B969">
        <v>9139.02</v>
      </c>
      <c r="C969">
        <f t="shared" si="60"/>
        <v>-3.6782822182199748E-3</v>
      </c>
      <c r="D969" s="35">
        <v>13898.2</v>
      </c>
      <c r="E969" s="45">
        <f t="shared" si="62"/>
        <v>5.8149422667057582E-3</v>
      </c>
      <c r="I969">
        <v>4421700</v>
      </c>
      <c r="J969" s="38" t="s">
        <v>976</v>
      </c>
      <c r="K969" s="45">
        <f t="shared" si="61"/>
        <v>7.4493033521865204E-3</v>
      </c>
    </row>
    <row r="970" spans="1:11" x14ac:dyDescent="0.25">
      <c r="A970" s="8">
        <v>45804</v>
      </c>
      <c r="B970">
        <v>9132.2199999999993</v>
      </c>
      <c r="C970">
        <f t="shared" si="60"/>
        <v>-7.4406227363554844E-4</v>
      </c>
      <c r="D970" s="35">
        <v>13829.3</v>
      </c>
      <c r="E970" s="45">
        <f t="shared" si="62"/>
        <v>-4.9574765077493588E-3</v>
      </c>
      <c r="I970">
        <v>9718300</v>
      </c>
      <c r="J970" s="38" t="s">
        <v>977</v>
      </c>
      <c r="K970" s="45">
        <f t="shared" si="61"/>
        <v>-9.7220320416265826E-3</v>
      </c>
    </row>
    <row r="971" spans="1:11" x14ac:dyDescent="0.25">
      <c r="A971" s="8">
        <v>45805</v>
      </c>
      <c r="B971">
        <v>9113.16</v>
      </c>
      <c r="C971">
        <f t="shared" si="60"/>
        <v>-2.0871157287055686E-3</v>
      </c>
      <c r="D971" s="35">
        <v>13794.75</v>
      </c>
      <c r="E971" s="45">
        <f t="shared" si="62"/>
        <v>-2.4983187869234147E-3</v>
      </c>
      <c r="I971">
        <v>8716600</v>
      </c>
      <c r="J971" s="38" t="s">
        <v>978</v>
      </c>
      <c r="K971" s="45">
        <f t="shared" si="61"/>
        <v>5.1161504424777071E-3</v>
      </c>
    </row>
    <row r="972" spans="1:11" x14ac:dyDescent="0.25">
      <c r="A972" s="8">
        <v>45806</v>
      </c>
      <c r="B972">
        <v>9025.0400000000009</v>
      </c>
      <c r="C972">
        <f t="shared" si="60"/>
        <v>-9.6695328513928258E-3</v>
      </c>
      <c r="D972" s="35">
        <v>13841.55</v>
      </c>
      <c r="E972" s="45">
        <f t="shared" si="62"/>
        <v>3.3925950089708223E-3</v>
      </c>
      <c r="I972">
        <v>9908000</v>
      </c>
      <c r="J972" s="38" t="s">
        <v>979</v>
      </c>
      <c r="K972" s="45">
        <f t="shared" si="61"/>
        <v>1.8572018159306314E-3</v>
      </c>
    </row>
    <row r="973" spans="1:11" x14ac:dyDescent="0.25">
      <c r="A973" s="8">
        <v>45807</v>
      </c>
      <c r="B973">
        <v>9041.1200000000008</v>
      </c>
      <c r="C973">
        <f t="shared" si="60"/>
        <v>1.7817095547498774E-3</v>
      </c>
      <c r="D973" s="35">
        <v>13798.4</v>
      </c>
      <c r="E973" s="45">
        <f t="shared" si="62"/>
        <v>-3.1174254328453221E-3</v>
      </c>
      <c r="I973">
        <v>11068200</v>
      </c>
      <c r="J973" s="38" t="s">
        <v>980</v>
      </c>
      <c r="K973" s="45">
        <f t="shared" si="61"/>
        <v>-7.3463783041538555E-3</v>
      </c>
    </row>
    <row r="974" spans="1:11" x14ac:dyDescent="0.25">
      <c r="A974" s="8">
        <v>45810</v>
      </c>
      <c r="B974">
        <v>9023.9</v>
      </c>
      <c r="C974">
        <f t="shared" si="60"/>
        <v>-1.9046312846197067E-3</v>
      </c>
      <c r="D974" s="35">
        <v>13808.05</v>
      </c>
      <c r="E974" s="45">
        <f t="shared" si="62"/>
        <v>6.9935644712426637E-4</v>
      </c>
      <c r="I974">
        <v>10826800</v>
      </c>
      <c r="J974" s="38" t="s">
        <v>981</v>
      </c>
      <c r="K974" s="45">
        <f t="shared" si="61"/>
        <v>3.2507954073870415E-3</v>
      </c>
    </row>
    <row r="975" spans="1:11" x14ac:dyDescent="0.25">
      <c r="A975" s="8">
        <v>45811</v>
      </c>
      <c r="B975">
        <v>9003.1200000000008</v>
      </c>
      <c r="C975">
        <f t="shared" si="60"/>
        <v>-2.3027737452763208E-3</v>
      </c>
      <c r="D975" s="35">
        <v>13719.9</v>
      </c>
      <c r="E975" s="45">
        <f t="shared" si="62"/>
        <v>-6.3839571843959941E-3</v>
      </c>
      <c r="I975">
        <v>8139500</v>
      </c>
      <c r="J975" s="38" t="s">
        <v>982</v>
      </c>
      <c r="K975" s="45">
        <f t="shared" si="61"/>
        <v>-8.6866597724921668E-3</v>
      </c>
    </row>
    <row r="976" spans="1:11" x14ac:dyDescent="0.25">
      <c r="A976" s="8">
        <v>45812</v>
      </c>
      <c r="B976">
        <v>9063.09</v>
      </c>
      <c r="C976">
        <f t="shared" si="60"/>
        <v>6.6610241782847357E-3</v>
      </c>
      <c r="D976" s="35">
        <v>13772.05</v>
      </c>
      <c r="E976" s="45">
        <f t="shared" si="62"/>
        <v>3.8010481125956286E-3</v>
      </c>
      <c r="I976">
        <v>6593200</v>
      </c>
      <c r="J976" s="38" t="s">
        <v>983</v>
      </c>
      <c r="K976" s="45">
        <f t="shared" si="61"/>
        <v>-4.798664719382506E-3</v>
      </c>
    </row>
    <row r="977" spans="1:11" x14ac:dyDescent="0.25">
      <c r="A977" s="8">
        <v>45813</v>
      </c>
      <c r="B977">
        <v>9139.94</v>
      </c>
      <c r="C977">
        <f t="shared" si="60"/>
        <v>8.4794479586984828E-3</v>
      </c>
      <c r="D977" s="35">
        <v>13845.8</v>
      </c>
      <c r="E977" s="45">
        <f t="shared" si="62"/>
        <v>5.355048812631491E-3</v>
      </c>
      <c r="I977">
        <v>7904200</v>
      </c>
      <c r="J977" s="38" t="s">
        <v>984</v>
      </c>
      <c r="K977" s="45">
        <f t="shared" si="61"/>
        <v>1.6631726065688301E-2</v>
      </c>
    </row>
    <row r="978" spans="1:11" x14ac:dyDescent="0.25">
      <c r="A978" s="8">
        <v>45814</v>
      </c>
      <c r="B978">
        <v>9139.56</v>
      </c>
      <c r="C978">
        <f t="shared" si="60"/>
        <v>-4.1575765267753972E-5</v>
      </c>
      <c r="D978" s="35">
        <v>13996.3</v>
      </c>
      <c r="E978" s="45">
        <f t="shared" si="62"/>
        <v>1.0869722226234613E-2</v>
      </c>
      <c r="I978">
        <v>10397100</v>
      </c>
      <c r="J978" s="38" t="s">
        <v>985</v>
      </c>
      <c r="K978" s="45">
        <f t="shared" si="61"/>
        <v>3.3681605719000363E-3</v>
      </c>
    </row>
    <row r="979" spans="1:11" x14ac:dyDescent="0.25">
      <c r="A979" s="8">
        <v>45817</v>
      </c>
      <c r="B979">
        <v>9146.26</v>
      </c>
      <c r="C979">
        <f t="shared" si="60"/>
        <v>7.3307686584489495E-4</v>
      </c>
      <c r="D979" s="35">
        <v>14086.9</v>
      </c>
      <c r="E979" s="45">
        <f t="shared" si="62"/>
        <v>6.4731393296799666E-3</v>
      </c>
      <c r="I979">
        <v>11404100</v>
      </c>
      <c r="J979" s="38" t="s">
        <v>986</v>
      </c>
      <c r="K979" s="45">
        <f t="shared" si="61"/>
        <v>-1.7058299650613229E-2</v>
      </c>
    </row>
    <row r="980" spans="1:11" x14ac:dyDescent="0.25">
      <c r="A980" s="8">
        <v>45818</v>
      </c>
      <c r="B980">
        <v>9125.3799999999992</v>
      </c>
      <c r="C980">
        <f t="shared" si="60"/>
        <v>-2.2829003330323561E-3</v>
      </c>
      <c r="D980" s="35">
        <v>14089.9</v>
      </c>
      <c r="E980" s="45">
        <f t="shared" si="62"/>
        <v>2.1296381744750903E-4</v>
      </c>
      <c r="I980">
        <v>8680100</v>
      </c>
      <c r="J980" s="38" t="s">
        <v>987</v>
      </c>
      <c r="K980" s="45">
        <f t="shared" si="61"/>
        <v>-8.2938388625591886E-3</v>
      </c>
    </row>
    <row r="981" spans="1:11" x14ac:dyDescent="0.25">
      <c r="A981" s="8">
        <v>45819</v>
      </c>
      <c r="B981">
        <v>9179.5300000000007</v>
      </c>
      <c r="C981">
        <f t="shared" si="60"/>
        <v>5.9339994608444968E-3</v>
      </c>
      <c r="D981" s="35">
        <v>14087.75</v>
      </c>
      <c r="E981" s="45">
        <f t="shared" si="62"/>
        <v>-1.525915726867666E-4</v>
      </c>
      <c r="I981">
        <v>9241500</v>
      </c>
      <c r="J981" s="38" t="s">
        <v>983</v>
      </c>
      <c r="K981" s="45">
        <f t="shared" si="61"/>
        <v>5.6925996204932883E-3</v>
      </c>
    </row>
    <row r="982" spans="1:11" x14ac:dyDescent="0.25">
      <c r="A982" s="8">
        <v>45820</v>
      </c>
      <c r="B982">
        <v>9130.92</v>
      </c>
      <c r="C982">
        <f t="shared" si="60"/>
        <v>-5.2954780909263421E-3</v>
      </c>
      <c r="D982" s="35">
        <v>13915.6</v>
      </c>
      <c r="E982" s="45">
        <f t="shared" si="62"/>
        <v>-1.2219836382672877E-2</v>
      </c>
      <c r="I982">
        <v>9324800</v>
      </c>
      <c r="J982" s="38" t="s">
        <v>988</v>
      </c>
      <c r="K982" s="45">
        <f t="shared" si="61"/>
        <v>-4.0531097134870464E-3</v>
      </c>
    </row>
    <row r="983" spans="1:11" x14ac:dyDescent="0.25">
      <c r="A983" s="8">
        <v>45821</v>
      </c>
      <c r="B983">
        <v>9199.73</v>
      </c>
      <c r="C983">
        <f t="shared" si="60"/>
        <v>7.5359328523303404E-3</v>
      </c>
      <c r="D983" s="35">
        <v>13825.4</v>
      </c>
      <c r="E983" s="45">
        <f t="shared" si="62"/>
        <v>-6.4819339446376967E-3</v>
      </c>
      <c r="I983">
        <v>5763800</v>
      </c>
      <c r="J983" s="38" t="s">
        <v>989</v>
      </c>
      <c r="K983" s="45">
        <f t="shared" si="61"/>
        <v>-6.3850687622790669E-3</v>
      </c>
    </row>
    <row r="984" spans="1:11" x14ac:dyDescent="0.25">
      <c r="A984" s="8">
        <v>45824</v>
      </c>
      <c r="B984">
        <v>9268.49</v>
      </c>
      <c r="C984">
        <f t="shared" si="60"/>
        <v>7.4741323930158643E-3</v>
      </c>
      <c r="D984" s="35">
        <v>13949.35</v>
      </c>
      <c r="E984" s="45">
        <f t="shared" si="62"/>
        <v>8.9653825567435064E-3</v>
      </c>
      <c r="I984">
        <v>6400300</v>
      </c>
      <c r="J984" s="38" t="s">
        <v>990</v>
      </c>
      <c r="K984" s="45">
        <f t="shared" si="61"/>
        <v>7.6265800437822495E-3</v>
      </c>
    </row>
    <row r="985" spans="1:11" x14ac:dyDescent="0.25">
      <c r="A985" s="8">
        <v>45825</v>
      </c>
      <c r="B985">
        <v>9154.66</v>
      </c>
      <c r="C985">
        <f t="shared" si="60"/>
        <v>-1.2281396430270708E-2</v>
      </c>
      <c r="D985" s="35">
        <v>13883.75</v>
      </c>
      <c r="E985" s="45">
        <f t="shared" si="62"/>
        <v>-4.702728084104324E-3</v>
      </c>
      <c r="I985">
        <v>6801500</v>
      </c>
      <c r="J985" s="38" t="s">
        <v>991</v>
      </c>
      <c r="K985" s="45">
        <f t="shared" si="61"/>
        <v>-2.5930338496040761E-3</v>
      </c>
    </row>
    <row r="986" spans="1:11" x14ac:dyDescent="0.25">
      <c r="A986" s="8">
        <v>45826</v>
      </c>
      <c r="B986">
        <v>9154.1</v>
      </c>
      <c r="C986">
        <f t="shared" si="60"/>
        <v>-6.1171032020745919E-5</v>
      </c>
      <c r="D986" s="35">
        <v>13850.75</v>
      </c>
      <c r="E986" s="45">
        <f t="shared" si="62"/>
        <v>-2.376879445394775E-3</v>
      </c>
      <c r="I986">
        <v>6829500</v>
      </c>
      <c r="J986" s="38" t="s">
        <v>992</v>
      </c>
      <c r="K986" s="45">
        <f t="shared" si="61"/>
        <v>-7.4480044969085224E-3</v>
      </c>
    </row>
    <row r="987" spans="1:11" x14ac:dyDescent="0.25">
      <c r="A987" s="8">
        <v>45827</v>
      </c>
      <c r="B987">
        <v>9139.5499999999993</v>
      </c>
      <c r="C987">
        <f t="shared" si="60"/>
        <v>-1.5894517210868209E-3</v>
      </c>
      <c r="D987" s="35">
        <v>13777.1</v>
      </c>
      <c r="E987" s="45">
        <f t="shared" si="62"/>
        <v>-5.3174015847516909E-3</v>
      </c>
      <c r="I987">
        <v>9458300</v>
      </c>
      <c r="J987" s="38" t="s">
        <v>993</v>
      </c>
      <c r="K987" s="45">
        <f t="shared" si="61"/>
        <v>-9.202888291094391E-4</v>
      </c>
    </row>
    <row r="988" spans="1:11" x14ac:dyDescent="0.25">
      <c r="A988" s="8">
        <v>45828</v>
      </c>
      <c r="B988">
        <v>9206.39</v>
      </c>
      <c r="C988">
        <f t="shared" si="60"/>
        <v>7.3132703470082383E-3</v>
      </c>
      <c r="D988" s="35">
        <v>13959.6</v>
      </c>
      <c r="E988" s="45">
        <f t="shared" si="62"/>
        <v>1.3246619390147485E-2</v>
      </c>
      <c r="I988">
        <v>12003600</v>
      </c>
      <c r="J988" s="38" t="s">
        <v>994</v>
      </c>
      <c r="K988" s="45">
        <f t="shared" si="61"/>
        <v>1.119535180330189E-2</v>
      </c>
    </row>
    <row r="989" spans="1:11" x14ac:dyDescent="0.25">
      <c r="A989" s="8">
        <v>45831</v>
      </c>
      <c r="B989">
        <v>9254.73</v>
      </c>
      <c r="C989">
        <f t="shared" si="60"/>
        <v>5.2507008718944981E-3</v>
      </c>
      <c r="D989" s="35">
        <v>13915.75</v>
      </c>
      <c r="E989" s="45">
        <f t="shared" si="62"/>
        <v>-3.1412074844551219E-3</v>
      </c>
      <c r="I989">
        <v>8954500</v>
      </c>
      <c r="J989" s="38" t="s">
        <v>995</v>
      </c>
      <c r="K989" s="45">
        <f t="shared" si="61"/>
        <v>-4.9050522037699107E-3</v>
      </c>
    </row>
    <row r="990" spans="1:11" x14ac:dyDescent="0.25">
      <c r="A990" s="8">
        <v>45832</v>
      </c>
      <c r="B990">
        <v>9327.69</v>
      </c>
      <c r="C990">
        <f t="shared" si="60"/>
        <v>7.8835363106217748E-3</v>
      </c>
      <c r="D990" s="35">
        <v>13977.25</v>
      </c>
      <c r="E990" s="45">
        <f t="shared" si="62"/>
        <v>4.4194527783267823E-3</v>
      </c>
      <c r="I990">
        <v>8122900</v>
      </c>
      <c r="J990" s="38" t="s">
        <v>996</v>
      </c>
      <c r="K990" s="45">
        <f t="shared" si="61"/>
        <v>2.816703049081104E-3</v>
      </c>
    </row>
    <row r="991" spans="1:11" x14ac:dyDescent="0.25">
      <c r="A991" s="8">
        <v>45833</v>
      </c>
      <c r="B991">
        <v>9327.69</v>
      </c>
      <c r="C991">
        <f t="shared" si="60"/>
        <v>0</v>
      </c>
      <c r="D991" s="35">
        <v>14074.1</v>
      </c>
      <c r="E991" s="45">
        <f t="shared" si="62"/>
        <v>6.9291169579137613E-3</v>
      </c>
      <c r="J991" s="38" t="s">
        <v>997</v>
      </c>
      <c r="K991" s="45">
        <f t="shared" si="61"/>
        <v>1.1937363949161561E-3</v>
      </c>
    </row>
    <row r="992" spans="1:11" x14ac:dyDescent="0.25">
      <c r="A992" s="8">
        <v>45834</v>
      </c>
      <c r="D992" s="35">
        <v>14223.3</v>
      </c>
      <c r="E992" s="45">
        <f t="shared" si="62"/>
        <v>1.0601033103359914E-2</v>
      </c>
      <c r="J992" s="38" t="s">
        <v>998</v>
      </c>
      <c r="K992" s="45">
        <f t="shared" si="61"/>
        <v>9.328096507223993E-3</v>
      </c>
    </row>
    <row r="993" spans="1:11" x14ac:dyDescent="0.25">
      <c r="A993" s="8">
        <v>45835</v>
      </c>
      <c r="D993" s="35">
        <v>14276.05</v>
      </c>
      <c r="E993" s="45">
        <f t="shared" si="62"/>
        <v>3.7087033248262014E-3</v>
      </c>
      <c r="J993" s="38" t="s">
        <v>999</v>
      </c>
      <c r="K993" s="45">
        <f t="shared" si="61"/>
        <v>1.6051698978528428E-2</v>
      </c>
    </row>
    <row r="994" spans="1:11" x14ac:dyDescent="0.25">
      <c r="A994" s="8">
        <v>45838</v>
      </c>
      <c r="D994" s="35">
        <v>14252.65</v>
      </c>
      <c r="E994" s="45">
        <f t="shared" si="62"/>
        <v>-1.6391088571418022E-3</v>
      </c>
      <c r="J994" s="38" t="s">
        <v>980</v>
      </c>
      <c r="K994" s="45">
        <f t="shared" si="61"/>
        <v>-1.1215975926685884E-2</v>
      </c>
    </row>
    <row r="995" spans="1:11" x14ac:dyDescent="0.25">
      <c r="A995" s="8">
        <v>45839</v>
      </c>
      <c r="D995" s="35">
        <v>14260.5</v>
      </c>
      <c r="E995" s="45">
        <f t="shared" si="62"/>
        <v>5.5077476820097893E-4</v>
      </c>
      <c r="J995" s="38" t="s">
        <v>1000</v>
      </c>
      <c r="K995" s="45">
        <f t="shared" si="61"/>
        <v>-9.5448886429657653E-3</v>
      </c>
    </row>
    <row r="996" spans="1:11" x14ac:dyDescent="0.25">
      <c r="A996" s="8">
        <v>45840</v>
      </c>
      <c r="D996" s="35">
        <v>14217.35</v>
      </c>
      <c r="E996" s="45">
        <f t="shared" si="62"/>
        <v>-3.0258406086742795E-3</v>
      </c>
      <c r="J996" s="38" t="s">
        <v>1001</v>
      </c>
      <c r="K996" s="45">
        <f t="shared" si="61"/>
        <v>-2.9329608938547524E-3</v>
      </c>
    </row>
    <row r="997" spans="1:11" x14ac:dyDescent="0.25">
      <c r="A997" s="8">
        <v>45841</v>
      </c>
      <c r="D997" s="35">
        <v>14188.6</v>
      </c>
      <c r="E997" s="45">
        <f t="shared" si="62"/>
        <v>-2.0221771286491608E-3</v>
      </c>
      <c r="J997" s="38" t="s">
        <v>1002</v>
      </c>
      <c r="K997" s="45">
        <f t="shared" si="61"/>
        <v>-1.3307185880374606E-3</v>
      </c>
    </row>
    <row r="998" spans="1:11" x14ac:dyDescent="0.25">
      <c r="A998" s="8">
        <v>45842</v>
      </c>
      <c r="D998" s="35">
        <v>14217.15</v>
      </c>
      <c r="E998" s="45">
        <f t="shared" si="62"/>
        <v>2.012178791424013E-3</v>
      </c>
      <c r="J998" s="38" t="s">
        <v>1003</v>
      </c>
      <c r="K998" s="45">
        <f t="shared" si="61"/>
        <v>1.185216354583063E-2</v>
      </c>
    </row>
    <row r="999" spans="1:11" x14ac:dyDescent="0.25">
      <c r="A999" s="8">
        <v>45845</v>
      </c>
      <c r="D999" s="35">
        <v>14214.05</v>
      </c>
      <c r="E999" s="45">
        <f t="shared" si="62"/>
        <v>-2.1804651424517374E-4</v>
      </c>
      <c r="J999" s="38" t="s">
        <v>1004</v>
      </c>
      <c r="K999" s="45">
        <f t="shared" si="61"/>
        <v>-4.9209869697809383E-3</v>
      </c>
    </row>
    <row r="1000" spans="1:11" x14ac:dyDescent="0.25">
      <c r="A1000" s="8">
        <v>45846</v>
      </c>
      <c r="D1000" s="35">
        <v>14233.25</v>
      </c>
      <c r="E1000" s="45">
        <f t="shared" si="62"/>
        <v>1.3507761686499808E-3</v>
      </c>
      <c r="J1000" s="38" t="s">
        <v>1005</v>
      </c>
      <c r="K1000" s="45">
        <f t="shared" si="61"/>
        <v>4.3881033642125811E-3</v>
      </c>
    </row>
    <row r="1001" spans="1:11" x14ac:dyDescent="0.25">
      <c r="A1001" s="8">
        <v>45847</v>
      </c>
      <c r="D1001" s="35">
        <v>14211.15</v>
      </c>
      <c r="E1001" s="45">
        <f t="shared" si="62"/>
        <v>-1.5527022991937978E-3</v>
      </c>
      <c r="J1001" s="38" t="s">
        <v>1006</v>
      </c>
      <c r="K1001" s="45">
        <f t="shared" si="61"/>
        <v>-7.0041608876559858E-3</v>
      </c>
    </row>
    <row r="1002" spans="1:11" x14ac:dyDescent="0.25">
      <c r="A1002" s="8">
        <v>45848</v>
      </c>
      <c r="D1002" s="35">
        <v>14152.9</v>
      </c>
      <c r="E1002" s="45">
        <f t="shared" si="62"/>
        <v>-4.0988941781628929E-3</v>
      </c>
      <c r="J1002" s="38" t="s">
        <v>996</v>
      </c>
      <c r="K1002" s="45">
        <f t="shared" si="61"/>
        <v>-5.4473077728892649E-3</v>
      </c>
    </row>
    <row r="1003" spans="1:11" x14ac:dyDescent="0.25">
      <c r="A1003" s="8">
        <v>45849</v>
      </c>
      <c r="D1003" s="35">
        <v>14036.6</v>
      </c>
      <c r="E1003" s="45">
        <f t="shared" si="62"/>
        <v>-8.2173971412219382E-3</v>
      </c>
      <c r="J1003" s="38" t="s">
        <v>1007</v>
      </c>
      <c r="K1003" s="45">
        <f t="shared" si="61"/>
        <v>-1.5448353345971499E-3</v>
      </c>
    </row>
    <row r="1004" spans="1:11" x14ac:dyDescent="0.25">
      <c r="A1004" s="8">
        <v>45852</v>
      </c>
      <c r="D1004" s="35">
        <v>14036.8</v>
      </c>
      <c r="E1004" s="45">
        <f t="shared" si="62"/>
        <v>1.4248464727861787E-5</v>
      </c>
      <c r="J1004" s="38" t="s">
        <v>1008</v>
      </c>
      <c r="K1004" s="45">
        <f t="shared" si="61"/>
        <v>7.7361277164356146E-4</v>
      </c>
    </row>
    <row r="1005" spans="1:11" x14ac:dyDescent="0.25">
      <c r="A1005" s="8">
        <v>45853</v>
      </c>
      <c r="D1005" s="35">
        <v>14116.2</v>
      </c>
      <c r="E1005" s="45">
        <f t="shared" si="62"/>
        <v>5.6565598996922706E-3</v>
      </c>
      <c r="J1005" s="38" t="s">
        <v>1009</v>
      </c>
      <c r="K1005" s="45">
        <f t="shared" si="61"/>
        <v>5.4813773717496961E-3</v>
      </c>
    </row>
    <row r="1006" spans="1:11" x14ac:dyDescent="0.25">
      <c r="A1006" s="8">
        <v>45854</v>
      </c>
      <c r="D1006" s="35">
        <v>14126.95</v>
      </c>
      <c r="E1006" s="45">
        <f t="shared" si="62"/>
        <v>7.6153639081333324E-4</v>
      </c>
      <c r="J1006" s="38" t="s">
        <v>1010</v>
      </c>
      <c r="K1006" s="45">
        <f t="shared" si="61"/>
        <v>-3.0752026838131163E-3</v>
      </c>
    </row>
    <row r="1007" spans="1:11" x14ac:dyDescent="0.25">
      <c r="A1007" s="8">
        <v>45855</v>
      </c>
      <c r="D1007" s="35">
        <v>14079.55</v>
      </c>
      <c r="E1007" s="45">
        <f t="shared" si="62"/>
        <v>-3.3552890043498929E-3</v>
      </c>
      <c r="J1007" s="38" t="s">
        <v>1011</v>
      </c>
      <c r="K1007" s="45">
        <f t="shared" si="61"/>
        <v>-5.3982052720135121E-3</v>
      </c>
    </row>
    <row r="1008" spans="1:11" x14ac:dyDescent="0.25">
      <c r="A1008" s="8">
        <v>45856</v>
      </c>
      <c r="D1008" s="35">
        <v>13993.45</v>
      </c>
      <c r="E1008" s="45">
        <f t="shared" si="62"/>
        <v>-6.1152522630338879E-3</v>
      </c>
      <c r="J1008" s="38" t="s">
        <v>997</v>
      </c>
      <c r="K1008" s="45">
        <f t="shared" si="61"/>
        <v>5.004581659265428E-3</v>
      </c>
    </row>
    <row r="1009" spans="1:11" x14ac:dyDescent="0.25">
      <c r="A1009" s="8">
        <v>45859</v>
      </c>
      <c r="D1009" s="35">
        <v>14063.4</v>
      </c>
      <c r="E1009" s="45">
        <f t="shared" si="62"/>
        <v>4.9987672804061578E-3</v>
      </c>
      <c r="J1009" s="38" t="s">
        <v>1012</v>
      </c>
      <c r="K1009" s="45">
        <f t="shared" si="61"/>
        <v>2.8054425585636089E-2</v>
      </c>
    </row>
    <row r="1010" spans="1:11" x14ac:dyDescent="0.25">
      <c r="A1010" s="65">
        <v>45860</v>
      </c>
      <c r="D1010" s="35">
        <v>14029.75</v>
      </c>
      <c r="E1010" s="45">
        <f t="shared" si="62"/>
        <v>-2.3927357538006122E-3</v>
      </c>
      <c r="J1010" s="38" t="s">
        <v>1013</v>
      </c>
      <c r="K1010" s="45">
        <f t="shared" si="61"/>
        <v>5.3213262382316717E-3</v>
      </c>
    </row>
    <row r="1011" spans="1:11" x14ac:dyDescent="0.25">
      <c r="A1011" s="8">
        <v>45861</v>
      </c>
      <c r="D1011" s="35">
        <v>14102.3</v>
      </c>
      <c r="E1011" s="45">
        <f t="shared" si="62"/>
        <v>5.1711541545642614E-3</v>
      </c>
      <c r="J1011" s="38" t="s">
        <v>1014</v>
      </c>
      <c r="K1011" s="45">
        <f t="shared" si="61"/>
        <v>1.0179153094462601E-2</v>
      </c>
    </row>
    <row r="1012" spans="1:11" x14ac:dyDescent="0.25">
      <c r="A1012" s="8">
        <v>45862</v>
      </c>
      <c r="D1012" s="35">
        <v>14023</v>
      </c>
      <c r="E1012" s="45">
        <f t="shared" si="62"/>
        <v>-5.6231962162199833E-3</v>
      </c>
      <c r="J1012" s="38" t="s">
        <v>1015</v>
      </c>
      <c r="K1012" s="45">
        <f t="shared" si="61"/>
        <v>-3.493215101437519E-3</v>
      </c>
    </row>
    <row r="1013" spans="1:11" x14ac:dyDescent="0.25">
      <c r="A1013" s="8">
        <v>45863</v>
      </c>
      <c r="D1013" s="35">
        <v>13866.75</v>
      </c>
      <c r="E1013" s="45">
        <f t="shared" si="62"/>
        <v>-1.1142408899664891E-2</v>
      </c>
      <c r="J1013" s="38" t="s">
        <v>1016</v>
      </c>
      <c r="K1013" s="45">
        <f t="shared" si="61"/>
        <v>-4.2470001348254849E-3</v>
      </c>
    </row>
    <row r="1014" spans="1:11" x14ac:dyDescent="0.25">
      <c r="A1014" s="8">
        <v>45866</v>
      </c>
      <c r="D1014" s="35">
        <v>13775.75</v>
      </c>
      <c r="E1014" s="45">
        <f t="shared" si="62"/>
        <v>-6.5624605621360521E-3</v>
      </c>
      <c r="J1014" s="38" t="s">
        <v>1017</v>
      </c>
      <c r="K1014" s="45">
        <f t="shared" si="61"/>
        <v>7.6501252454135305E-3</v>
      </c>
    </row>
    <row r="1015" spans="1:11" x14ac:dyDescent="0.25">
      <c r="A1015" s="8">
        <v>45867</v>
      </c>
      <c r="D1015" s="35">
        <v>13866.45</v>
      </c>
      <c r="E1015" s="45">
        <f t="shared" si="62"/>
        <v>6.5840335371940562E-3</v>
      </c>
      <c r="J1015" s="38" t="s">
        <v>1018</v>
      </c>
      <c r="K1015" s="45">
        <f t="shared" si="61"/>
        <v>-1.4780972856759389E-3</v>
      </c>
    </row>
    <row r="1016" spans="1:11" x14ac:dyDescent="0.25">
      <c r="A1016" s="8">
        <v>45868</v>
      </c>
      <c r="D1016" s="35">
        <v>13879.35</v>
      </c>
      <c r="E1016" s="45">
        <f t="shared" si="62"/>
        <v>9.3030299752272505E-4</v>
      </c>
      <c r="J1016" s="38" t="s">
        <v>1019</v>
      </c>
      <c r="K1016" s="45">
        <f t="shared" si="61"/>
        <v>-2.5568564123267246E-3</v>
      </c>
    </row>
    <row r="1017" spans="1:11" x14ac:dyDescent="0.25">
      <c r="A1017" s="8">
        <v>45869</v>
      </c>
      <c r="D1017" s="35">
        <v>13814</v>
      </c>
      <c r="E1017" s="45">
        <f t="shared" si="62"/>
        <v>-4.7084337523011222E-3</v>
      </c>
      <c r="J1017" s="38" t="s">
        <v>1020</v>
      </c>
      <c r="K1017" s="45">
        <f t="shared" si="61"/>
        <v>-6.7458175930923403E-4</v>
      </c>
    </row>
    <row r="1018" spans="1:11" x14ac:dyDescent="0.25">
      <c r="A1018" s="8">
        <v>45870</v>
      </c>
      <c r="D1018" s="35">
        <v>13678.5</v>
      </c>
      <c r="E1018" s="45">
        <f t="shared" si="62"/>
        <v>-9.8088895323584779E-3</v>
      </c>
      <c r="J1018" s="38" t="s">
        <v>1021</v>
      </c>
      <c r="K1018" s="45">
        <f t="shared" si="61"/>
        <v>-6.6153638450116015E-3</v>
      </c>
    </row>
    <row r="1019" spans="1:11" x14ac:dyDescent="0.25">
      <c r="A1019" s="8">
        <v>45873</v>
      </c>
      <c r="D1019" s="35">
        <v>13792.6</v>
      </c>
      <c r="E1019" s="45">
        <f t="shared" si="62"/>
        <v>8.341557919362419E-3</v>
      </c>
      <c r="J1019" s="38" t="s">
        <v>1022</v>
      </c>
      <c r="K1019" s="45">
        <f t="shared" si="61"/>
        <v>-5.7080728458819285E-3</v>
      </c>
    </row>
    <row r="1020" spans="1:11" x14ac:dyDescent="0.25">
      <c r="A1020" s="8">
        <v>45874</v>
      </c>
      <c r="D1020" s="35">
        <v>13750.75</v>
      </c>
      <c r="E1020" s="45">
        <f t="shared" si="62"/>
        <v>-3.0342357496049299E-3</v>
      </c>
      <c r="J1020" s="38" t="s">
        <v>1023</v>
      </c>
      <c r="K1020" s="45">
        <f t="shared" si="61"/>
        <v>-1.2848551120831053E-2</v>
      </c>
    </row>
    <row r="1021" spans="1:11" x14ac:dyDescent="0.25">
      <c r="A1021" s="8">
        <v>45875</v>
      </c>
      <c r="D1021" s="35">
        <v>13686.15</v>
      </c>
      <c r="E1021" s="45">
        <f t="shared" si="62"/>
        <v>-4.6979255676963261E-3</v>
      </c>
      <c r="J1021" s="38" t="s">
        <v>1024</v>
      </c>
      <c r="K1021" s="45">
        <f t="shared" si="61"/>
        <v>-5.5386319579076027E-4</v>
      </c>
    </row>
    <row r="1022" spans="1:11" x14ac:dyDescent="0.25">
      <c r="A1022" s="8">
        <v>45876</v>
      </c>
      <c r="D1022" s="35">
        <v>13706.85</v>
      </c>
      <c r="E1022" s="45">
        <f t="shared" si="62"/>
        <v>1.5124779430299995E-3</v>
      </c>
      <c r="J1022" s="38" t="s">
        <v>1025</v>
      </c>
      <c r="K1022" s="45">
        <f t="shared" si="61"/>
        <v>-2.2859517871985924E-3</v>
      </c>
    </row>
    <row r="1023" spans="1:11" x14ac:dyDescent="0.25">
      <c r="A1023" s="8">
        <v>45877</v>
      </c>
      <c r="D1023" s="35">
        <v>13555.15</v>
      </c>
      <c r="E1023" s="45">
        <f t="shared" si="62"/>
        <v>-1.1067458971244393E-2</v>
      </c>
      <c r="J1023" s="38" t="s">
        <v>1026</v>
      </c>
      <c r="K1023" s="45">
        <f t="shared" si="61"/>
        <v>-3.0549191140734067E-3</v>
      </c>
    </row>
    <row r="1024" spans="1:11" x14ac:dyDescent="0.25">
      <c r="A1024" s="8">
        <v>45880</v>
      </c>
      <c r="D1024" s="35">
        <v>13682.25</v>
      </c>
      <c r="E1024" s="45">
        <f t="shared" si="62"/>
        <v>9.3765100349314512E-3</v>
      </c>
      <c r="J1024" s="38" t="s">
        <v>1027</v>
      </c>
      <c r="K1024" s="45">
        <f t="shared" si="61"/>
        <v>4.8749912946566276E-4</v>
      </c>
    </row>
    <row r="1025" spans="1:11" x14ac:dyDescent="0.25">
      <c r="A1025" s="8">
        <v>45881</v>
      </c>
      <c r="D1025" s="35">
        <v>13636.7</v>
      </c>
      <c r="E1025" s="45">
        <f t="shared" si="62"/>
        <v>-3.3291308081637716E-3</v>
      </c>
      <c r="J1025" s="38" t="s">
        <v>1028</v>
      </c>
      <c r="K1025" s="45">
        <f t="shared" si="61"/>
        <v>-1.016288458861192E-2</v>
      </c>
    </row>
    <row r="1026" spans="1:11" x14ac:dyDescent="0.25">
      <c r="A1026" s="8">
        <v>45882</v>
      </c>
      <c r="D1026" s="35">
        <v>13713.6</v>
      </c>
      <c r="E1026" s="45">
        <f t="shared" si="62"/>
        <v>5.6391942332087996E-3</v>
      </c>
      <c r="J1026" s="38" t="s">
        <v>1029</v>
      </c>
      <c r="K1026" s="45">
        <f t="shared" si="61"/>
        <v>-8.438818565401629E-4</v>
      </c>
    </row>
    <row r="1027" spans="1:11" x14ac:dyDescent="0.25">
      <c r="A1027" s="8">
        <v>45883</v>
      </c>
      <c r="D1027" s="35">
        <v>13707.7</v>
      </c>
      <c r="E1027" s="45">
        <f t="shared" si="62"/>
        <v>-4.3022984482554705E-4</v>
      </c>
      <c r="J1027" s="38" t="s">
        <v>1030</v>
      </c>
      <c r="K1027" s="45">
        <f t="shared" si="61"/>
        <v>4.5748873873874274E-3</v>
      </c>
    </row>
    <row r="1028" spans="1:11" x14ac:dyDescent="0.25">
      <c r="A1028" s="8">
        <v>45887</v>
      </c>
      <c r="D1028" s="35">
        <v>13852.8</v>
      </c>
      <c r="E1028" s="45">
        <f t="shared" si="62"/>
        <v>1.058529147851206E-2</v>
      </c>
      <c r="J1028" s="38" t="s">
        <v>1031</v>
      </c>
      <c r="K1028" s="45">
        <f t="shared" ref="K1028:K1091" si="63">J1028/J1027-1</f>
        <v>5.1145519512365567E-3</v>
      </c>
    </row>
    <row r="1029" spans="1:11" x14ac:dyDescent="0.25">
      <c r="A1029" s="8">
        <v>45888</v>
      </c>
      <c r="D1029" s="35">
        <v>13930</v>
      </c>
      <c r="E1029" s="45">
        <f t="shared" ref="E1029:E1092" si="64">D1029/D1028-1</f>
        <v>5.5728805728805231E-3</v>
      </c>
      <c r="J1029" s="38" t="s">
        <v>1032</v>
      </c>
      <c r="K1029" s="45">
        <f t="shared" si="63"/>
        <v>1.1849993029415806E-3</v>
      </c>
    </row>
    <row r="1030" spans="1:11" x14ac:dyDescent="0.25">
      <c r="A1030" s="8">
        <v>45889</v>
      </c>
      <c r="D1030" s="35">
        <v>13975.2</v>
      </c>
      <c r="E1030" s="45">
        <f t="shared" si="64"/>
        <v>3.2447954055994099E-3</v>
      </c>
      <c r="J1030" s="38" t="s">
        <v>967</v>
      </c>
      <c r="K1030" s="45">
        <f t="shared" si="63"/>
        <v>-3.9685302513402521E-3</v>
      </c>
    </row>
    <row r="1031" spans="1:11" x14ac:dyDescent="0.25">
      <c r="A1031" s="8">
        <v>45890</v>
      </c>
      <c r="D1031" s="35">
        <v>13973.3</v>
      </c>
      <c r="E1031" s="45">
        <f t="shared" si="64"/>
        <v>-1.3595512049924263E-4</v>
      </c>
      <c r="J1031" s="38" t="s">
        <v>1033</v>
      </c>
      <c r="K1031" s="45">
        <f t="shared" si="63"/>
        <v>1.0764714105969686E-2</v>
      </c>
    </row>
    <row r="1032" spans="1:11" x14ac:dyDescent="0.25">
      <c r="A1032" s="8">
        <v>45891</v>
      </c>
      <c r="D1032" s="35">
        <v>13875.4</v>
      </c>
      <c r="E1032" s="45">
        <f t="shared" si="64"/>
        <v>-7.0062190033850502E-3</v>
      </c>
      <c r="J1032" s="38" t="s">
        <v>1034</v>
      </c>
      <c r="K1032" s="45">
        <f t="shared" si="63"/>
        <v>-6.6390041493775698E-3</v>
      </c>
    </row>
    <row r="1033" spans="1:11" x14ac:dyDescent="0.25">
      <c r="A1033" s="8">
        <v>45894</v>
      </c>
      <c r="D1033" s="35">
        <v>13920.85</v>
      </c>
      <c r="E1033" s="45">
        <f t="shared" si="64"/>
        <v>3.2755812445046661E-3</v>
      </c>
      <c r="J1033" s="38" t="s">
        <v>1035</v>
      </c>
      <c r="K1033" s="45">
        <f t="shared" si="63"/>
        <v>-2.2277917014759119E-3</v>
      </c>
    </row>
    <row r="1034" spans="1:11" x14ac:dyDescent="0.25">
      <c r="A1034" s="8">
        <v>45895</v>
      </c>
      <c r="D1034" s="35">
        <v>13757.8</v>
      </c>
      <c r="E1034" s="45">
        <f t="shared" si="64"/>
        <v>-1.1712646857052644E-2</v>
      </c>
      <c r="J1034" s="38" t="s">
        <v>1036</v>
      </c>
      <c r="K1034" s="45">
        <f t="shared" si="63"/>
        <v>-1.1582472788166487E-2</v>
      </c>
    </row>
    <row r="1035" spans="1:11" x14ac:dyDescent="0.25">
      <c r="A1035" s="8">
        <v>45897</v>
      </c>
      <c r="D1035" s="35">
        <v>13622.25</v>
      </c>
      <c r="E1035" s="45">
        <f t="shared" si="64"/>
        <v>-9.8525927110438838E-3</v>
      </c>
      <c r="J1035" s="38" t="s">
        <v>1037</v>
      </c>
      <c r="K1035" s="45">
        <f t="shared" si="63"/>
        <v>-1.2353522518706805E-2</v>
      </c>
    </row>
    <row r="1036" spans="1:11" x14ac:dyDescent="0.25">
      <c r="A1036" s="8">
        <v>45898</v>
      </c>
      <c r="D1036" s="35">
        <v>13575.1</v>
      </c>
      <c r="E1036" s="45">
        <f t="shared" si="64"/>
        <v>-3.4612490594431167E-3</v>
      </c>
      <c r="J1036" s="38" t="s">
        <v>1038</v>
      </c>
      <c r="K1036" s="45">
        <f t="shared" si="63"/>
        <v>-9.2916875134008148E-4</v>
      </c>
    </row>
    <row r="1037" spans="1:11" x14ac:dyDescent="0.25">
      <c r="A1037" s="8">
        <v>45901</v>
      </c>
      <c r="D1037" s="35">
        <v>13723.05</v>
      </c>
      <c r="E1037" s="45">
        <f t="shared" si="64"/>
        <v>1.0898630580990165E-2</v>
      </c>
      <c r="J1037" s="38" t="s">
        <v>1039</v>
      </c>
      <c r="K1037" s="45">
        <f t="shared" si="63"/>
        <v>9.4434110745458266E-3</v>
      </c>
    </row>
    <row r="1038" spans="1:11" x14ac:dyDescent="0.25">
      <c r="A1038" s="8">
        <v>45902</v>
      </c>
      <c r="D1038" s="35">
        <v>13721.95</v>
      </c>
      <c r="E1038" s="45">
        <f t="shared" si="64"/>
        <v>-8.0157107931411176E-5</v>
      </c>
      <c r="J1038" s="38" t="s">
        <v>1040</v>
      </c>
      <c r="K1038" s="45">
        <f t="shared" si="63"/>
        <v>-1.1906449326718582E-2</v>
      </c>
    </row>
    <row r="1039" spans="1:11" x14ac:dyDescent="0.25">
      <c r="A1039" s="8">
        <v>45903</v>
      </c>
      <c r="D1039" s="35">
        <v>13802</v>
      </c>
      <c r="E1039" s="45">
        <f t="shared" si="64"/>
        <v>5.8337189685138124E-3</v>
      </c>
      <c r="J1039" s="38" t="s">
        <v>1041</v>
      </c>
      <c r="K1039" s="45">
        <f t="shared" si="63"/>
        <v>2.008320183617851E-3</v>
      </c>
    </row>
    <row r="1040" spans="1:11" x14ac:dyDescent="0.25">
      <c r="A1040" s="8">
        <v>45904</v>
      </c>
      <c r="D1040" s="35">
        <v>13784.5</v>
      </c>
      <c r="E1040" s="45">
        <f t="shared" si="64"/>
        <v>-1.2679321837414381E-3</v>
      </c>
      <c r="J1040" s="38" t="s">
        <v>1042</v>
      </c>
      <c r="K1040" s="45">
        <f t="shared" si="63"/>
        <v>6.0844667143880038E-3</v>
      </c>
    </row>
    <row r="1041" spans="1:11" x14ac:dyDescent="0.25">
      <c r="A1041" s="8">
        <v>45905</v>
      </c>
      <c r="D1041" s="35">
        <v>13790.05</v>
      </c>
      <c r="E1041" s="45">
        <f t="shared" si="64"/>
        <v>4.0262613805364111E-4</v>
      </c>
      <c r="J1041" s="38" t="s">
        <v>1043</v>
      </c>
      <c r="K1041" s="45">
        <f t="shared" si="63"/>
        <v>-1.9210245464248432E-3</v>
      </c>
    </row>
    <row r="1042" spans="1:11" x14ac:dyDescent="0.25">
      <c r="A1042" s="8">
        <v>45908</v>
      </c>
      <c r="D1042" s="35">
        <v>13822.1</v>
      </c>
      <c r="E1042" s="45">
        <f t="shared" si="64"/>
        <v>2.324139506383327E-3</v>
      </c>
      <c r="J1042" s="38" t="s">
        <v>955</v>
      </c>
      <c r="K1042" s="45">
        <f t="shared" si="63"/>
        <v>-7.1285999429626656E-5</v>
      </c>
    </row>
    <row r="1043" spans="1:11" x14ac:dyDescent="0.25">
      <c r="A1043" s="8">
        <v>45909</v>
      </c>
      <c r="D1043" s="35">
        <v>13865.75</v>
      </c>
      <c r="E1043" s="45">
        <f t="shared" si="64"/>
        <v>3.1579861236714635E-3</v>
      </c>
      <c r="J1043" s="38" t="s">
        <v>1044</v>
      </c>
      <c r="K1043" s="45">
        <f t="shared" si="63"/>
        <v>7.1291081485713725E-4</v>
      </c>
    </row>
    <row r="1044" spans="1:11" x14ac:dyDescent="0.25">
      <c r="A1044" s="8">
        <v>45910</v>
      </c>
      <c r="D1044" s="35">
        <v>13936.3</v>
      </c>
      <c r="E1044" s="45">
        <f t="shared" si="64"/>
        <v>5.0880767358418844E-3</v>
      </c>
      <c r="J1044" s="38" t="s">
        <v>1045</v>
      </c>
      <c r="K1044" s="45">
        <f t="shared" si="63"/>
        <v>1.4248058702004407E-4</v>
      </c>
    </row>
    <row r="1045" spans="1:11" x14ac:dyDescent="0.25">
      <c r="A1045" s="8">
        <v>45911</v>
      </c>
      <c r="D1045" s="35">
        <v>13957</v>
      </c>
      <c r="E1045" s="45">
        <f t="shared" si="64"/>
        <v>1.4853296786092596E-3</v>
      </c>
      <c r="J1045" s="38" t="s">
        <v>1046</v>
      </c>
      <c r="K1045" s="45">
        <f t="shared" si="63"/>
        <v>-1.638293325735618E-3</v>
      </c>
    </row>
    <row r="1046" spans="1:11" x14ac:dyDescent="0.25">
      <c r="A1046" s="8">
        <v>45912</v>
      </c>
      <c r="D1046" s="35">
        <v>14012.55</v>
      </c>
      <c r="E1046" s="45">
        <f t="shared" si="64"/>
        <v>3.9800816794439697E-3</v>
      </c>
      <c r="J1046" s="38" t="s">
        <v>1047</v>
      </c>
      <c r="K1046" s="45">
        <f t="shared" si="63"/>
        <v>1.1486872146118765E-2</v>
      </c>
    </row>
    <row r="1047" spans="1:11" x14ac:dyDescent="0.25">
      <c r="A1047" s="8">
        <v>45915</v>
      </c>
      <c r="D1047" s="35">
        <v>14017.9</v>
      </c>
      <c r="E1047" s="45">
        <f t="shared" si="64"/>
        <v>3.8180060017634077E-4</v>
      </c>
      <c r="J1047" s="38" t="s">
        <v>1048</v>
      </c>
      <c r="K1047" s="45">
        <f t="shared" si="63"/>
        <v>1.1991253438667915E-3</v>
      </c>
    </row>
    <row r="1048" spans="1:11" x14ac:dyDescent="0.25">
      <c r="A1048" s="8">
        <v>45916</v>
      </c>
      <c r="D1048" s="35">
        <v>14107.55</v>
      </c>
      <c r="E1048" s="45">
        <f t="shared" si="64"/>
        <v>6.3953944599404178E-3</v>
      </c>
      <c r="J1048" s="38" t="s">
        <v>1049</v>
      </c>
      <c r="K1048" s="45">
        <f t="shared" si="63"/>
        <v>1.5499506833871468E-3</v>
      </c>
    </row>
    <row r="1049" spans="1:11" x14ac:dyDescent="0.25">
      <c r="A1049" s="8">
        <v>45917</v>
      </c>
      <c r="D1049" s="35">
        <v>14148.8</v>
      </c>
      <c r="E1049" s="45">
        <f t="shared" si="64"/>
        <v>2.9239662450248893E-3</v>
      </c>
      <c r="J1049" s="38" t="s">
        <v>1050</v>
      </c>
      <c r="K1049" s="45">
        <f t="shared" si="63"/>
        <v>-1.6882386043892694E-3</v>
      </c>
    </row>
    <row r="1050" spans="1:11" x14ac:dyDescent="0.25">
      <c r="A1050" s="8">
        <v>45918</v>
      </c>
      <c r="D1050" s="35">
        <v>14199.3</v>
      </c>
      <c r="E1050" s="45">
        <f t="shared" si="64"/>
        <v>3.5692072825963539E-3</v>
      </c>
      <c r="J1050" s="38" t="s">
        <v>1051</v>
      </c>
      <c r="K1050" s="45">
        <f t="shared" si="63"/>
        <v>1.7615558060879444E-3</v>
      </c>
    </row>
    <row r="1051" spans="1:11" x14ac:dyDescent="0.25">
      <c r="A1051" s="8">
        <v>45919</v>
      </c>
      <c r="D1051" s="35">
        <v>14174.85</v>
      </c>
      <c r="E1051" s="45">
        <f t="shared" si="64"/>
        <v>-1.7219158690920944E-3</v>
      </c>
      <c r="J1051" s="38" t="s">
        <v>1052</v>
      </c>
      <c r="K1051" s="45">
        <f t="shared" si="63"/>
        <v>-1.3715973834142248E-2</v>
      </c>
    </row>
    <row r="1052" spans="1:11" x14ac:dyDescent="0.25">
      <c r="A1052" s="8">
        <v>45922</v>
      </c>
      <c r="D1052" s="35">
        <v>14117.4</v>
      </c>
      <c r="E1052" s="45">
        <f t="shared" si="64"/>
        <v>-4.0529529413010357E-3</v>
      </c>
      <c r="J1052" s="38" t="s">
        <v>1053</v>
      </c>
      <c r="K1052" s="45">
        <f t="shared" si="63"/>
        <v>-4.9921551847098566E-4</v>
      </c>
    </row>
    <row r="1053" spans="1:11" x14ac:dyDescent="0.25">
      <c r="A1053" s="65">
        <v>45923</v>
      </c>
      <c r="D1053" s="35">
        <v>14087.2</v>
      </c>
      <c r="E1053" s="45">
        <f t="shared" si="64"/>
        <v>-2.139204102738379E-3</v>
      </c>
      <c r="J1053" s="38" t="s">
        <v>1054</v>
      </c>
      <c r="K1053" s="45">
        <f t="shared" si="63"/>
        <v>-5.1373528362469445E-3</v>
      </c>
    </row>
    <row r="1054" spans="1:11" x14ac:dyDescent="0.25">
      <c r="A1054" s="8">
        <v>45924</v>
      </c>
      <c r="D1054" s="35">
        <v>13996.2</v>
      </c>
      <c r="E1054" s="45">
        <f t="shared" si="64"/>
        <v>-6.4597648929524132E-3</v>
      </c>
      <c r="J1054" s="38" t="s">
        <v>1055</v>
      </c>
      <c r="K1054" s="45">
        <f t="shared" si="63"/>
        <v>-8.3195868894785363E-3</v>
      </c>
    </row>
    <row r="1055" spans="1:11" x14ac:dyDescent="0.25">
      <c r="A1055" s="8">
        <v>45925</v>
      </c>
      <c r="D1055" s="35">
        <v>13902.35</v>
      </c>
      <c r="E1055" s="45">
        <f t="shared" si="64"/>
        <v>-6.7053914633972145E-3</v>
      </c>
      <c r="J1055" s="38" t="s">
        <v>1056</v>
      </c>
      <c r="K1055" s="45">
        <f t="shared" si="63"/>
        <v>-4.9902364938164689E-3</v>
      </c>
    </row>
    <row r="1056" spans="1:11" x14ac:dyDescent="0.25">
      <c r="A1056" s="8">
        <v>45926</v>
      </c>
      <c r="D1056" s="35">
        <v>13730.05</v>
      </c>
      <c r="E1056" s="45">
        <f t="shared" si="64"/>
        <v>-1.2393588134380185E-2</v>
      </c>
      <c r="J1056" s="38" t="s">
        <v>1057</v>
      </c>
      <c r="K1056" s="45">
        <f t="shared" si="63"/>
        <v>-1.1774967291757532E-2</v>
      </c>
    </row>
    <row r="1057" spans="1:11" x14ac:dyDescent="0.25">
      <c r="A1057" s="8">
        <v>45929</v>
      </c>
      <c r="D1057" s="35">
        <v>13748.9</v>
      </c>
      <c r="E1057" s="45">
        <f t="shared" si="64"/>
        <v>1.3729010455170165E-3</v>
      </c>
      <c r="J1057" s="38" t="s">
        <v>1058</v>
      </c>
      <c r="K1057" s="45">
        <f t="shared" si="63"/>
        <v>-8.4583701088555285E-3</v>
      </c>
    </row>
    <row r="1058" spans="1:11" x14ac:dyDescent="0.25">
      <c r="A1058" s="8">
        <v>45930</v>
      </c>
      <c r="D1058" s="35">
        <v>13739.95</v>
      </c>
      <c r="E1058" s="45">
        <f t="shared" si="64"/>
        <v>-6.5096116780238855E-4</v>
      </c>
      <c r="J1058" s="38" t="s">
        <v>1059</v>
      </c>
      <c r="K1058" s="45">
        <f t="shared" si="63"/>
        <v>-7.4178473406960599E-5</v>
      </c>
    </row>
    <row r="1059" spans="1:11" x14ac:dyDescent="0.25">
      <c r="A1059" s="8">
        <v>45931</v>
      </c>
      <c r="D1059" s="35">
        <v>13854.4</v>
      </c>
      <c r="E1059" s="45">
        <f t="shared" si="64"/>
        <v>8.3297246350968468E-3</v>
      </c>
      <c r="J1059" s="38" t="s">
        <v>1060</v>
      </c>
      <c r="K1059" s="45">
        <f t="shared" si="63"/>
        <v>1.7804154302670572E-2</v>
      </c>
    </row>
    <row r="1060" spans="1:11" x14ac:dyDescent="0.25">
      <c r="A1060" s="8">
        <v>45933</v>
      </c>
      <c r="D1060" s="35">
        <v>13904.5</v>
      </c>
      <c r="E1060" s="45">
        <f t="shared" si="64"/>
        <v>3.6161796974247817E-3</v>
      </c>
      <c r="J1060" s="38" t="s">
        <v>1061</v>
      </c>
      <c r="K1060" s="45">
        <f t="shared" si="63"/>
        <v>-4.9562682215743559E-3</v>
      </c>
    </row>
    <row r="1061" spans="1:11" x14ac:dyDescent="0.25">
      <c r="A1061" s="8">
        <v>45936</v>
      </c>
      <c r="D1061" s="35">
        <v>14003.25</v>
      </c>
      <c r="E1061" s="45">
        <f t="shared" si="64"/>
        <v>7.1020173325182512E-3</v>
      </c>
      <c r="J1061" s="38" t="s">
        <v>1062</v>
      </c>
      <c r="K1061" s="45">
        <f t="shared" si="63"/>
        <v>-1.3184881336067988E-3</v>
      </c>
    </row>
    <row r="1062" spans="1:11" x14ac:dyDescent="0.25">
      <c r="A1062" s="8">
        <v>45937</v>
      </c>
      <c r="D1062" s="35">
        <v>14029.1</v>
      </c>
      <c r="E1062" s="45">
        <f t="shared" si="64"/>
        <v>1.846000035706119E-3</v>
      </c>
      <c r="J1062" s="38" t="s">
        <v>1063</v>
      </c>
      <c r="K1062" s="45">
        <f t="shared" si="63"/>
        <v>9.1682558310106632E-3</v>
      </c>
    </row>
    <row r="1063" spans="1:11" x14ac:dyDescent="0.25">
      <c r="A1063" s="8">
        <v>45938</v>
      </c>
      <c r="D1063" s="35">
        <v>13972.25</v>
      </c>
      <c r="E1063" s="45">
        <f t="shared" si="64"/>
        <v>-4.0522913087795986E-3</v>
      </c>
      <c r="J1063" s="38" t="s">
        <v>1064</v>
      </c>
      <c r="K1063" s="45">
        <f t="shared" si="63"/>
        <v>-4.0700632313396268E-3</v>
      </c>
    </row>
    <row r="1064" spans="1:11" x14ac:dyDescent="0.25">
      <c r="A1064" s="8">
        <v>45939</v>
      </c>
      <c r="D1064" s="35">
        <v>14059.05</v>
      </c>
      <c r="E1064" s="45">
        <f t="shared" si="64"/>
        <v>6.2123136932132894E-3</v>
      </c>
      <c r="J1064" s="38" t="s">
        <v>1065</v>
      </c>
      <c r="K1064" s="45">
        <f t="shared" si="63"/>
        <v>4.3056265051448772E-3</v>
      </c>
    </row>
    <row r="1065" spans="1:11" x14ac:dyDescent="0.25">
      <c r="A1065" s="8">
        <v>45940</v>
      </c>
      <c r="D1065" s="35">
        <v>14114.85</v>
      </c>
      <c r="E1065" s="45">
        <f t="shared" si="64"/>
        <v>3.9689737215531373E-3</v>
      </c>
      <c r="J1065" s="38" t="s">
        <v>1066</v>
      </c>
      <c r="K1065" s="45">
        <f t="shared" si="63"/>
        <v>2.9792181368986093E-3</v>
      </c>
    </row>
    <row r="1066" spans="1:11" x14ac:dyDescent="0.25">
      <c r="A1066" s="8">
        <v>45943</v>
      </c>
      <c r="D1066" s="35">
        <v>14092.25</v>
      </c>
      <c r="E1066" s="45">
        <f t="shared" si="64"/>
        <v>-1.6011505612882893E-3</v>
      </c>
      <c r="J1066" s="38" t="s">
        <v>1067</v>
      </c>
      <c r="K1066" s="45">
        <f t="shared" si="63"/>
        <v>-6.5203216692011345E-4</v>
      </c>
    </row>
    <row r="1067" spans="1:11" x14ac:dyDescent="0.25">
      <c r="A1067" s="8">
        <v>45944</v>
      </c>
      <c r="D1067" s="35">
        <v>14031.95</v>
      </c>
      <c r="E1067" s="45">
        <f t="shared" si="64"/>
        <v>-4.2789476485302069E-3</v>
      </c>
      <c r="J1067" s="38" t="s">
        <v>1068</v>
      </c>
      <c r="K1067" s="45">
        <f t="shared" si="63"/>
        <v>3.4072785268957073E-3</v>
      </c>
    </row>
    <row r="1068" spans="1:11" x14ac:dyDescent="0.25">
      <c r="A1068" s="8">
        <v>45945</v>
      </c>
      <c r="D1068" s="35">
        <v>14153.15</v>
      </c>
      <c r="E1068" s="45">
        <f t="shared" si="64"/>
        <v>8.6374310056691606E-3</v>
      </c>
      <c r="J1068" s="38" t="s">
        <v>1069</v>
      </c>
      <c r="K1068" s="45">
        <f t="shared" si="63"/>
        <v>1.0331623437612958E-2</v>
      </c>
    </row>
    <row r="1069" spans="1:11" x14ac:dyDescent="0.25">
      <c r="A1069" s="8">
        <v>45946</v>
      </c>
      <c r="D1069" s="35">
        <v>14274.35</v>
      </c>
      <c r="E1069" s="45">
        <f t="shared" si="64"/>
        <v>8.5634646704091377E-3</v>
      </c>
      <c r="J1069" s="38" t="s">
        <v>1070</v>
      </c>
      <c r="K1069" s="45">
        <f t="shared" si="63"/>
        <v>1.3515446224256156E-2</v>
      </c>
    </row>
    <row r="1070" spans="1:11" x14ac:dyDescent="0.25">
      <c r="A1070" s="8">
        <v>45947</v>
      </c>
      <c r="D1070" s="35">
        <v>14304.6</v>
      </c>
      <c r="E1070" s="45">
        <f t="shared" si="64"/>
        <v>2.1191858123137397E-3</v>
      </c>
      <c r="J1070" s="38" t="s">
        <v>1027</v>
      </c>
      <c r="K1070" s="45">
        <f t="shared" si="63"/>
        <v>1.3617441614337089E-2</v>
      </c>
    </row>
    <row r="1071" spans="1:11" x14ac:dyDescent="0.25">
      <c r="A1071" s="8">
        <v>45950</v>
      </c>
      <c r="D1071" s="35">
        <v>14377.25</v>
      </c>
      <c r="E1071" s="45">
        <f t="shared" si="64"/>
        <v>5.0787858451126766E-3</v>
      </c>
      <c r="J1071" s="38" t="s">
        <v>1071</v>
      </c>
      <c r="K1071" s="45">
        <f t="shared" si="63"/>
        <v>-3.2228873729639451E-2</v>
      </c>
    </row>
    <row r="1072" spans="1:11" x14ac:dyDescent="0.25">
      <c r="A1072" s="8">
        <v>45951</v>
      </c>
      <c r="D1072" s="35">
        <v>14391.75</v>
      </c>
      <c r="E1072" s="45">
        <f t="shared" si="64"/>
        <v>1.0085377940844964E-3</v>
      </c>
      <c r="J1072" s="38" t="s">
        <v>1072</v>
      </c>
      <c r="K1072" s="45">
        <f t="shared" si="63"/>
        <v>-5.9699345465007436E-3</v>
      </c>
    </row>
    <row r="1073" spans="1:11" x14ac:dyDescent="0.25">
      <c r="A1073" s="8">
        <v>45953</v>
      </c>
      <c r="D1073" s="35">
        <v>14396.4</v>
      </c>
      <c r="E1073" s="45">
        <f t="shared" si="64"/>
        <v>3.2310177705974219E-4</v>
      </c>
      <c r="J1073" s="38" t="s">
        <v>1073</v>
      </c>
      <c r="K1073" s="45">
        <f t="shared" si="63"/>
        <v>-1.3241678726483297E-2</v>
      </c>
    </row>
    <row r="1074" spans="1:11" x14ac:dyDescent="0.25">
      <c r="A1074" s="8">
        <v>45954</v>
      </c>
      <c r="D1074" s="35">
        <v>14351.4</v>
      </c>
      <c r="E1074" s="45">
        <f t="shared" si="64"/>
        <v>-3.1257814453613531E-3</v>
      </c>
      <c r="J1074" s="38" t="s">
        <v>1074</v>
      </c>
      <c r="K1074" s="45">
        <f t="shared" si="63"/>
        <v>1.0266187577913088E-2</v>
      </c>
    </row>
    <row r="1075" spans="1:11" x14ac:dyDescent="0.25">
      <c r="A1075" s="8">
        <v>45957</v>
      </c>
      <c r="D1075" s="35">
        <v>14447.6</v>
      </c>
      <c r="E1075" s="45">
        <f t="shared" si="64"/>
        <v>6.7031787839515466E-3</v>
      </c>
      <c r="J1075" s="38" t="s">
        <v>1075</v>
      </c>
      <c r="K1075" s="45">
        <f t="shared" si="63"/>
        <v>-7.2584742687231696E-5</v>
      </c>
    </row>
    <row r="1076" spans="1:11" x14ac:dyDescent="0.25">
      <c r="A1076" s="8">
        <v>45958</v>
      </c>
      <c r="D1076" s="35">
        <v>14425.7</v>
      </c>
      <c r="E1076" s="45">
        <f t="shared" si="64"/>
        <v>-1.5158226971953015E-3</v>
      </c>
      <c r="J1076" s="38" t="s">
        <v>1076</v>
      </c>
      <c r="K1076" s="45">
        <f t="shared" si="63"/>
        <v>-1.0525551684088308E-2</v>
      </c>
    </row>
    <row r="1077" spans="1:11" x14ac:dyDescent="0.25">
      <c r="A1077" s="8">
        <v>45959</v>
      </c>
      <c r="D1077" s="35">
        <v>14514.55</v>
      </c>
      <c r="E1077" s="45">
        <f t="shared" si="64"/>
        <v>6.1591465232189169E-3</v>
      </c>
      <c r="J1077" s="38" t="s">
        <v>1077</v>
      </c>
      <c r="K1077" s="45">
        <f t="shared" si="63"/>
        <v>5.3554398063240249E-3</v>
      </c>
    </row>
    <row r="1078" spans="1:11" x14ac:dyDescent="0.25">
      <c r="A1078" s="8">
        <v>45960</v>
      </c>
      <c r="D1078" s="35">
        <v>14440.65</v>
      </c>
      <c r="E1078" s="45">
        <f t="shared" si="64"/>
        <v>-5.0914427247141791E-3</v>
      </c>
      <c r="J1078" s="38" t="s">
        <v>1078</v>
      </c>
      <c r="K1078" s="45">
        <f t="shared" si="63"/>
        <v>-5.8377116170461596E-3</v>
      </c>
    </row>
    <row r="1079" spans="1:11" x14ac:dyDescent="0.25">
      <c r="A1079" s="8">
        <v>45961</v>
      </c>
      <c r="D1079" s="35">
        <v>14362.3</v>
      </c>
      <c r="E1079" s="45">
        <f t="shared" si="64"/>
        <v>-5.4256560473385784E-3</v>
      </c>
      <c r="J1079" s="38" t="s">
        <v>1079</v>
      </c>
      <c r="K1079" s="45">
        <f t="shared" si="63"/>
        <v>-1.2551379917792205E-2</v>
      </c>
    </row>
    <row r="1080" spans="1:11" x14ac:dyDescent="0.25">
      <c r="A1080" s="8">
        <v>45964</v>
      </c>
      <c r="D1080" s="35">
        <v>14416.35</v>
      </c>
      <c r="E1080" s="45">
        <f t="shared" si="64"/>
        <v>3.763324815663216E-3</v>
      </c>
      <c r="J1080" s="38" t="s">
        <v>1080</v>
      </c>
      <c r="K1080" s="45">
        <f t="shared" si="63"/>
        <v>8.1766148814410577E-4</v>
      </c>
    </row>
    <row r="1081" spans="1:11" x14ac:dyDescent="0.25">
      <c r="A1081" s="8">
        <v>45965</v>
      </c>
      <c r="D1081" s="35">
        <v>14333.45</v>
      </c>
      <c r="E1081" s="45">
        <f t="shared" si="64"/>
        <v>-5.7504153270417913E-3</v>
      </c>
      <c r="J1081" s="38" t="s">
        <v>1081</v>
      </c>
      <c r="K1081" s="45">
        <f t="shared" si="63"/>
        <v>-7.0558526440879232E-3</v>
      </c>
    </row>
    <row r="1082" spans="1:11" x14ac:dyDescent="0.25">
      <c r="A1082" s="8">
        <v>45967</v>
      </c>
      <c r="D1082" s="35">
        <v>14251</v>
      </c>
      <c r="E1082" s="45">
        <f t="shared" si="64"/>
        <v>-5.7522787605217562E-3</v>
      </c>
      <c r="J1082" s="38" t="s">
        <v>1082</v>
      </c>
      <c r="K1082" s="45">
        <f t="shared" si="63"/>
        <v>-1.2341985189617821E-2</v>
      </c>
    </row>
    <row r="1083" spans="1:11" x14ac:dyDescent="0.25">
      <c r="A1083" s="8">
        <v>45968</v>
      </c>
      <c r="D1083" s="35">
        <v>14262.45</v>
      </c>
      <c r="E1083" s="45">
        <f t="shared" si="64"/>
        <v>8.0345238930612517E-4</v>
      </c>
      <c r="J1083" s="38" t="s">
        <v>1083</v>
      </c>
      <c r="K1083" s="45">
        <f t="shared" si="63"/>
        <v>1.7116025446834326E-2</v>
      </c>
    </row>
    <row r="1084" spans="1:11" x14ac:dyDescent="0.25">
      <c r="A1084" s="8">
        <v>45971</v>
      </c>
      <c r="D1084" s="35">
        <v>14313.3</v>
      </c>
      <c r="E1084" s="45">
        <f t="shared" si="64"/>
        <v>3.565306100985266E-3</v>
      </c>
      <c r="J1084" s="38" t="s">
        <v>1059</v>
      </c>
      <c r="K1084" s="45">
        <f t="shared" si="63"/>
        <v>3.7230081906181045E-3</v>
      </c>
    </row>
    <row r="1085" spans="1:11" x14ac:dyDescent="0.25">
      <c r="A1085" s="8">
        <v>45972</v>
      </c>
      <c r="D1085" s="35">
        <v>14375.15</v>
      </c>
      <c r="E1085" s="45">
        <f t="shared" si="64"/>
        <v>4.3211558480573675E-3</v>
      </c>
      <c r="J1085" s="38" t="s">
        <v>1084</v>
      </c>
      <c r="K1085" s="45">
        <f t="shared" si="63"/>
        <v>7.640949554896137E-3</v>
      </c>
    </row>
    <row r="1086" spans="1:11" x14ac:dyDescent="0.25">
      <c r="A1086" s="8">
        <v>45973</v>
      </c>
      <c r="D1086" s="35">
        <v>14467.15</v>
      </c>
      <c r="E1086" s="45">
        <f t="shared" si="64"/>
        <v>6.3999332180881829E-3</v>
      </c>
      <c r="J1086" s="38" t="s">
        <v>1085</v>
      </c>
      <c r="K1086" s="45">
        <f t="shared" si="63"/>
        <v>4.4172863137759144E-4</v>
      </c>
    </row>
    <row r="1087" spans="1:11" x14ac:dyDescent="0.25">
      <c r="A1087" s="8">
        <v>45974</v>
      </c>
      <c r="D1087" s="35">
        <v>14460.55</v>
      </c>
      <c r="E1087" s="45">
        <f t="shared" si="64"/>
        <v>-4.5620595625261995E-4</v>
      </c>
      <c r="J1087" s="38" t="s">
        <v>1086</v>
      </c>
      <c r="K1087" s="45">
        <f t="shared" si="63"/>
        <v>1.9869011700640149E-2</v>
      </c>
    </row>
    <row r="1088" spans="1:11" x14ac:dyDescent="0.25">
      <c r="A1088" s="8">
        <v>45975</v>
      </c>
      <c r="D1088" s="35">
        <v>14472.6</v>
      </c>
      <c r="E1088" s="45">
        <f t="shared" si="64"/>
        <v>8.333016379045155E-4</v>
      </c>
      <c r="J1088" s="38" t="s">
        <v>1087</v>
      </c>
      <c r="K1088" s="45">
        <f t="shared" si="63"/>
        <v>-9.3080308824591285E-3</v>
      </c>
    </row>
    <row r="1089" spans="1:11" x14ac:dyDescent="0.25">
      <c r="A1089" s="8">
        <v>45978</v>
      </c>
      <c r="D1089" s="35">
        <v>14541.45</v>
      </c>
      <c r="E1089" s="45">
        <f t="shared" si="64"/>
        <v>4.7572654533394321E-3</v>
      </c>
      <c r="J1089" s="38" t="s">
        <v>1088</v>
      </c>
      <c r="K1089" s="45">
        <f t="shared" si="63"/>
        <v>4.3699927166787056E-3</v>
      </c>
    </row>
    <row r="1090" spans="1:11" x14ac:dyDescent="0.25">
      <c r="A1090" s="8">
        <v>45979</v>
      </c>
      <c r="D1090" s="35">
        <v>14472.15</v>
      </c>
      <c r="E1090" s="45">
        <f t="shared" si="64"/>
        <v>-4.7656870532168938E-3</v>
      </c>
      <c r="J1090" s="38" t="s">
        <v>1089</v>
      </c>
      <c r="K1090" s="45">
        <f t="shared" si="63"/>
        <v>-4.0609137055837019E-3</v>
      </c>
    </row>
    <row r="1091" spans="1:11" x14ac:dyDescent="0.25">
      <c r="A1091" s="8">
        <v>45980</v>
      </c>
      <c r="D1091" s="35">
        <v>14531.85</v>
      </c>
      <c r="E1091" s="45">
        <f t="shared" si="64"/>
        <v>4.1251645401685355E-3</v>
      </c>
      <c r="J1091" s="38" t="s">
        <v>1090</v>
      </c>
      <c r="K1091" s="45">
        <f t="shared" si="63"/>
        <v>7.0627639434976963E-3</v>
      </c>
    </row>
    <row r="1092" spans="1:11" x14ac:dyDescent="0.25">
      <c r="A1092" s="8">
        <v>45981</v>
      </c>
      <c r="D1092" s="35">
        <v>14583.8</v>
      </c>
      <c r="E1092" s="45">
        <f t="shared" si="64"/>
        <v>3.5749061544125826E-3</v>
      </c>
      <c r="J1092" s="38" t="s">
        <v>1091</v>
      </c>
      <c r="K1092" s="45">
        <f t="shared" ref="K1092:K1098" si="65">J1092/J1091-1</f>
        <v>-7.2301352035175626E-5</v>
      </c>
    </row>
    <row r="1093" spans="1:11" x14ac:dyDescent="0.25">
      <c r="A1093" s="8">
        <v>45982</v>
      </c>
      <c r="D1093" s="35">
        <v>14481.5</v>
      </c>
      <c r="E1093" s="45">
        <f t="shared" ref="E1093:E1098" si="66">D1093/D1092-1</f>
        <v>-7.0146326746115539E-3</v>
      </c>
      <c r="J1093" s="38" t="s">
        <v>1092</v>
      </c>
      <c r="K1093" s="45">
        <f t="shared" si="65"/>
        <v>-9.761388286334105E-3</v>
      </c>
    </row>
    <row r="1094" spans="1:11" x14ac:dyDescent="0.25">
      <c r="A1094" s="8">
        <v>45985</v>
      </c>
      <c r="D1094" s="35">
        <v>14412.85</v>
      </c>
      <c r="E1094" s="45">
        <f t="shared" si="66"/>
        <v>-4.7405310223388453E-3</v>
      </c>
      <c r="J1094" s="38" t="s">
        <v>1093</v>
      </c>
      <c r="K1094" s="45">
        <f t="shared" si="65"/>
        <v>-8.0321285140561027E-4</v>
      </c>
    </row>
    <row r="1095" spans="1:11" x14ac:dyDescent="0.25">
      <c r="A1095" s="8">
        <v>45986</v>
      </c>
      <c r="D1095" s="35">
        <v>14398.65</v>
      </c>
      <c r="E1095" s="45">
        <f t="shared" si="66"/>
        <v>-9.8523192845278995E-4</v>
      </c>
      <c r="J1095" s="38" t="s">
        <v>1094</v>
      </c>
      <c r="K1095" s="45">
        <f t="shared" si="65"/>
        <v>-7.7462730195849705E-3</v>
      </c>
    </row>
    <row r="1096" spans="1:11" x14ac:dyDescent="0.25">
      <c r="A1096" s="65">
        <v>45987</v>
      </c>
      <c r="D1096" s="35">
        <v>14582.5</v>
      </c>
      <c r="E1096" s="45">
        <f t="shared" si="66"/>
        <v>1.2768558163438914E-2</v>
      </c>
      <c r="J1096" s="38" t="s">
        <v>1095</v>
      </c>
      <c r="K1096" s="45">
        <f t="shared" si="65"/>
        <v>1.266755044925616E-2</v>
      </c>
    </row>
    <row r="1097" spans="1:11" x14ac:dyDescent="0.25">
      <c r="A1097" s="8">
        <v>45988</v>
      </c>
      <c r="D1097" s="35">
        <v>14585.35</v>
      </c>
      <c r="E1097" s="45">
        <f t="shared" si="66"/>
        <v>1.954397394137164E-4</v>
      </c>
      <c r="J1097" s="38" t="s">
        <v>1096</v>
      </c>
      <c r="K1097" s="45">
        <f t="shared" si="65"/>
        <v>1.2509090909091025E-2</v>
      </c>
    </row>
    <row r="1098" spans="1:11" x14ac:dyDescent="0.25">
      <c r="A1098" s="8">
        <v>45989</v>
      </c>
      <c r="D1098" s="35">
        <v>14579.35</v>
      </c>
      <c r="E1098" s="45">
        <f t="shared" si="66"/>
        <v>-4.113716846013693E-4</v>
      </c>
      <c r="J1098" s="38" t="s">
        <v>1097</v>
      </c>
      <c r="K1098" s="45">
        <f t="shared" si="65"/>
        <v>-2.442177848010374E-3</v>
      </c>
    </row>
  </sheetData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87A4-1478-4EAA-88EF-6D1874D3670C}">
  <sheetPr codeName="Sheet6"/>
  <dimension ref="A1:Y1014"/>
  <sheetViews>
    <sheetView topLeftCell="A6" workbookViewId="0">
      <selection activeCell="M11" sqref="M11"/>
    </sheetView>
  </sheetViews>
  <sheetFormatPr defaultRowHeight="13.2" x14ac:dyDescent="0.25"/>
  <cols>
    <col min="1" max="1" width="18" style="21" customWidth="1"/>
    <col min="2" max="2" width="14.33203125" style="5" customWidth="1"/>
    <col min="3" max="3" width="16.88671875" style="5" bestFit="1" customWidth="1"/>
    <col min="4" max="4" width="12.88671875" customWidth="1"/>
    <col min="5" max="5" width="12.6640625" customWidth="1"/>
    <col min="6" max="6" width="13.5546875" customWidth="1"/>
    <col min="7" max="7" width="13.109375" customWidth="1"/>
    <col min="10" max="10" width="11" bestFit="1" customWidth="1"/>
  </cols>
  <sheetData>
    <row r="1" spans="1:25" ht="47.25" customHeight="1" x14ac:dyDescent="0.25">
      <c r="A1" s="72" t="s">
        <v>1104</v>
      </c>
      <c r="B1" s="72"/>
      <c r="C1" s="72"/>
      <c r="D1" s="72"/>
      <c r="E1" s="72"/>
      <c r="F1" s="72"/>
    </row>
    <row r="2" spans="1:25" x14ac:dyDescent="0.25">
      <c r="A2" s="21" t="s">
        <v>23</v>
      </c>
      <c r="B2" s="11">
        <f>INTERCEPT($C$11:$C$275,$B$11:$B$275)</f>
        <v>9.6391056070997477E-4</v>
      </c>
      <c r="D2" s="68" t="s">
        <v>1114</v>
      </c>
      <c r="E2" s="8"/>
      <c r="I2" s="8"/>
      <c r="M2" s="8"/>
      <c r="Q2" s="8"/>
      <c r="U2" s="8"/>
      <c r="Y2" s="8"/>
    </row>
    <row r="3" spans="1:25" x14ac:dyDescent="0.25">
      <c r="A3" s="21" t="s">
        <v>24</v>
      </c>
      <c r="B3" s="11">
        <f>SLOPE($C$11:$C$275,$B$11:$B$275)</f>
        <v>0.11973327175813323</v>
      </c>
      <c r="E3" s="8"/>
      <c r="I3" s="8"/>
      <c r="M3" s="8"/>
      <c r="Q3" s="8"/>
      <c r="U3" s="8"/>
      <c r="Y3" s="8"/>
    </row>
    <row r="4" spans="1:25" x14ac:dyDescent="0.25">
      <c r="A4" s="21" t="s">
        <v>15</v>
      </c>
      <c r="B4" s="11">
        <f>RSQ($C$11:$C$275,$B$11:$B$275)</f>
        <v>2.8311551737937629E-3</v>
      </c>
      <c r="D4" s="68" t="s">
        <v>1115</v>
      </c>
      <c r="E4" s="8"/>
      <c r="I4" s="8"/>
      <c r="M4" s="8"/>
      <c r="Q4" s="8"/>
      <c r="U4" s="8"/>
      <c r="Y4" s="8"/>
    </row>
    <row r="5" spans="1:25" x14ac:dyDescent="0.25">
      <c r="A5" s="25" t="s">
        <v>25</v>
      </c>
      <c r="B5" s="17">
        <f>STEYX($C$11:$C$275,$B$11:$B$275)</f>
        <v>1.749871401364932E-2</v>
      </c>
      <c r="D5" s="68" t="s">
        <v>1116</v>
      </c>
      <c r="E5" s="8"/>
      <c r="I5" s="8"/>
      <c r="M5" s="8"/>
      <c r="Q5" s="8"/>
      <c r="U5" s="8"/>
      <c r="Y5" s="8"/>
    </row>
    <row r="6" spans="1:25" x14ac:dyDescent="0.25">
      <c r="B6" s="11"/>
      <c r="E6" s="8"/>
      <c r="I6" s="8"/>
      <c r="M6" s="8"/>
      <c r="Q6" s="8"/>
      <c r="U6" s="8"/>
      <c r="Y6" s="8"/>
    </row>
    <row r="7" spans="1:25" ht="26.4" x14ac:dyDescent="0.25">
      <c r="A7" s="23" t="s">
        <v>26</v>
      </c>
      <c r="B7">
        <v>265</v>
      </c>
      <c r="E7" s="8"/>
      <c r="I7" s="8"/>
      <c r="M7" s="8"/>
      <c r="Q7" s="8"/>
      <c r="U7" s="8"/>
      <c r="Y7" s="8"/>
    </row>
    <row r="8" spans="1:25" x14ac:dyDescent="0.25">
      <c r="E8" s="8"/>
      <c r="I8" s="8"/>
      <c r="M8" s="8"/>
      <c r="Q8" s="8"/>
      <c r="U8" s="8"/>
      <c r="Y8" s="8"/>
    </row>
    <row r="9" spans="1:25" x14ac:dyDescent="0.25">
      <c r="D9" s="73" t="s">
        <v>27</v>
      </c>
      <c r="E9" s="73"/>
      <c r="F9" s="73"/>
      <c r="G9" s="73"/>
      <c r="I9" s="8"/>
      <c r="M9" s="8"/>
      <c r="Q9" s="8"/>
      <c r="U9" s="8"/>
      <c r="Y9" s="8"/>
    </row>
    <row r="10" spans="1:25" s="14" customFormat="1" ht="39.6" x14ac:dyDescent="0.25">
      <c r="A10" s="24" t="s">
        <v>0</v>
      </c>
      <c r="B10" s="13" t="s">
        <v>1101</v>
      </c>
      <c r="C10" s="13" t="s">
        <v>1099</v>
      </c>
      <c r="D10" s="14" t="s">
        <v>36</v>
      </c>
      <c r="E10" s="14" t="s">
        <v>37</v>
      </c>
      <c r="F10" s="12" t="s">
        <v>38</v>
      </c>
      <c r="G10" s="13" t="s">
        <v>28</v>
      </c>
      <c r="H10" s="13"/>
      <c r="J10" s="12"/>
      <c r="Q10" s="12"/>
      <c r="U10" s="12"/>
      <c r="Y10" s="12"/>
    </row>
    <row r="11" spans="1:25" s="14" customFormat="1" x14ac:dyDescent="0.25">
      <c r="A11" s="22">
        <f>Dataset!A230</f>
        <v>44713</v>
      </c>
      <c r="B11" s="47">
        <f>Dataset!E230</f>
        <v>-3.8101855543279939E-3</v>
      </c>
      <c r="C11" s="47">
        <f>Dataset!H230</f>
        <v>-1.4093959731543704E-2</v>
      </c>
      <c r="F11" s="12"/>
      <c r="G11" s="13"/>
      <c r="H11" s="13"/>
      <c r="J11" s="12"/>
      <c r="Q11" s="12"/>
      <c r="U11" s="12"/>
      <c r="Y11" s="12"/>
    </row>
    <row r="12" spans="1:25" s="14" customFormat="1" x14ac:dyDescent="0.25">
      <c r="A12" s="22">
        <f>Dataset!A231</f>
        <v>44714</v>
      </c>
      <c r="B12" s="47">
        <f>Dataset!E231</f>
        <v>-3.9962724325806054E-3</v>
      </c>
      <c r="C12" s="47">
        <f>Dataset!H231</f>
        <v>8.509189925119065E-3</v>
      </c>
      <c r="F12" s="12"/>
      <c r="G12" s="13"/>
      <c r="H12" s="13"/>
      <c r="J12" s="12"/>
      <c r="Q12" s="12"/>
      <c r="U12" s="12"/>
      <c r="Y12" s="12"/>
    </row>
    <row r="13" spans="1:25" s="14" customFormat="1" x14ac:dyDescent="0.25">
      <c r="A13" s="22">
        <f>Dataset!A232</f>
        <v>44715</v>
      </c>
      <c r="B13" s="47">
        <f>Dataset!E232</f>
        <v>6.4001744980310971E-3</v>
      </c>
      <c r="C13" s="47">
        <f>Dataset!H232</f>
        <v>3.6112048599392432E-2</v>
      </c>
      <c r="F13" s="12"/>
      <c r="G13" s="13"/>
      <c r="H13" s="13"/>
      <c r="J13" s="12"/>
      <c r="Q13" s="12"/>
      <c r="U13" s="12"/>
      <c r="Y13" s="12"/>
    </row>
    <row r="14" spans="1:25" s="14" customFormat="1" x14ac:dyDescent="0.25">
      <c r="A14" s="22">
        <f>Dataset!A233</f>
        <v>44718</v>
      </c>
      <c r="B14" s="47">
        <f>Dataset!E233</f>
        <v>-6.0058518556543872E-3</v>
      </c>
      <c r="C14" s="47">
        <f>Dataset!H233</f>
        <v>-9.229098805646041E-3</v>
      </c>
      <c r="F14" s="12"/>
      <c r="G14" s="13"/>
      <c r="H14" s="13"/>
      <c r="J14" s="12"/>
      <c r="Q14" s="12"/>
      <c r="U14" s="12"/>
      <c r="Y14" s="12"/>
    </row>
    <row r="15" spans="1:25" s="14" customFormat="1" x14ac:dyDescent="0.25">
      <c r="A15" s="22">
        <f>Dataset!A234</f>
        <v>44719</v>
      </c>
      <c r="B15" s="47">
        <f>Dataset!E234</f>
        <v>-1.1992471711537167E-3</v>
      </c>
      <c r="C15" s="47">
        <f>Dataset!H234</f>
        <v>-2.520547945205398E-3</v>
      </c>
      <c r="F15" s="12"/>
      <c r="G15" s="13"/>
      <c r="H15" s="13"/>
      <c r="J15" s="12"/>
      <c r="Q15" s="12"/>
      <c r="U15" s="12"/>
      <c r="Y15" s="12"/>
    </row>
    <row r="16" spans="1:25" s="14" customFormat="1" x14ac:dyDescent="0.25">
      <c r="A16" s="22">
        <f>Dataset!A235</f>
        <v>44720</v>
      </c>
      <c r="B16" s="47">
        <f>Dataset!E235</f>
        <v>-8.7035451866235292E-3</v>
      </c>
      <c r="C16" s="47">
        <f>Dataset!H235</f>
        <v>1.6589760492199401E-2</v>
      </c>
      <c r="F16" s="12"/>
      <c r="G16" s="13"/>
      <c r="H16" s="13"/>
      <c r="J16" s="12"/>
      <c r="Q16" s="12"/>
      <c r="U16" s="12"/>
      <c r="Y16" s="12"/>
    </row>
    <row r="17" spans="1:25" s="14" customFormat="1" x14ac:dyDescent="0.25">
      <c r="A17" s="22">
        <f>Dataset!A236</f>
        <v>44721</v>
      </c>
      <c r="B17" s="47">
        <f>Dataset!E236</f>
        <v>-3.7090268440818086E-3</v>
      </c>
      <c r="C17" s="47">
        <f>Dataset!H236</f>
        <v>5.403652869340192E-4</v>
      </c>
      <c r="F17" s="12"/>
      <c r="G17" s="13"/>
      <c r="H17" s="13"/>
      <c r="J17" s="12"/>
      <c r="Q17" s="12"/>
      <c r="U17" s="12"/>
      <c r="Y17" s="12"/>
    </row>
    <row r="18" spans="1:25" s="14" customFormat="1" x14ac:dyDescent="0.25">
      <c r="A18" s="22">
        <f>Dataset!A237</f>
        <v>44722</v>
      </c>
      <c r="B18" s="47">
        <f>Dataset!E237</f>
        <v>7.1780911163850103E-3</v>
      </c>
      <c r="C18" s="47">
        <f>Dataset!H237</f>
        <v>-7.3449989198530741E-3</v>
      </c>
      <c r="F18" s="12"/>
      <c r="G18" s="13"/>
      <c r="H18" s="13"/>
      <c r="J18" s="12"/>
      <c r="Q18" s="12"/>
      <c r="U18" s="12"/>
      <c r="Y18" s="12"/>
    </row>
    <row r="19" spans="1:25" s="14" customFormat="1" x14ac:dyDescent="0.25">
      <c r="A19" s="22">
        <f>Dataset!A238</f>
        <v>44725</v>
      </c>
      <c r="B19" s="47">
        <f>Dataset!E238</f>
        <v>-1.4808312060342055E-2</v>
      </c>
      <c r="C19" s="47">
        <f>Dataset!H238</f>
        <v>-3.8737758433079472E-2</v>
      </c>
      <c r="F19" s="12"/>
      <c r="G19" s="13"/>
      <c r="H19" s="13"/>
      <c r="J19" s="12"/>
      <c r="Q19" s="12"/>
      <c r="U19" s="12"/>
      <c r="Y19" s="12"/>
    </row>
    <row r="20" spans="1:25" s="14" customFormat="1" x14ac:dyDescent="0.25">
      <c r="A20" s="22">
        <f>Dataset!A239</f>
        <v>44726</v>
      </c>
      <c r="B20" s="47">
        <f>Dataset!E239</f>
        <v>-2.5987501612127817E-2</v>
      </c>
      <c r="C20" s="47">
        <f>Dataset!H239</f>
        <v>9.6219153271450697E-3</v>
      </c>
      <c r="F20" s="12"/>
      <c r="G20" s="13"/>
      <c r="H20" s="13"/>
      <c r="J20" s="12"/>
      <c r="Q20" s="12"/>
      <c r="U20" s="12"/>
      <c r="Y20" s="12"/>
    </row>
    <row r="21" spans="1:25" s="14" customFormat="1" x14ac:dyDescent="0.25">
      <c r="A21" s="22">
        <f>Dataset!A240</f>
        <v>44727</v>
      </c>
      <c r="B21" s="47">
        <f>Dataset!E240</f>
        <v>-1.9681129588502433E-3</v>
      </c>
      <c r="C21" s="47">
        <f>Dataset!H240</f>
        <v>1.9845274133871493E-2</v>
      </c>
      <c r="F21" s="12"/>
      <c r="G21" s="13"/>
      <c r="H21" s="13"/>
      <c r="J21" s="12"/>
      <c r="Q21" s="12"/>
      <c r="U21" s="12"/>
      <c r="Y21" s="12"/>
    </row>
    <row r="22" spans="1:25" s="14" customFormat="1" x14ac:dyDescent="0.25">
      <c r="A22" s="22">
        <f>Dataset!A241</f>
        <v>44728</v>
      </c>
      <c r="B22" s="47">
        <f>Dataset!E241</f>
        <v>-1.1940514527625234E-3</v>
      </c>
      <c r="C22" s="47">
        <f>Dataset!H241</f>
        <v>-3.7598944591029082E-2</v>
      </c>
      <c r="F22" s="12"/>
      <c r="G22" s="13"/>
      <c r="H22" s="13"/>
      <c r="J22" s="12"/>
      <c r="Q22" s="12"/>
      <c r="U22" s="12"/>
      <c r="Y22" s="12"/>
    </row>
    <row r="23" spans="1:25" s="14" customFormat="1" x14ac:dyDescent="0.25">
      <c r="A23" s="22">
        <f>Dataset!A242</f>
        <v>44729</v>
      </c>
      <c r="B23" s="47">
        <f>Dataset!E242</f>
        <v>-2.1234845191518192E-2</v>
      </c>
      <c r="C23" s="47">
        <f>Dataset!H242</f>
        <v>5.3689741832305682E-3</v>
      </c>
      <c r="F23" s="12"/>
      <c r="G23" s="13"/>
      <c r="H23" s="13"/>
      <c r="J23" s="12"/>
      <c r="Q23" s="12"/>
      <c r="U23" s="12"/>
      <c r="Y23" s="12"/>
    </row>
    <row r="24" spans="1:25" s="14" customFormat="1" x14ac:dyDescent="0.25">
      <c r="A24" s="22">
        <f>Dataset!A243</f>
        <v>44732</v>
      </c>
      <c r="B24" s="47">
        <f>Dataset!E243</f>
        <v>-6.9892108298840183E-3</v>
      </c>
      <c r="C24" s="47">
        <f>Dataset!H243</f>
        <v>-2.5678900124985859E-2</v>
      </c>
      <c r="F24" s="12"/>
      <c r="G24" s="13"/>
      <c r="H24" s="13"/>
      <c r="J24" s="12"/>
      <c r="Q24" s="12"/>
      <c r="U24" s="12"/>
      <c r="Y24" s="12"/>
    </row>
    <row r="25" spans="1:25" x14ac:dyDescent="0.25">
      <c r="A25" s="22">
        <f>Dataset!A244</f>
        <v>44733</v>
      </c>
      <c r="B25" s="47">
        <f>Dataset!E244</f>
        <v>-1.0250102501024871E-3</v>
      </c>
      <c r="C25" s="47">
        <f>Dataset!H244</f>
        <v>1.9475218658892235E-2</v>
      </c>
      <c r="F25" s="8"/>
      <c r="G25" s="5"/>
      <c r="H25" s="5"/>
      <c r="J25" s="5"/>
      <c r="L25" s="5"/>
      <c r="Q25" s="8"/>
      <c r="U25" s="8"/>
      <c r="Y25" s="8"/>
    </row>
    <row r="26" spans="1:25" x14ac:dyDescent="0.25">
      <c r="A26" s="22">
        <f>Dataset!A245</f>
        <v>44734</v>
      </c>
      <c r="B26" s="47">
        <f>Dataset!E245</f>
        <v>2.2150501526655875E-2</v>
      </c>
      <c r="C26" s="47">
        <f>Dataset!H245</f>
        <v>-3.0999771219400674E-2</v>
      </c>
      <c r="E26" s="8"/>
      <c r="I26" s="8"/>
      <c r="M26" s="8"/>
      <c r="Q26" s="8"/>
      <c r="U26" s="8"/>
      <c r="Y26" s="8"/>
    </row>
    <row r="27" spans="1:25" x14ac:dyDescent="0.25">
      <c r="A27" s="22">
        <f>Dataset!A246</f>
        <v>44735</v>
      </c>
      <c r="B27" s="47">
        <f>Dataset!E246</f>
        <v>-1.5221663188761947E-2</v>
      </c>
      <c r="C27" s="47">
        <f>Dataset!H246</f>
        <v>2.5970959745012401E-2</v>
      </c>
      <c r="E27" s="69"/>
      <c r="F27" s="69"/>
      <c r="I27" s="8"/>
      <c r="M27" s="8"/>
      <c r="Q27" s="8"/>
      <c r="U27" s="8"/>
      <c r="Y27" s="8"/>
    </row>
    <row r="28" spans="1:25" hidden="1" x14ac:dyDescent="0.25">
      <c r="A28" s="22">
        <f>Dataset!A247</f>
        <v>44736</v>
      </c>
      <c r="B28" s="47">
        <f>Dataset!E247</f>
        <v>9.9401367772704585E-3</v>
      </c>
      <c r="C28" s="47">
        <f>Dataset!H247</f>
        <v>3.4518467380049156E-3</v>
      </c>
      <c r="E28" s="8"/>
      <c r="I28" s="8"/>
      <c r="M28" s="8"/>
      <c r="Q28" s="8"/>
      <c r="U28" s="8"/>
      <c r="Y28" s="8"/>
    </row>
    <row r="29" spans="1:25" hidden="1" x14ac:dyDescent="0.25">
      <c r="A29" s="22">
        <f>Dataset!A248</f>
        <v>44739</v>
      </c>
      <c r="B29" s="47">
        <f>Dataset!E248</f>
        <v>1.0362250578059617E-2</v>
      </c>
      <c r="C29" s="47">
        <f>Dataset!H248</f>
        <v>-2.751977984176146E-3</v>
      </c>
      <c r="E29" s="8"/>
      <c r="I29" s="8"/>
      <c r="M29" s="8"/>
      <c r="Q29" s="8"/>
      <c r="U29" s="8"/>
      <c r="Y29" s="8"/>
    </row>
    <row r="30" spans="1:25" hidden="1" x14ac:dyDescent="0.25">
      <c r="A30" s="22">
        <f>Dataset!A249</f>
        <v>44740</v>
      </c>
      <c r="B30" s="47">
        <f>Dataset!E249</f>
        <v>8.5486644225414299E-3</v>
      </c>
      <c r="C30" s="47">
        <f>Dataset!H249</f>
        <v>-1.4027825687018547E-2</v>
      </c>
      <c r="E30" s="8"/>
      <c r="I30" s="8"/>
      <c r="M30" s="8"/>
      <c r="Q30" s="8"/>
      <c r="U30" s="8"/>
      <c r="Y30" s="8"/>
    </row>
    <row r="31" spans="1:25" hidden="1" x14ac:dyDescent="0.25">
      <c r="A31" s="22">
        <f>Dataset!A250</f>
        <v>44741</v>
      </c>
      <c r="B31" s="47">
        <f>Dataset!E250</f>
        <v>1.398693752100888E-3</v>
      </c>
      <c r="C31" s="47">
        <f>Dataset!H250</f>
        <v>1.8075801749271037E-2</v>
      </c>
      <c r="E31" s="8"/>
      <c r="I31" s="8"/>
      <c r="M31" s="8"/>
      <c r="Q31" s="8"/>
      <c r="U31" s="8"/>
      <c r="Y31" s="8"/>
    </row>
    <row r="32" spans="1:25" hidden="1" x14ac:dyDescent="0.25">
      <c r="A32" s="22">
        <f>Dataset!A251</f>
        <v>44742</v>
      </c>
      <c r="B32" s="47">
        <f>Dataset!E251</f>
        <v>-3.6327232835983159E-3</v>
      </c>
      <c r="C32" s="47">
        <f>Dataset!H251</f>
        <v>-1.7411225658648388E-2</v>
      </c>
      <c r="E32" s="8"/>
      <c r="I32" s="8"/>
      <c r="M32" s="8"/>
      <c r="Q32" s="8"/>
      <c r="U32" s="8"/>
      <c r="Y32" s="8"/>
    </row>
    <row r="33" spans="1:25" hidden="1" x14ac:dyDescent="0.25">
      <c r="A33" s="22">
        <f>Dataset!A252</f>
        <v>44743</v>
      </c>
      <c r="B33" s="47">
        <f>Dataset!E252</f>
        <v>-2.3764973437377934E-3</v>
      </c>
      <c r="C33" s="47">
        <f>Dataset!H252</f>
        <v>-3.5789228258335193E-2</v>
      </c>
      <c r="E33" s="8"/>
      <c r="I33" s="8"/>
      <c r="M33" s="8"/>
      <c r="Q33" s="8"/>
      <c r="U33" s="8"/>
      <c r="Y33" s="8"/>
    </row>
    <row r="34" spans="1:25" hidden="1" x14ac:dyDescent="0.25">
      <c r="A34" s="22">
        <f>Dataset!A253</f>
        <v>44746</v>
      </c>
      <c r="B34" s="47">
        <f>Dataset!E253</f>
        <v>4.9452405075500749E-4</v>
      </c>
      <c r="C34" s="47">
        <f>Dataset!H253</f>
        <v>5.1626163704509676E-2</v>
      </c>
      <c r="E34" s="8"/>
      <c r="I34" s="8"/>
      <c r="M34" s="8"/>
      <c r="Q34" s="8"/>
      <c r="U34" s="8"/>
      <c r="Y34" s="8"/>
    </row>
    <row r="35" spans="1:25" hidden="1" x14ac:dyDescent="0.25">
      <c r="A35" s="22">
        <f>Dataset!A254</f>
        <v>44747</v>
      </c>
      <c r="B35" s="47">
        <f>Dataset!E254</f>
        <v>5.9313554111564137E-3</v>
      </c>
      <c r="C35" s="47">
        <f>Dataset!H254</f>
        <v>-2.5982984594159486E-2</v>
      </c>
      <c r="E35" s="8"/>
      <c r="I35" s="8"/>
      <c r="M35" s="8"/>
      <c r="Q35" s="8"/>
      <c r="U35" s="8"/>
      <c r="Y35" s="8"/>
    </row>
    <row r="36" spans="1:25" hidden="1" x14ac:dyDescent="0.25">
      <c r="A36" s="22">
        <f>Dataset!A255</f>
        <v>44748</v>
      </c>
      <c r="B36" s="47">
        <f>Dataset!E255</f>
        <v>-1.2523819225561672E-3</v>
      </c>
      <c r="C36" s="47">
        <f>Dataset!H255</f>
        <v>-1.2747875354107707E-2</v>
      </c>
      <c r="E36" s="8"/>
      <c r="I36" s="8"/>
      <c r="M36" s="8"/>
      <c r="Q36" s="8"/>
      <c r="U36" s="8"/>
      <c r="Y36" s="8"/>
    </row>
    <row r="37" spans="1:25" hidden="1" x14ac:dyDescent="0.25">
      <c r="A37" s="22">
        <f>Dataset!A256</f>
        <v>44749</v>
      </c>
      <c r="B37" s="47">
        <f>Dataset!E256</f>
        <v>1.3079502978886826E-2</v>
      </c>
      <c r="C37" s="47">
        <f>Dataset!H256</f>
        <v>1.9846963175514043E-2</v>
      </c>
      <c r="E37" s="8"/>
      <c r="I37" s="8"/>
      <c r="M37" s="8"/>
      <c r="Q37" s="8"/>
      <c r="U37" s="8"/>
      <c r="Y37" s="8"/>
    </row>
    <row r="38" spans="1:25" hidden="1" x14ac:dyDescent="0.25">
      <c r="A38" s="22">
        <f>Dataset!A257</f>
        <v>44750</v>
      </c>
      <c r="B38" s="47">
        <f>Dataset!E257</f>
        <v>9.4579308629398895E-3</v>
      </c>
      <c r="C38" s="47">
        <f>Dataset!H257</f>
        <v>1.3364595545134694E-2</v>
      </c>
      <c r="E38" s="8"/>
      <c r="I38" s="8"/>
      <c r="M38" s="8"/>
      <c r="Q38" s="8"/>
      <c r="U38" s="8"/>
      <c r="Y38" s="8"/>
    </row>
    <row r="39" spans="1:25" hidden="1" x14ac:dyDescent="0.25">
      <c r="A39" s="22">
        <f>Dataset!A258</f>
        <v>44753</v>
      </c>
      <c r="B39" s="47">
        <f>Dataset!E258</f>
        <v>4.8694631856849302E-3</v>
      </c>
      <c r="C39" s="47">
        <f>Dataset!H258</f>
        <v>1.0411846367421873E-3</v>
      </c>
      <c r="E39" s="8"/>
      <c r="I39" s="8"/>
      <c r="M39" s="8"/>
      <c r="Q39" s="8"/>
      <c r="U39" s="8"/>
      <c r="Y39" s="8"/>
    </row>
    <row r="40" spans="1:25" hidden="1" x14ac:dyDescent="0.25">
      <c r="A40" s="22">
        <f>Dataset!A259</f>
        <v>44754</v>
      </c>
      <c r="B40" s="47">
        <f>Dataset!E259</f>
        <v>3.4329752452124662E-3</v>
      </c>
      <c r="C40" s="47">
        <f>Dataset!H259</f>
        <v>2.0108632844100471E-2</v>
      </c>
      <c r="E40" s="8"/>
      <c r="I40" s="8"/>
      <c r="M40" s="8"/>
      <c r="Q40" s="8"/>
      <c r="U40" s="8"/>
      <c r="Y40" s="8"/>
    </row>
    <row r="41" spans="1:25" hidden="1" x14ac:dyDescent="0.25">
      <c r="A41" s="22">
        <f>Dataset!A260</f>
        <v>44755</v>
      </c>
      <c r="B41" s="47">
        <f>Dataset!E260</f>
        <v>-8.041054762957689E-3</v>
      </c>
      <c r="C41" s="47">
        <f>Dataset!H260</f>
        <v>2.2091310751104487E-2</v>
      </c>
      <c r="E41" s="8"/>
      <c r="I41" s="8"/>
      <c r="M41" s="8"/>
      <c r="Q41" s="8"/>
      <c r="U41" s="8"/>
      <c r="Y41" s="8"/>
    </row>
    <row r="42" spans="1:25" hidden="1" x14ac:dyDescent="0.25">
      <c r="A42" s="22">
        <f>Dataset!A261</f>
        <v>44756</v>
      </c>
      <c r="B42" s="47">
        <f>Dataset!E261</f>
        <v>-4.3346667761574587E-3</v>
      </c>
      <c r="C42" s="47">
        <f>Dataset!H261</f>
        <v>-1.4963422744402544E-2</v>
      </c>
      <c r="E42" s="8"/>
      <c r="I42" s="8"/>
      <c r="M42" s="8"/>
      <c r="Q42" s="8"/>
      <c r="U42" s="8"/>
      <c r="Y42" s="8"/>
    </row>
    <row r="43" spans="1:25" hidden="1" x14ac:dyDescent="0.25">
      <c r="A43" s="22">
        <f>Dataset!A262</f>
        <v>44757</v>
      </c>
      <c r="B43" s="47">
        <f>Dataset!E262</f>
        <v>-1.402086634815336E-3</v>
      </c>
      <c r="C43" s="47">
        <f>Dataset!H262</f>
        <v>3.7132890739282054E-3</v>
      </c>
      <c r="E43" s="8"/>
      <c r="I43" s="8"/>
      <c r="M43" s="8"/>
      <c r="Q43" s="8"/>
      <c r="U43" s="8"/>
      <c r="Y43" s="8"/>
    </row>
    <row r="44" spans="1:25" hidden="1" x14ac:dyDescent="0.25">
      <c r="A44" s="22">
        <f>Dataset!A263</f>
        <v>44760</v>
      </c>
      <c r="B44" s="47">
        <f>Dataset!E263</f>
        <v>6.5955200018876781E-3</v>
      </c>
      <c r="C44" s="47">
        <f>Dataset!H263</f>
        <v>1.917040358744404E-2</v>
      </c>
      <c r="E44" s="8"/>
      <c r="I44" s="8"/>
      <c r="M44" s="8"/>
      <c r="Q44" s="8"/>
      <c r="U44" s="8"/>
      <c r="Y44" s="8"/>
    </row>
    <row r="45" spans="1:25" hidden="1" x14ac:dyDescent="0.25">
      <c r="A45" s="22">
        <f>Dataset!A264</f>
        <v>44761</v>
      </c>
      <c r="B45" s="47">
        <f>Dataset!E264</f>
        <v>1.4136098038411316E-2</v>
      </c>
      <c r="C45" s="47">
        <f>Dataset!H264</f>
        <v>4.6199538004618734E-3</v>
      </c>
      <c r="E45" s="8"/>
      <c r="I45" s="8"/>
      <c r="M45" s="8"/>
      <c r="Q45" s="8"/>
      <c r="U45" s="8"/>
      <c r="Y45" s="8"/>
    </row>
    <row r="46" spans="1:25" hidden="1" x14ac:dyDescent="0.25">
      <c r="A46" s="22">
        <f>Dataset!A265</f>
        <v>44762</v>
      </c>
      <c r="B46" s="47">
        <f>Dataset!E265</f>
        <v>4.3573991990244476E-3</v>
      </c>
      <c r="C46" s="47">
        <f>Dataset!H265</f>
        <v>1.3686630898937846E-2</v>
      </c>
      <c r="E46" s="8"/>
      <c r="I46" s="8"/>
      <c r="M46" s="8"/>
      <c r="Q46" s="8"/>
      <c r="U46" s="8"/>
      <c r="Y46" s="8"/>
    </row>
    <row r="47" spans="1:25" hidden="1" x14ac:dyDescent="0.25">
      <c r="A47" s="22">
        <f>Dataset!A266</f>
        <v>44763</v>
      </c>
      <c r="B47" s="47">
        <f>Dataset!E266</f>
        <v>8.5388939715640433E-3</v>
      </c>
      <c r="C47" s="47">
        <f>Dataset!H266</f>
        <v>8.1011017498380244E-3</v>
      </c>
      <c r="E47" s="8"/>
      <c r="I47" s="8"/>
      <c r="M47" s="8"/>
      <c r="Q47" s="8"/>
      <c r="U47" s="8"/>
      <c r="Y47" s="8"/>
    </row>
    <row r="48" spans="1:25" hidden="1" x14ac:dyDescent="0.25">
      <c r="A48" s="22">
        <f>Dataset!A267</f>
        <v>44764</v>
      </c>
      <c r="B48" s="47">
        <f>Dataset!E267</f>
        <v>7.4453579191793295E-3</v>
      </c>
      <c r="C48" s="47">
        <f>Dataset!H267</f>
        <v>1.6929176042001615E-2</v>
      </c>
      <c r="E48" s="8"/>
      <c r="I48" s="8"/>
      <c r="M48" s="8"/>
      <c r="Q48" s="8"/>
      <c r="U48" s="8"/>
      <c r="Y48" s="8"/>
    </row>
    <row r="49" spans="1:25" hidden="1" x14ac:dyDescent="0.25">
      <c r="A49" s="22">
        <f>Dataset!A268</f>
        <v>44767</v>
      </c>
      <c r="B49" s="47">
        <f>Dataset!E268</f>
        <v>4.5417992773895133E-3</v>
      </c>
      <c r="C49" s="47">
        <f>Dataset!H268</f>
        <v>-1.864924665472556E-2</v>
      </c>
      <c r="E49" s="8"/>
      <c r="I49" s="8"/>
      <c r="M49" s="8"/>
      <c r="Q49" s="8"/>
      <c r="U49" s="8"/>
      <c r="Y49" s="8"/>
    </row>
    <row r="50" spans="1:25" hidden="1" x14ac:dyDescent="0.25">
      <c r="A50" s="22">
        <f>Dataset!A269</f>
        <v>44768</v>
      </c>
      <c r="B50" s="47">
        <f>Dataset!E269</f>
        <v>-4.1266405087269087E-3</v>
      </c>
      <c r="C50" s="47">
        <f>Dataset!H269</f>
        <v>-9.3407773244577053E-3</v>
      </c>
      <c r="E50" s="8"/>
      <c r="I50" s="8"/>
      <c r="M50" s="8"/>
      <c r="Q50" s="8"/>
      <c r="U50" s="8"/>
      <c r="Y50" s="8"/>
    </row>
    <row r="51" spans="1:25" hidden="1" x14ac:dyDescent="0.25">
      <c r="A51" s="22">
        <f>Dataset!A270</f>
        <v>44769</v>
      </c>
      <c r="B51" s="47">
        <f>Dataset!E270</f>
        <v>-9.8215700926114202E-3</v>
      </c>
      <c r="C51" s="47">
        <f>Dataset!H270</f>
        <v>1.1488024276579578E-2</v>
      </c>
      <c r="E51" s="8"/>
      <c r="I51" s="8"/>
      <c r="M51" s="8"/>
      <c r="Q51" s="8"/>
      <c r="U51" s="8"/>
      <c r="Y51" s="8"/>
    </row>
    <row r="52" spans="1:25" hidden="1" x14ac:dyDescent="0.25">
      <c r="A52" s="22">
        <f>Dataset!A271</f>
        <v>44770</v>
      </c>
      <c r="B52" s="47">
        <f>Dataset!E271</f>
        <v>9.5759703173505795E-3</v>
      </c>
      <c r="C52" s="47">
        <f>Dataset!H271</f>
        <v>1.3821922211507687E-2</v>
      </c>
      <c r="E52" s="8"/>
      <c r="I52" s="8"/>
      <c r="M52" s="8"/>
      <c r="Q52" s="8"/>
      <c r="U52" s="8"/>
      <c r="Y52" s="8"/>
    </row>
    <row r="53" spans="1:25" hidden="1" x14ac:dyDescent="0.25">
      <c r="A53" s="22">
        <f>Dataset!A272</f>
        <v>44771</v>
      </c>
      <c r="B53" s="47">
        <f>Dataset!E272</f>
        <v>1.5459363957597283E-2</v>
      </c>
      <c r="C53" s="47">
        <f>Dataset!H272</f>
        <v>1.5747199323610239E-2</v>
      </c>
      <c r="E53" s="8"/>
      <c r="I53" s="8"/>
      <c r="M53" s="8"/>
      <c r="Q53" s="8"/>
      <c r="U53" s="8"/>
      <c r="Y53" s="8"/>
    </row>
    <row r="54" spans="1:25" hidden="1" x14ac:dyDescent="0.25">
      <c r="A54" s="22">
        <f>Dataset!A273</f>
        <v>44774</v>
      </c>
      <c r="B54" s="47">
        <f>Dataset!E273</f>
        <v>1.3556618819776656E-2</v>
      </c>
      <c r="C54" s="47">
        <f>Dataset!H273</f>
        <v>2.4034959941733547E-2</v>
      </c>
      <c r="E54" s="8"/>
      <c r="I54" s="8"/>
      <c r="M54" s="8"/>
      <c r="Q54" s="8"/>
      <c r="U54" s="8"/>
      <c r="Y54" s="8"/>
    </row>
    <row r="55" spans="1:25" hidden="1" x14ac:dyDescent="0.25">
      <c r="A55" s="22">
        <f>Dataset!A274</f>
        <v>44775</v>
      </c>
      <c r="B55" s="47">
        <f>Dataset!E274</f>
        <v>1.2104339405677011E-2</v>
      </c>
      <c r="C55" s="47">
        <f>Dataset!H274</f>
        <v>-1.0058931111562752E-2</v>
      </c>
      <c r="E55" s="8"/>
      <c r="I55" s="8"/>
      <c r="M55" s="8"/>
      <c r="Q55" s="8"/>
      <c r="U55" s="8"/>
      <c r="Y55" s="8"/>
    </row>
    <row r="56" spans="1:25" hidden="1" x14ac:dyDescent="0.25">
      <c r="A56" s="22">
        <f>Dataset!A275</f>
        <v>44776</v>
      </c>
      <c r="B56" s="47">
        <f>Dataset!E275</f>
        <v>1.413404510934857E-3</v>
      </c>
      <c r="C56" s="47">
        <f>Dataset!H275</f>
        <v>-1.9809093708303305E-2</v>
      </c>
      <c r="E56" s="8"/>
      <c r="I56" s="8"/>
      <c r="M56" s="8"/>
      <c r="Q56" s="8"/>
      <c r="U56" s="8"/>
      <c r="Y56" s="8"/>
    </row>
    <row r="57" spans="1:25" hidden="1" x14ac:dyDescent="0.25">
      <c r="A57" s="22">
        <f>Dataset!A276</f>
        <v>44777</v>
      </c>
      <c r="B57" s="47">
        <f>Dataset!E276</f>
        <v>3.9628039280614757E-4</v>
      </c>
      <c r="C57" s="47">
        <f>Dataset!H276</f>
        <v>4.2303664921465867E-2</v>
      </c>
      <c r="E57" s="8"/>
      <c r="I57" s="8"/>
      <c r="M57" s="8"/>
      <c r="Q57" s="8"/>
      <c r="U57" s="8"/>
      <c r="Y57" s="8"/>
    </row>
    <row r="58" spans="1:25" hidden="1" x14ac:dyDescent="0.25">
      <c r="A58" s="22">
        <f>Dataset!A277</f>
        <v>44778</v>
      </c>
      <c r="B58" s="47">
        <f>Dataset!E277</f>
        <v>1.1286804206507295E-3</v>
      </c>
      <c r="C58" s="47">
        <f>Dataset!H277</f>
        <v>-1.788225838858748E-2</v>
      </c>
      <c r="E58" s="8"/>
      <c r="I58" s="8"/>
      <c r="M58" s="8"/>
      <c r="Q58" s="8"/>
      <c r="U58" s="8"/>
      <c r="Y58" s="8"/>
    </row>
    <row r="59" spans="1:25" hidden="1" x14ac:dyDescent="0.25">
      <c r="A59" s="22">
        <f>Dataset!A278</f>
        <v>44781</v>
      </c>
      <c r="B59" s="47">
        <f>Dataset!E278</f>
        <v>4.3361843745604034E-4</v>
      </c>
      <c r="C59" s="47">
        <f>Dataset!H278</f>
        <v>-7.2626841243862428E-3</v>
      </c>
      <c r="E59" s="8"/>
      <c r="I59" s="8"/>
      <c r="M59" s="8"/>
      <c r="Q59" s="8"/>
      <c r="U59" s="8"/>
      <c r="Y59" s="8"/>
    </row>
    <row r="60" spans="1:25" hidden="1" x14ac:dyDescent="0.25">
      <c r="A60" s="22">
        <f>Dataset!A279</f>
        <v>44783</v>
      </c>
      <c r="B60" s="47">
        <f>Dataset!E279</f>
        <v>6.8156945181878648E-3</v>
      </c>
      <c r="C60" s="47">
        <f>Dataset!H279</f>
        <v>7.7279752704790816E-3</v>
      </c>
      <c r="E60" s="8"/>
      <c r="I60" s="8"/>
      <c r="M60" s="8"/>
      <c r="Q60" s="8"/>
      <c r="U60" s="8"/>
      <c r="Y60" s="8"/>
    </row>
    <row r="61" spans="1:25" hidden="1" x14ac:dyDescent="0.25">
      <c r="A61" s="22">
        <f>Dataset!A280</f>
        <v>44784</v>
      </c>
      <c r="B61" s="47">
        <f>Dataset!E280</f>
        <v>-2.0448577209519758E-4</v>
      </c>
      <c r="C61" s="47">
        <f>Dataset!H280</f>
        <v>-3.4049079754601141E-2</v>
      </c>
      <c r="E61" s="8"/>
      <c r="I61" s="8"/>
      <c r="M61" s="8"/>
      <c r="Q61" s="8"/>
      <c r="U61" s="8"/>
      <c r="Y61" s="8"/>
    </row>
    <row r="62" spans="1:25" hidden="1" x14ac:dyDescent="0.25">
      <c r="A62" s="22">
        <f>Dataset!A281</f>
        <v>44785</v>
      </c>
      <c r="B62" s="47">
        <f>Dataset!E281</f>
        <v>7.4544926100950093E-3</v>
      </c>
      <c r="C62" s="47">
        <f>Dataset!H281</f>
        <v>1.0479517307081521E-2</v>
      </c>
      <c r="E62" s="8"/>
      <c r="I62" s="8"/>
      <c r="M62" s="8"/>
      <c r="Q62" s="8"/>
      <c r="U62" s="8"/>
      <c r="Y62" s="8"/>
    </row>
    <row r="63" spans="1:25" hidden="1" x14ac:dyDescent="0.25">
      <c r="A63" s="22">
        <f>Dataset!A282</f>
        <v>44789</v>
      </c>
      <c r="B63" s="47">
        <f>Dataset!E282</f>
        <v>3.0505558850084658E-3</v>
      </c>
      <c r="C63" s="47">
        <f>Dataset!H282</f>
        <v>2.8703121726377567E-2</v>
      </c>
      <c r="E63" s="8"/>
      <c r="I63" s="8"/>
      <c r="M63" s="8"/>
      <c r="Q63" s="8"/>
      <c r="U63" s="8"/>
      <c r="Y63" s="8"/>
    </row>
    <row r="64" spans="1:25" hidden="1" x14ac:dyDescent="0.25">
      <c r="A64" s="22">
        <f>Dataset!A283</f>
        <v>44790</v>
      </c>
      <c r="B64" s="47">
        <f>Dataset!E283</f>
        <v>9.209054593874999E-3</v>
      </c>
      <c r="C64" s="47">
        <f>Dataset!H283</f>
        <v>8.4215885947046987E-2</v>
      </c>
      <c r="E64" s="8"/>
      <c r="I64" s="8"/>
      <c r="M64" s="8"/>
      <c r="Q64" s="8"/>
      <c r="U64" s="8"/>
      <c r="Y64" s="8"/>
    </row>
    <row r="65" spans="1:25" hidden="1" x14ac:dyDescent="0.25">
      <c r="A65" s="22">
        <f>Dataset!A284</f>
        <v>44791</v>
      </c>
      <c r="B65" s="47">
        <f>Dataset!E284</f>
        <v>6.7606436597194008E-3</v>
      </c>
      <c r="C65" s="47">
        <f>Dataset!H284</f>
        <v>-4.4143890297736466E-3</v>
      </c>
      <c r="E65" s="8"/>
      <c r="I65" s="8"/>
      <c r="M65" s="8"/>
      <c r="Q65" s="8"/>
      <c r="U65" s="8"/>
      <c r="Y65" s="8"/>
    </row>
    <row r="66" spans="1:25" hidden="1" x14ac:dyDescent="0.25">
      <c r="A66" s="22">
        <f>Dataset!A285</f>
        <v>44792</v>
      </c>
      <c r="B66" s="47">
        <f>Dataset!E285</f>
        <v>1.6250786328371181E-3</v>
      </c>
      <c r="C66" s="47">
        <f>Dataset!H285</f>
        <v>-2.0377358490565989E-2</v>
      </c>
      <c r="E66" s="8"/>
      <c r="I66" s="8"/>
      <c r="M66" s="8"/>
      <c r="Q66" s="8"/>
      <c r="U66" s="8"/>
      <c r="Y66" s="8"/>
    </row>
    <row r="67" spans="1:25" hidden="1" x14ac:dyDescent="0.25">
      <c r="A67" s="22">
        <f>Dataset!A286</f>
        <v>44795</v>
      </c>
      <c r="B67" s="47">
        <f>Dataset!E286</f>
        <v>-1.1111111111111072E-2</v>
      </c>
      <c r="C67" s="47">
        <f>Dataset!H286</f>
        <v>-3.5246533127889168E-2</v>
      </c>
      <c r="E67" s="8"/>
      <c r="I67" s="8"/>
      <c r="M67" s="8"/>
      <c r="Q67" s="8"/>
      <c r="U67" s="8"/>
      <c r="Y67" s="8"/>
    </row>
    <row r="68" spans="1:25" hidden="1" x14ac:dyDescent="0.25">
      <c r="A68" s="22">
        <f>Dataset!A287</f>
        <v>44796</v>
      </c>
      <c r="B68" s="47">
        <f>Dataset!E287</f>
        <v>-1.606270541474597E-2</v>
      </c>
      <c r="C68" s="47">
        <f>Dataset!H287</f>
        <v>3.493711319624726E-3</v>
      </c>
      <c r="E68" s="8"/>
      <c r="I68" s="8"/>
      <c r="M68" s="8"/>
      <c r="Q68" s="8"/>
      <c r="U68" s="8"/>
      <c r="Y68" s="8"/>
    </row>
    <row r="69" spans="1:25" hidden="1" x14ac:dyDescent="0.25">
      <c r="A69" s="22">
        <f>Dataset!A288</f>
        <v>44797</v>
      </c>
      <c r="B69" s="47">
        <f>Dataset!E288</f>
        <v>5.750032273333483E-3</v>
      </c>
      <c r="C69" s="47">
        <f>Dataset!H288</f>
        <v>8.654133094598615E-3</v>
      </c>
      <c r="E69" s="8"/>
      <c r="I69" s="8"/>
      <c r="M69" s="8"/>
      <c r="Q69" s="8"/>
      <c r="U69" s="8"/>
      <c r="Y69" s="8"/>
    </row>
    <row r="70" spans="1:25" hidden="1" x14ac:dyDescent="0.25">
      <c r="A70" s="22">
        <f>Dataset!A289</f>
        <v>44798</v>
      </c>
      <c r="B70" s="47">
        <f>Dataset!E289</f>
        <v>2.8772976933486571E-3</v>
      </c>
      <c r="C70" s="47">
        <f>Dataset!H289</f>
        <v>-7.1992110453648062E-3</v>
      </c>
      <c r="E70" s="8"/>
      <c r="I70" s="8"/>
      <c r="M70" s="8"/>
      <c r="Q70" s="8"/>
      <c r="U70" s="8"/>
      <c r="Y70" s="8"/>
    </row>
    <row r="71" spans="1:25" hidden="1" x14ac:dyDescent="0.25">
      <c r="A71" s="22">
        <f>Dataset!A290</f>
        <v>44799</v>
      </c>
      <c r="B71" s="47">
        <f>Dataset!E290</f>
        <v>-3.434318655709645E-3</v>
      </c>
      <c r="C71" s="47">
        <f>Dataset!H290</f>
        <v>-4.7680540379457792E-3</v>
      </c>
      <c r="E71" s="8"/>
      <c r="I71" s="8"/>
      <c r="M71" s="8"/>
      <c r="Q71" s="8"/>
      <c r="U71" s="8"/>
      <c r="Y71" s="8"/>
    </row>
    <row r="72" spans="1:25" hidden="1" x14ac:dyDescent="0.25">
      <c r="A72" s="22">
        <f>Dataset!A291</f>
        <v>44802</v>
      </c>
      <c r="B72" s="47">
        <f>Dataset!E291</f>
        <v>2.975250836120269E-3</v>
      </c>
      <c r="C72" s="47">
        <f>Dataset!H291</f>
        <v>-2.4553348637588623E-2</v>
      </c>
      <c r="E72" s="8"/>
      <c r="I72" s="8"/>
      <c r="M72" s="8"/>
      <c r="Q72" s="8"/>
      <c r="U72" s="8"/>
      <c r="Y72" s="8"/>
    </row>
    <row r="73" spans="1:25" hidden="1" x14ac:dyDescent="0.25">
      <c r="A73" s="22">
        <f>Dataset!A292</f>
        <v>44803</v>
      </c>
      <c r="B73" s="47">
        <f>Dataset!E292</f>
        <v>-1.210578826341413E-2</v>
      </c>
      <c r="C73" s="47">
        <f>Dataset!H292</f>
        <v>2.6399263276373652E-2</v>
      </c>
      <c r="E73" s="8"/>
      <c r="I73" s="8"/>
      <c r="M73" s="8"/>
      <c r="Q73" s="8"/>
      <c r="U73" s="8"/>
      <c r="Y73" s="8"/>
    </row>
    <row r="74" spans="1:25" hidden="1" x14ac:dyDescent="0.25">
      <c r="A74" s="22">
        <f>Dataset!A293</f>
        <v>44805</v>
      </c>
      <c r="B74" s="47">
        <f>Dataset!E293</f>
        <v>2.4573076549184059E-2</v>
      </c>
      <c r="C74" s="47">
        <f>Dataset!H293</f>
        <v>-2.3925829927224918E-3</v>
      </c>
      <c r="E74" s="8"/>
      <c r="I74" s="8"/>
      <c r="M74" s="8"/>
      <c r="Q74" s="8"/>
      <c r="U74" s="8"/>
      <c r="Y74" s="8"/>
    </row>
    <row r="75" spans="1:25" hidden="1" x14ac:dyDescent="0.25">
      <c r="A75" s="22">
        <f>Dataset!A294</f>
        <v>44806</v>
      </c>
      <c r="B75" s="47">
        <f>Dataset!E294</f>
        <v>-8.8186303449439007E-3</v>
      </c>
      <c r="C75" s="47">
        <f>Dataset!H294</f>
        <v>-1.7987408813830985E-3</v>
      </c>
      <c r="E75" s="8"/>
      <c r="I75" s="8"/>
      <c r="M75" s="8"/>
      <c r="Q75" s="8"/>
      <c r="U75" s="8"/>
      <c r="Y75" s="8"/>
    </row>
    <row r="76" spans="1:25" hidden="1" x14ac:dyDescent="0.25">
      <c r="A76" s="22">
        <f>Dataset!A295</f>
        <v>44809</v>
      </c>
      <c r="B76" s="47">
        <f>Dataset!E295</f>
        <v>-8.9874972745018766E-4</v>
      </c>
      <c r="C76" s="47">
        <f>Dataset!H295</f>
        <v>-3.0033036339971453E-4</v>
      </c>
      <c r="E76" s="8"/>
      <c r="I76" s="8"/>
      <c r="M76" s="8"/>
      <c r="Q76" s="8"/>
      <c r="U76" s="8"/>
      <c r="Y76" s="8"/>
    </row>
    <row r="77" spans="1:25" hidden="1" x14ac:dyDescent="0.25">
      <c r="A77" s="22">
        <f>Dataset!A296</f>
        <v>44810</v>
      </c>
      <c r="B77" s="47">
        <f>Dataset!E296</f>
        <v>5.6155852451162946E-3</v>
      </c>
      <c r="C77" s="47">
        <f>Dataset!H296</f>
        <v>-3.0042058882440159E-4</v>
      </c>
      <c r="E77" s="8"/>
      <c r="I77" s="8"/>
      <c r="M77" s="8"/>
      <c r="Q77" s="8"/>
      <c r="U77" s="8"/>
      <c r="Y77" s="8"/>
    </row>
    <row r="78" spans="1:25" hidden="1" x14ac:dyDescent="0.25">
      <c r="A78" s="22">
        <f>Dataset!A297</f>
        <v>44811</v>
      </c>
      <c r="B78" s="47">
        <f>Dataset!E297</f>
        <v>1.2597591636893668E-3</v>
      </c>
      <c r="C78" s="47">
        <f>Dataset!H297</f>
        <v>-4.2071521586696248E-3</v>
      </c>
      <c r="E78" s="8"/>
      <c r="I78" s="8"/>
      <c r="M78" s="8"/>
      <c r="Q78" s="8"/>
      <c r="U78" s="8"/>
      <c r="Y78" s="8"/>
    </row>
    <row r="79" spans="1:25" hidden="1" x14ac:dyDescent="0.25">
      <c r="A79" s="22">
        <f>Dataset!A298</f>
        <v>44812</v>
      </c>
      <c r="B79" s="47">
        <f>Dataset!E298</f>
        <v>-4.1762924039046023E-4</v>
      </c>
      <c r="C79" s="47">
        <f>Dataset!H298</f>
        <v>3.460416457096871E-2</v>
      </c>
      <c r="E79" s="8"/>
      <c r="I79" s="8"/>
      <c r="M79" s="8"/>
      <c r="Q79" s="8"/>
      <c r="U79" s="8"/>
      <c r="Y79" s="8"/>
    </row>
    <row r="80" spans="1:25" hidden="1" x14ac:dyDescent="0.25">
      <c r="A80" s="22">
        <f>Dataset!A299</f>
        <v>44813</v>
      </c>
      <c r="B80" s="47">
        <f>Dataset!E299</f>
        <v>7.9435594762113926E-3</v>
      </c>
      <c r="C80" s="47">
        <f>Dataset!H299</f>
        <v>9.431210500729259E-3</v>
      </c>
      <c r="E80" s="8"/>
      <c r="I80" s="8"/>
      <c r="M80" s="8"/>
      <c r="Q80" s="8"/>
      <c r="U80" s="8"/>
      <c r="Y80" s="8"/>
    </row>
    <row r="81" spans="1:25" hidden="1" x14ac:dyDescent="0.25">
      <c r="A81" s="22">
        <f>Dataset!A300</f>
        <v>44816</v>
      </c>
      <c r="B81" s="47">
        <f>Dataset!E300</f>
        <v>1.8731701174272697E-3</v>
      </c>
      <c r="C81" s="47">
        <f>Dataset!H300</f>
        <v>1.0595261028703451E-2</v>
      </c>
      <c r="E81" s="8"/>
      <c r="I81" s="8"/>
      <c r="M81" s="8"/>
      <c r="Q81" s="8"/>
      <c r="U81" s="8"/>
      <c r="Y81" s="8"/>
    </row>
    <row r="82" spans="1:25" hidden="1" x14ac:dyDescent="0.25">
      <c r="A82" s="22">
        <f>Dataset!A301</f>
        <v>44817</v>
      </c>
      <c r="B82" s="47">
        <f>Dataset!E301</f>
        <v>7.0963585991630218E-3</v>
      </c>
      <c r="C82" s="47">
        <f>Dataset!H301</f>
        <v>1.4296606938619671E-3</v>
      </c>
      <c r="E82" s="8"/>
      <c r="I82" s="8"/>
      <c r="M82" s="8"/>
      <c r="Q82" s="8"/>
      <c r="U82" s="8"/>
      <c r="Y82" s="8"/>
    </row>
    <row r="83" spans="1:25" hidden="1" x14ac:dyDescent="0.25">
      <c r="A83" s="22">
        <f>Dataset!A302</f>
        <v>44818</v>
      </c>
      <c r="B83" s="47">
        <f>Dataset!E302</f>
        <v>6.526328926977909E-3</v>
      </c>
      <c r="C83" s="47">
        <f>Dataset!H302</f>
        <v>-6.5670505377368737E-3</v>
      </c>
      <c r="E83" s="8"/>
      <c r="I83" s="8"/>
      <c r="M83" s="8"/>
      <c r="Q83" s="8"/>
      <c r="U83" s="8"/>
      <c r="Y83" s="8"/>
    </row>
    <row r="84" spans="1:25" hidden="1" x14ac:dyDescent="0.25">
      <c r="A84" s="22">
        <f>Dataset!A303</f>
        <v>44819</v>
      </c>
      <c r="B84" s="47">
        <f>Dataset!E303</f>
        <v>-2.7021022665626449E-3</v>
      </c>
      <c r="C84" s="47">
        <f>Dataset!H303</f>
        <v>1.7819505652423961E-2</v>
      </c>
      <c r="E84" s="8"/>
      <c r="I84" s="8"/>
      <c r="M84" s="8"/>
      <c r="Q84" s="8"/>
      <c r="U84" s="8"/>
      <c r="Y84" s="8"/>
    </row>
    <row r="85" spans="1:25" hidden="1" x14ac:dyDescent="0.25">
      <c r="A85" s="22">
        <f>Dataset!A304</f>
        <v>44820</v>
      </c>
      <c r="B85" s="47">
        <f>Dataset!E304</f>
        <v>-3.6263793192767846E-3</v>
      </c>
      <c r="C85" s="47">
        <f>Dataset!H304</f>
        <v>-4.8945783132530174E-3</v>
      </c>
      <c r="E85" s="8"/>
      <c r="I85" s="8"/>
      <c r="M85" s="8"/>
      <c r="Q85" s="8"/>
      <c r="U85" s="8"/>
      <c r="Y85" s="8"/>
    </row>
    <row r="86" spans="1:25" hidden="1" x14ac:dyDescent="0.25">
      <c r="A86" s="22">
        <f>Dataset!A305</f>
        <v>44823</v>
      </c>
      <c r="B86" s="47">
        <f>Dataset!E305</f>
        <v>-2.1754276503925585E-2</v>
      </c>
      <c r="C86" s="47">
        <f>Dataset!H305</f>
        <v>3.7930382141505792E-2</v>
      </c>
      <c r="E86" s="8"/>
      <c r="I86" s="8"/>
      <c r="M86" s="8"/>
      <c r="Q86" s="8"/>
      <c r="U86" s="8"/>
      <c r="Y86" s="8"/>
    </row>
    <row r="87" spans="1:25" hidden="1" x14ac:dyDescent="0.25">
      <c r="A87" s="22">
        <f>Dataset!A306</f>
        <v>44824</v>
      </c>
      <c r="B87" s="47">
        <f>Dataset!E306</f>
        <v>4.2307569653354804E-3</v>
      </c>
      <c r="C87" s="47">
        <f>Dataset!H306</f>
        <v>3.4630456575228674E-3</v>
      </c>
      <c r="E87" s="8"/>
      <c r="I87" s="8"/>
      <c r="M87" s="8"/>
      <c r="Q87" s="8"/>
      <c r="U87" s="8"/>
      <c r="Y87" s="8"/>
    </row>
    <row r="88" spans="1:25" hidden="1" x14ac:dyDescent="0.25">
      <c r="A88" s="22">
        <f>Dataset!A307</f>
        <v>44825</v>
      </c>
      <c r="B88" s="47">
        <f>Dataset!E307</f>
        <v>1.1389738649956183E-2</v>
      </c>
      <c r="C88" s="47">
        <f>Dataset!H307</f>
        <v>-2.1069839251657285E-2</v>
      </c>
      <c r="E88" s="8"/>
      <c r="I88" s="8"/>
      <c r="M88" s="8"/>
      <c r="Q88" s="8"/>
      <c r="U88" s="8"/>
      <c r="Y88" s="8"/>
    </row>
    <row r="89" spans="1:25" hidden="1" x14ac:dyDescent="0.25">
      <c r="A89" s="22">
        <f>Dataset!A308</f>
        <v>44826</v>
      </c>
      <c r="B89" s="47">
        <f>Dataset!E308</f>
        <v>-7.1849456288529678E-3</v>
      </c>
      <c r="C89" s="47">
        <f>Dataset!H308</f>
        <v>-1.020502829576031E-2</v>
      </c>
      <c r="E89" s="8"/>
      <c r="I89" s="8"/>
      <c r="M89" s="8"/>
      <c r="Q89" s="8"/>
      <c r="U89" s="8"/>
      <c r="Y89" s="8"/>
    </row>
    <row r="90" spans="1:25" hidden="1" x14ac:dyDescent="0.25">
      <c r="A90" s="22">
        <f>Dataset!A309</f>
        <v>44827</v>
      </c>
      <c r="B90" s="47">
        <f>Dataset!E309</f>
        <v>-2.466780166665794E-3</v>
      </c>
      <c r="C90" s="47">
        <f>Dataset!H309</f>
        <v>-4.8739338269754295E-3</v>
      </c>
      <c r="E90" s="8"/>
      <c r="I90" s="8"/>
      <c r="M90" s="8"/>
      <c r="Q90" s="8"/>
      <c r="U90" s="8"/>
      <c r="Y90" s="8"/>
    </row>
    <row r="91" spans="1:25" hidden="1" x14ac:dyDescent="0.25">
      <c r="A91" s="22">
        <f>Dataset!A310</f>
        <v>44830</v>
      </c>
      <c r="B91" s="47">
        <f>Dataset!E310</f>
        <v>-1.8155590664348686E-2</v>
      </c>
      <c r="C91" s="47">
        <f>Dataset!H310</f>
        <v>-2.8915889611001222E-2</v>
      </c>
      <c r="E91" s="8"/>
      <c r="I91" s="8"/>
      <c r="M91" s="8"/>
      <c r="Q91" s="8"/>
      <c r="U91" s="8"/>
      <c r="Y91" s="8"/>
    </row>
    <row r="92" spans="1:25" hidden="1" x14ac:dyDescent="0.25">
      <c r="A92" s="22">
        <f>Dataset!A311</f>
        <v>44831</v>
      </c>
      <c r="B92" s="47">
        <f>Dataset!E311</f>
        <v>-2.1004536721613176E-2</v>
      </c>
      <c r="C92" s="47">
        <f>Dataset!H311</f>
        <v>-4.7526673132881614E-3</v>
      </c>
      <c r="E92" s="8"/>
      <c r="I92" s="8"/>
      <c r="M92" s="8"/>
      <c r="Q92" s="8"/>
      <c r="U92" s="8"/>
      <c r="Y92" s="8"/>
    </row>
    <row r="93" spans="1:25" hidden="1" x14ac:dyDescent="0.25">
      <c r="A93" s="22">
        <f>Dataset!A312</f>
        <v>44832</v>
      </c>
      <c r="B93" s="47">
        <f>Dataset!E312</f>
        <v>-1.9789570896144859E-4</v>
      </c>
      <c r="C93" s="47">
        <f>Dataset!H312</f>
        <v>-2.2414969301237653E-3</v>
      </c>
      <c r="E93" s="8"/>
      <c r="I93" s="8"/>
      <c r="M93" s="8"/>
      <c r="Q93" s="8"/>
      <c r="U93" s="8"/>
      <c r="Y93" s="8"/>
    </row>
    <row r="94" spans="1:25" hidden="1" x14ac:dyDescent="0.25">
      <c r="A94" s="22">
        <f>Dataset!A313</f>
        <v>44833</v>
      </c>
      <c r="B94" s="47">
        <f>Dataset!E313</f>
        <v>-7.7304566797522511E-3</v>
      </c>
      <c r="C94" s="47">
        <f>Dataset!H313</f>
        <v>-1.1134987302207411E-2</v>
      </c>
      <c r="E94" s="8"/>
      <c r="I94" s="8"/>
      <c r="M94" s="8"/>
      <c r="Q94" s="8"/>
      <c r="U94" s="8"/>
      <c r="Y94" s="8"/>
    </row>
    <row r="95" spans="1:25" hidden="1" x14ac:dyDescent="0.25">
      <c r="A95" s="22">
        <f>Dataset!A314</f>
        <v>44834</v>
      </c>
      <c r="B95" s="47">
        <f>Dataset!E314</f>
        <v>-2.0501795292344749E-3</v>
      </c>
      <c r="C95" s="47">
        <f>Dataset!H314</f>
        <v>3.3484788621098271E-2</v>
      </c>
      <c r="E95" s="8"/>
      <c r="I95" s="8"/>
      <c r="M95" s="8"/>
      <c r="Q95" s="8"/>
      <c r="U95" s="8"/>
      <c r="Y95" s="8"/>
    </row>
    <row r="96" spans="1:25" hidden="1" x14ac:dyDescent="0.25">
      <c r="A96" s="22">
        <f>Dataset!A315</f>
        <v>44837</v>
      </c>
      <c r="B96" s="47">
        <f>Dataset!E315</f>
        <v>1.5807708964920009E-2</v>
      </c>
      <c r="C96" s="47">
        <f>Dataset!H315</f>
        <v>-2.1791073305935105E-2</v>
      </c>
      <c r="E96" s="8"/>
      <c r="I96" s="8"/>
      <c r="M96" s="8"/>
      <c r="Q96" s="8"/>
      <c r="U96" s="8"/>
      <c r="Y96" s="8"/>
    </row>
    <row r="97" spans="1:25" hidden="1" x14ac:dyDescent="0.25">
      <c r="A97" s="22">
        <f>Dataset!A316</f>
        <v>44838</v>
      </c>
      <c r="B97" s="47">
        <f>Dataset!E316</f>
        <v>-1.3987504714428667E-2</v>
      </c>
      <c r="C97" s="47">
        <f>Dataset!H316</f>
        <v>8.7933561309232466E-3</v>
      </c>
      <c r="E97" s="8"/>
      <c r="I97" s="8"/>
      <c r="M97" s="8"/>
      <c r="Q97" s="8"/>
      <c r="U97" s="8"/>
      <c r="Y97" s="8"/>
    </row>
    <row r="98" spans="1:25" hidden="1" x14ac:dyDescent="0.25">
      <c r="A98" s="22">
        <f>Dataset!A317</f>
        <v>44840</v>
      </c>
      <c r="B98" s="47">
        <f>Dataset!E317</f>
        <v>2.3621043295082744E-2</v>
      </c>
      <c r="C98" s="47">
        <f>Dataset!H317</f>
        <v>1.8401937046006456E-3</v>
      </c>
      <c r="E98" s="8"/>
      <c r="I98" s="8"/>
      <c r="M98" s="8"/>
      <c r="Q98" s="8"/>
      <c r="U98" s="8"/>
      <c r="Y98" s="8"/>
    </row>
    <row r="99" spans="1:25" hidden="1" x14ac:dyDescent="0.25">
      <c r="A99" s="22">
        <f>Dataset!A318</f>
        <v>44841</v>
      </c>
      <c r="B99" s="47">
        <f>Dataset!E318</f>
        <v>5.2748157334647772E-3</v>
      </c>
      <c r="C99" s="47">
        <f>Dataset!H318</f>
        <v>1.8368136117554723E-3</v>
      </c>
      <c r="E99" s="8"/>
      <c r="I99" s="8"/>
      <c r="M99" s="8"/>
      <c r="Q99" s="8"/>
      <c r="U99" s="8"/>
      <c r="Y99" s="8"/>
    </row>
    <row r="100" spans="1:25" hidden="1" x14ac:dyDescent="0.25">
      <c r="A100" s="22">
        <f>Dataset!A319</f>
        <v>44844</v>
      </c>
      <c r="B100" s="47">
        <f>Dataset!E319</f>
        <v>-1.3629629629628992E-3</v>
      </c>
      <c r="C100" s="47">
        <f>Dataset!H319</f>
        <v>-1.4088584386760528E-2</v>
      </c>
      <c r="E100" s="8"/>
      <c r="I100" s="8"/>
      <c r="M100" s="8"/>
      <c r="Q100" s="8"/>
      <c r="U100" s="8"/>
      <c r="Y100" s="8"/>
    </row>
    <row r="101" spans="1:25" hidden="1" x14ac:dyDescent="0.25">
      <c r="A101" s="22">
        <f>Dataset!A320</f>
        <v>44845</v>
      </c>
      <c r="B101" s="47">
        <f>Dataset!E320</f>
        <v>-5.5941566148069999E-3</v>
      </c>
      <c r="C101" s="47">
        <f>Dataset!H320</f>
        <v>-1.5464422041695292E-2</v>
      </c>
      <c r="E101" s="8"/>
      <c r="I101" s="8"/>
      <c r="M101" s="8"/>
      <c r="Q101" s="8"/>
      <c r="U101" s="8"/>
      <c r="Y101" s="8"/>
    </row>
    <row r="102" spans="1:25" hidden="1" x14ac:dyDescent="0.25">
      <c r="A102" s="22">
        <f>Dataset!A321</f>
        <v>44846</v>
      </c>
      <c r="B102" s="47">
        <f>Dataset!E321</f>
        <v>-1.5509805517129216E-2</v>
      </c>
      <c r="C102" s="47">
        <f>Dataset!H321</f>
        <v>-1.0537826821751639E-2</v>
      </c>
      <c r="E102" s="8"/>
      <c r="I102" s="8"/>
      <c r="M102" s="8"/>
      <c r="Q102" s="8"/>
      <c r="U102" s="8"/>
      <c r="Y102" s="8"/>
    </row>
    <row r="103" spans="1:25" hidden="1" x14ac:dyDescent="0.25">
      <c r="A103" s="22">
        <f>Dataset!A322</f>
        <v>44847</v>
      </c>
      <c r="B103" s="47">
        <f>Dataset!E322</f>
        <v>7.7255394652737674E-3</v>
      </c>
      <c r="C103" s="47">
        <f>Dataset!H322</f>
        <v>1.2860444087209988E-2</v>
      </c>
      <c r="E103" s="8"/>
      <c r="I103" s="8"/>
      <c r="M103" s="8"/>
      <c r="Q103" s="8"/>
      <c r="U103" s="8"/>
      <c r="Y103" s="8"/>
    </row>
    <row r="104" spans="1:25" hidden="1" x14ac:dyDescent="0.25">
      <c r="A104" s="22">
        <f>Dataset!A323</f>
        <v>44848</v>
      </c>
      <c r="B104" s="47">
        <f>Dataset!E323</f>
        <v>-6.9499885169347353E-3</v>
      </c>
      <c r="C104" s="47">
        <f>Dataset!H323</f>
        <v>7.7373276460668272E-3</v>
      </c>
      <c r="E104" s="8"/>
      <c r="I104" s="8"/>
      <c r="M104" s="8"/>
      <c r="Q104" s="8"/>
      <c r="U104" s="8"/>
      <c r="Y104" s="8"/>
    </row>
    <row r="105" spans="1:25" hidden="1" x14ac:dyDescent="0.25">
      <c r="A105" s="22">
        <f>Dataset!A324</f>
        <v>44851</v>
      </c>
      <c r="B105" s="47">
        <f>Dataset!E324</f>
        <v>6.4700149223322345E-3</v>
      </c>
      <c r="C105" s="47">
        <f>Dataset!H324</f>
        <v>2.4904025986809852E-2</v>
      </c>
      <c r="E105" s="8"/>
      <c r="I105" s="8"/>
      <c r="M105" s="8"/>
      <c r="Q105" s="8"/>
      <c r="U105" s="8"/>
      <c r="Y105" s="8"/>
    </row>
    <row r="106" spans="1:25" hidden="1" x14ac:dyDescent="0.25">
      <c r="A106" s="22">
        <f>Dataset!A325</f>
        <v>44852</v>
      </c>
      <c r="B106" s="47">
        <f>Dataset!E325</f>
        <v>6.5925528771979547E-3</v>
      </c>
      <c r="C106" s="47">
        <f>Dataset!H325</f>
        <v>3.3615059546676651E-3</v>
      </c>
      <c r="E106" s="8"/>
      <c r="I106" s="8"/>
      <c r="M106" s="8"/>
      <c r="Q106" s="8"/>
      <c r="U106" s="8"/>
      <c r="Y106" s="8"/>
    </row>
    <row r="107" spans="1:25" hidden="1" x14ac:dyDescent="0.25">
      <c r="A107" s="22">
        <f>Dataset!A326</f>
        <v>44853</v>
      </c>
      <c r="B107" s="47">
        <f>Dataset!E326</f>
        <v>1.0381168234712135E-2</v>
      </c>
      <c r="C107" s="47">
        <f>Dataset!H326</f>
        <v>-2.1250119651574639E-2</v>
      </c>
      <c r="E107" s="8"/>
      <c r="I107" s="8"/>
      <c r="M107" s="8"/>
      <c r="Q107" s="8"/>
      <c r="U107" s="8"/>
      <c r="Y107" s="8"/>
    </row>
    <row r="108" spans="1:25" hidden="1" x14ac:dyDescent="0.25">
      <c r="A108" s="22">
        <f>Dataset!A327</f>
        <v>44854</v>
      </c>
      <c r="B108" s="47">
        <f>Dataset!E327</f>
        <v>1.0597266228073998E-3</v>
      </c>
      <c r="C108" s="47">
        <f>Dataset!H327</f>
        <v>-8.8997555012224616E-3</v>
      </c>
      <c r="E108" s="8"/>
      <c r="I108" s="8"/>
      <c r="M108" s="8"/>
      <c r="Q108" s="8"/>
      <c r="U108" s="8"/>
      <c r="Y108" s="8"/>
    </row>
    <row r="109" spans="1:25" hidden="1" x14ac:dyDescent="0.25">
      <c r="A109" s="22">
        <f>Dataset!A328</f>
        <v>44855</v>
      </c>
      <c r="B109" s="47">
        <f>Dataset!E328</f>
        <v>3.2456715423387905E-3</v>
      </c>
      <c r="C109" s="47">
        <f>Dataset!H328</f>
        <v>-9.0783501085454077E-3</v>
      </c>
      <c r="E109" s="8"/>
      <c r="I109" s="8"/>
      <c r="M109" s="8"/>
      <c r="Q109" s="8"/>
      <c r="U109" s="8"/>
      <c r="Y109" s="8"/>
    </row>
    <row r="110" spans="1:25" hidden="1" x14ac:dyDescent="0.25">
      <c r="A110" s="22">
        <f>Dataset!A329</f>
        <v>44858</v>
      </c>
      <c r="B110" s="47">
        <f>Dataset!E329</f>
        <v>-1.880041564451651E-3</v>
      </c>
      <c r="C110" s="47">
        <f>Dataset!H329</f>
        <v>1.5634335789683318E-2</v>
      </c>
      <c r="E110" s="8"/>
      <c r="I110" s="8"/>
      <c r="M110" s="8"/>
      <c r="Q110" s="8"/>
      <c r="U110" s="8"/>
      <c r="Y110" s="8"/>
    </row>
    <row r="111" spans="1:25" hidden="1" x14ac:dyDescent="0.25">
      <c r="A111" s="22">
        <f>Dataset!A330</f>
        <v>44859</v>
      </c>
      <c r="B111" s="47">
        <f>Dataset!E330</f>
        <v>7.6201924366907647E-3</v>
      </c>
      <c r="C111" s="47">
        <f>Dataset!H330</f>
        <v>-6.8634179821547292E-4</v>
      </c>
      <c r="E111" s="8"/>
      <c r="I111" s="8"/>
      <c r="M111" s="8"/>
      <c r="Q111" s="8"/>
      <c r="U111" s="8"/>
      <c r="Y111" s="8"/>
    </row>
    <row r="112" spans="1:25" hidden="1" x14ac:dyDescent="0.25">
      <c r="A112" s="22">
        <f>Dataset!A331</f>
        <v>44861</v>
      </c>
      <c r="B112" s="47">
        <f>Dataset!E331</f>
        <v>-2.5403824953267318E-3</v>
      </c>
      <c r="C112" s="47">
        <f>Dataset!H331</f>
        <v>1.4717425431711062E-2</v>
      </c>
      <c r="E112" s="8"/>
      <c r="I112" s="8"/>
      <c r="M112" s="8"/>
      <c r="Q112" s="8"/>
      <c r="U112" s="8"/>
      <c r="Y112" s="8"/>
    </row>
    <row r="113" spans="1:25" hidden="1" x14ac:dyDescent="0.25">
      <c r="A113" s="22">
        <f>Dataset!A332</f>
        <v>44862</v>
      </c>
      <c r="B113" s="47">
        <f>Dataset!E332</f>
        <v>5.7344225532596216E-3</v>
      </c>
      <c r="C113" s="47">
        <f>Dataset!H332</f>
        <v>-4.9313479017599748E-3</v>
      </c>
      <c r="E113" s="8"/>
      <c r="I113" s="8"/>
      <c r="M113" s="8"/>
      <c r="Q113" s="8"/>
      <c r="U113" s="8"/>
      <c r="Y113" s="8"/>
    </row>
    <row r="114" spans="1:25" hidden="1" x14ac:dyDescent="0.25">
      <c r="A114" s="22">
        <f>Dataset!A333</f>
        <v>44865</v>
      </c>
      <c r="B114" s="47">
        <f>Dataset!E333</f>
        <v>6.7422649763204667E-4</v>
      </c>
      <c r="C114" s="47">
        <f>Dataset!H333</f>
        <v>3.4982023127005935E-3</v>
      </c>
      <c r="E114" s="8"/>
      <c r="I114" s="8"/>
      <c r="M114" s="8"/>
      <c r="Q114" s="8"/>
      <c r="U114" s="8"/>
      <c r="Y114" s="8"/>
    </row>
    <row r="115" spans="1:25" hidden="1" x14ac:dyDescent="0.25">
      <c r="A115" s="22">
        <f>Dataset!A334</f>
        <v>44866</v>
      </c>
      <c r="B115" s="47">
        <f>Dataset!E334</f>
        <v>1.2716787538927576E-2</v>
      </c>
      <c r="C115" s="47">
        <f>Dataset!H334</f>
        <v>-4.2606758981311721E-3</v>
      </c>
      <c r="E115" s="8"/>
      <c r="I115" s="8"/>
      <c r="M115" s="8"/>
      <c r="Q115" s="8"/>
      <c r="U115" s="8"/>
      <c r="Y115" s="8"/>
    </row>
    <row r="116" spans="1:25" hidden="1" x14ac:dyDescent="0.25">
      <c r="A116" s="22">
        <f>Dataset!A335</f>
        <v>44867</v>
      </c>
      <c r="B116" s="47">
        <f>Dataset!E335</f>
        <v>7.7951468924184475E-3</v>
      </c>
      <c r="C116" s="47">
        <f>Dataset!H335</f>
        <v>1.8477098123117486E-3</v>
      </c>
      <c r="E116" s="8"/>
      <c r="I116" s="8"/>
      <c r="M116" s="8"/>
      <c r="Q116" s="8"/>
      <c r="U116" s="8"/>
      <c r="Y116" s="8"/>
    </row>
    <row r="117" spans="1:25" hidden="1" x14ac:dyDescent="0.25">
      <c r="A117" s="22">
        <f>Dataset!A336</f>
        <v>44868</v>
      </c>
      <c r="B117" s="47">
        <f>Dataset!E336</f>
        <v>-2.9889383291055172E-3</v>
      </c>
      <c r="C117" s="47">
        <f>Dataset!H336</f>
        <v>1.3104251601630645E-2</v>
      </c>
      <c r="E117" s="8"/>
      <c r="I117" s="8"/>
      <c r="M117" s="8"/>
      <c r="Q117" s="8"/>
      <c r="U117" s="8"/>
      <c r="Y117" s="8"/>
    </row>
    <row r="118" spans="1:25" hidden="1" x14ac:dyDescent="0.25">
      <c r="A118" s="22">
        <f>Dataset!A337</f>
        <v>44869</v>
      </c>
      <c r="B118" s="47">
        <f>Dataset!E337</f>
        <v>-7.6120562457959728E-4</v>
      </c>
      <c r="C118" s="47">
        <f>Dataset!H337</f>
        <v>2.4432308134521463E-2</v>
      </c>
      <c r="E118" s="8"/>
      <c r="I118" s="8"/>
      <c r="M118" s="8"/>
      <c r="Q118" s="8"/>
      <c r="U118" s="8"/>
      <c r="Y118" s="8"/>
    </row>
    <row r="119" spans="1:25" hidden="1" x14ac:dyDescent="0.25">
      <c r="A119" s="22">
        <f>Dataset!A338</f>
        <v>44872</v>
      </c>
      <c r="B119" s="47">
        <f>Dataset!E338</f>
        <v>2.7340794657066958E-3</v>
      </c>
      <c r="C119" s="47">
        <f>Dataset!H338</f>
        <v>2.6094276094275948E-2</v>
      </c>
      <c r="E119" s="8"/>
      <c r="I119" s="8"/>
      <c r="M119" s="8"/>
      <c r="Q119" s="8"/>
      <c r="U119" s="8"/>
      <c r="Y119" s="8"/>
    </row>
    <row r="120" spans="1:25" hidden="1" x14ac:dyDescent="0.25">
      <c r="A120" s="22">
        <f>Dataset!A339</f>
        <v>44874</v>
      </c>
      <c r="B120" s="47">
        <f>Dataset!E339</f>
        <v>5.2451100276305063E-3</v>
      </c>
      <c r="C120" s="47">
        <f>Dataset!H339</f>
        <v>-1.3307811503053379E-2</v>
      </c>
      <c r="E120" s="8"/>
      <c r="I120" s="8"/>
      <c r="M120" s="8"/>
      <c r="Q120" s="8"/>
      <c r="U120" s="8"/>
      <c r="Y120" s="8"/>
    </row>
    <row r="121" spans="1:25" hidden="1" x14ac:dyDescent="0.25">
      <c r="A121" s="22">
        <f>Dataset!A340</f>
        <v>44875</v>
      </c>
      <c r="B121" s="47">
        <f>Dataset!E340</f>
        <v>-3.0229777365972099E-3</v>
      </c>
      <c r="C121" s="47">
        <f>Dataset!H340</f>
        <v>-9.2378752886834725E-4</v>
      </c>
      <c r="E121" s="8"/>
      <c r="I121" s="8"/>
      <c r="M121" s="8"/>
      <c r="Q121" s="8"/>
      <c r="U121" s="8"/>
      <c r="Y121" s="8"/>
    </row>
    <row r="122" spans="1:25" hidden="1" x14ac:dyDescent="0.25">
      <c r="A122" s="22">
        <f>Dataset!A341</f>
        <v>44876</v>
      </c>
      <c r="B122" s="47">
        <f>Dataset!E341</f>
        <v>-8.0736021764977739E-3</v>
      </c>
      <c r="C122" s="47">
        <f>Dataset!H341</f>
        <v>4.0684234858992196E-2</v>
      </c>
      <c r="E122" s="8"/>
      <c r="I122" s="8"/>
      <c r="M122" s="8"/>
      <c r="Q122" s="8"/>
      <c r="U122" s="8"/>
      <c r="Y122" s="8"/>
    </row>
    <row r="123" spans="1:25" hidden="1" x14ac:dyDescent="0.25">
      <c r="A123" s="22">
        <f>Dataset!A342</f>
        <v>44879</v>
      </c>
      <c r="B123" s="47">
        <f>Dataset!E342</f>
        <v>1.4729282693354717E-2</v>
      </c>
      <c r="C123" s="47">
        <f>Dataset!H342</f>
        <v>8.2629942247889332E-3</v>
      </c>
      <c r="E123" s="8"/>
      <c r="I123" s="8"/>
      <c r="M123" s="8"/>
      <c r="Q123" s="8"/>
      <c r="U123" s="8"/>
      <c r="Y123" s="8"/>
    </row>
    <row r="124" spans="1:25" hidden="1" x14ac:dyDescent="0.25">
      <c r="A124" s="22">
        <f>Dataset!A343</f>
        <v>44880</v>
      </c>
      <c r="B124" s="47">
        <f>Dataset!E343</f>
        <v>-1.6506587159936803E-4</v>
      </c>
      <c r="C124" s="47">
        <f>Dataset!H343</f>
        <v>-1.7448008459640452E-2</v>
      </c>
      <c r="E124" s="8"/>
      <c r="I124" s="8"/>
      <c r="M124" s="8"/>
      <c r="Q124" s="8"/>
      <c r="U124" s="8"/>
      <c r="Y124" s="8"/>
    </row>
    <row r="125" spans="1:25" hidden="1" x14ac:dyDescent="0.25">
      <c r="A125" s="22">
        <f>Dataset!A344</f>
        <v>44881</v>
      </c>
      <c r="B125" s="47">
        <f>Dataset!E344</f>
        <v>3.1780426146623686E-3</v>
      </c>
      <c r="C125" s="47">
        <f>Dataset!H344</f>
        <v>-1.3183856502242186E-2</v>
      </c>
      <c r="E125" s="8"/>
      <c r="I125" s="8"/>
      <c r="M125" s="8"/>
      <c r="Q125" s="8"/>
      <c r="U125" s="8"/>
      <c r="Y125" s="8"/>
    </row>
    <row r="126" spans="1:25" hidden="1" x14ac:dyDescent="0.25">
      <c r="A126" s="22">
        <f>Dataset!A345</f>
        <v>44882</v>
      </c>
      <c r="B126" s="47">
        <f>Dataset!E345</f>
        <v>-1.7537002561122117E-3</v>
      </c>
      <c r="C126" s="47">
        <f>Dataset!H345</f>
        <v>-9.2701990366264031E-3</v>
      </c>
      <c r="E126" s="8"/>
      <c r="I126" s="8"/>
      <c r="M126" s="8"/>
      <c r="Q126" s="8"/>
      <c r="U126" s="8"/>
      <c r="Y126" s="8"/>
    </row>
    <row r="127" spans="1:25" hidden="1" x14ac:dyDescent="0.25">
      <c r="A127" s="22">
        <f>Dataset!A346</f>
        <v>44883</v>
      </c>
      <c r="B127" s="47">
        <f>Dataset!E346</f>
        <v>-4.4048324360526081E-3</v>
      </c>
      <c r="C127" s="47">
        <f>Dataset!H346</f>
        <v>-7.9809191817262759E-3</v>
      </c>
      <c r="E127" s="8"/>
      <c r="I127" s="8"/>
      <c r="M127" s="8"/>
      <c r="Q127" s="8"/>
      <c r="U127" s="8"/>
      <c r="Y127" s="8"/>
    </row>
    <row r="128" spans="1:25" hidden="1" x14ac:dyDescent="0.25">
      <c r="A128" s="22">
        <f>Dataset!A347</f>
        <v>44886</v>
      </c>
      <c r="B128" s="47">
        <f>Dataset!E347</f>
        <v>-2.949547218628723E-3</v>
      </c>
      <c r="C128" s="47">
        <f>Dataset!H347</f>
        <v>-1.830959866839299E-2</v>
      </c>
      <c r="E128" s="8"/>
      <c r="I128" s="8"/>
      <c r="M128" s="8"/>
      <c r="Q128" s="8"/>
      <c r="U128" s="8"/>
      <c r="Y128" s="8"/>
    </row>
    <row r="129" spans="1:25" hidden="1" x14ac:dyDescent="0.25">
      <c r="A129" s="22">
        <f>Dataset!A348</f>
        <v>44887</v>
      </c>
      <c r="B129" s="47">
        <f>Dataset!E348</f>
        <v>-7.105044633589408E-3</v>
      </c>
      <c r="C129" s="47">
        <f>Dataset!H348</f>
        <v>-9.5139412207987384E-3</v>
      </c>
      <c r="E129" s="8"/>
      <c r="I129" s="8"/>
      <c r="M129" s="8"/>
      <c r="Q129" s="8"/>
      <c r="U129" s="8"/>
      <c r="Y129" s="8"/>
    </row>
    <row r="130" spans="1:25" hidden="1" x14ac:dyDescent="0.25">
      <c r="A130" s="22">
        <f>Dataset!A349</f>
        <v>44888</v>
      </c>
      <c r="B130" s="47">
        <f>Dataset!E349</f>
        <v>4.1607644097831908E-3</v>
      </c>
      <c r="C130" s="47">
        <f>Dataset!H349</f>
        <v>-3.3285782215881632E-3</v>
      </c>
      <c r="E130" s="8"/>
      <c r="I130" s="8"/>
      <c r="M130" s="8"/>
      <c r="Q130" s="8"/>
      <c r="U130" s="8"/>
      <c r="Y130" s="8"/>
    </row>
    <row r="131" spans="1:25" hidden="1" x14ac:dyDescent="0.25">
      <c r="A131" s="22">
        <f>Dataset!A350</f>
        <v>44889</v>
      </c>
      <c r="B131" s="47">
        <f>Dataset!E350</f>
        <v>1.5720405815509153E-3</v>
      </c>
      <c r="C131" s="47">
        <f>Dataset!H350</f>
        <v>-9.1603053435113102E-3</v>
      </c>
      <c r="E131" s="8"/>
      <c r="I131" s="8"/>
      <c r="M131" s="8"/>
      <c r="Q131" s="8"/>
      <c r="U131" s="8"/>
      <c r="Y131" s="8"/>
    </row>
    <row r="132" spans="1:25" hidden="1" x14ac:dyDescent="0.25">
      <c r="A132" s="22">
        <f>Dataset!A351</f>
        <v>44890</v>
      </c>
      <c r="B132" s="47">
        <f>Dataset!E351</f>
        <v>9.7396691422957371E-3</v>
      </c>
      <c r="C132" s="47">
        <f>Dataset!H351</f>
        <v>7.993066255778114E-3</v>
      </c>
      <c r="E132" s="8"/>
      <c r="I132" s="8"/>
      <c r="M132" s="8"/>
      <c r="Q132" s="8"/>
      <c r="U132" s="8"/>
      <c r="Y132" s="8"/>
    </row>
    <row r="133" spans="1:25" hidden="1" x14ac:dyDescent="0.25">
      <c r="A133" s="22">
        <f>Dataset!A352</f>
        <v>44893</v>
      </c>
      <c r="B133" s="47">
        <f>Dataset!E352</f>
        <v>2.3522387445118476E-3</v>
      </c>
      <c r="C133" s="47">
        <f>Dataset!H352</f>
        <v>9.171682430495709E-3</v>
      </c>
      <c r="E133" s="8"/>
      <c r="I133" s="8"/>
      <c r="M133" s="8"/>
      <c r="Q133" s="8"/>
      <c r="U133" s="8"/>
      <c r="Y133" s="8"/>
    </row>
    <row r="134" spans="1:25" hidden="1" x14ac:dyDescent="0.25">
      <c r="A134" s="22">
        <f>Dataset!A353</f>
        <v>44894</v>
      </c>
      <c r="B134" s="47">
        <f>Dataset!E353</f>
        <v>3.0142754441819797E-3</v>
      </c>
      <c r="C134" s="47">
        <f>Dataset!H353</f>
        <v>-8.9936571049891167E-3</v>
      </c>
      <c r="E134" s="8"/>
      <c r="I134" s="8"/>
      <c r="M134" s="8"/>
      <c r="Q134" s="8"/>
      <c r="U134" s="8"/>
      <c r="Y134" s="8"/>
    </row>
    <row r="135" spans="1:25" hidden="1" x14ac:dyDescent="0.25">
      <c r="A135" s="22">
        <f>Dataset!A354</f>
        <v>44895</v>
      </c>
      <c r="B135" s="47">
        <f>Dataset!E354</f>
        <v>2.3191878234960495E-3</v>
      </c>
      <c r="C135" s="47">
        <f>Dataset!H354</f>
        <v>7.7378677875430402E-3</v>
      </c>
      <c r="E135" s="8"/>
      <c r="I135" s="8"/>
      <c r="M135" s="8"/>
      <c r="Q135" s="8"/>
      <c r="U135" s="8"/>
      <c r="Y135" s="8"/>
    </row>
    <row r="136" spans="1:25" hidden="1" x14ac:dyDescent="0.25">
      <c r="A136" s="22">
        <f>Dataset!A355</f>
        <v>44896</v>
      </c>
      <c r="B136" s="47">
        <f>Dataset!E355</f>
        <v>8.9437123301663313E-3</v>
      </c>
      <c r="C136" s="47">
        <f>Dataset!H355</f>
        <v>-5.1189686226182918E-3</v>
      </c>
      <c r="E136" s="8"/>
      <c r="I136" s="8"/>
      <c r="M136" s="8"/>
      <c r="Q136" s="8"/>
      <c r="U136" s="8"/>
      <c r="Y136" s="8"/>
    </row>
    <row r="137" spans="1:25" hidden="1" x14ac:dyDescent="0.25">
      <c r="A137" s="22">
        <f>Dataset!A356</f>
        <v>44897</v>
      </c>
      <c r="B137" s="47">
        <f>Dataset!E356</f>
        <v>3.4374351367634226E-3</v>
      </c>
      <c r="C137" s="47">
        <f>Dataset!H356</f>
        <v>2.210576464983327E-2</v>
      </c>
      <c r="E137" s="8"/>
      <c r="I137" s="8"/>
      <c r="M137" s="8"/>
      <c r="Q137" s="8"/>
      <c r="U137" s="8"/>
      <c r="Y137" s="8"/>
    </row>
    <row r="138" spans="1:25" hidden="1" x14ac:dyDescent="0.25">
      <c r="A138" s="22">
        <f>Dataset!A357</f>
        <v>44900</v>
      </c>
      <c r="B138" s="47">
        <f>Dataset!E357</f>
        <v>-3.6375561273396251E-3</v>
      </c>
      <c r="C138" s="47">
        <f>Dataset!H357</f>
        <v>-1.0813834250023469E-2</v>
      </c>
      <c r="E138" s="8"/>
      <c r="I138" s="8"/>
      <c r="M138" s="8"/>
      <c r="Q138" s="8"/>
      <c r="U138" s="8"/>
      <c r="Y138" s="8"/>
    </row>
    <row r="139" spans="1:25" hidden="1" x14ac:dyDescent="0.25">
      <c r="A139" s="22">
        <f>Dataset!A358</f>
        <v>44901</v>
      </c>
      <c r="B139" s="47">
        <f>Dataset!E358</f>
        <v>1.9241578011941485E-4</v>
      </c>
      <c r="C139" s="47">
        <f>Dataset!H358</f>
        <v>2.8272547356515965E-3</v>
      </c>
      <c r="E139" s="8"/>
      <c r="I139" s="8"/>
      <c r="M139" s="8"/>
      <c r="Q139" s="8"/>
      <c r="U139" s="8"/>
      <c r="Y139" s="8"/>
    </row>
    <row r="140" spans="1:25" hidden="1" x14ac:dyDescent="0.25">
      <c r="A140" s="22">
        <f>Dataset!A359</f>
        <v>44902</v>
      </c>
      <c r="B140" s="47">
        <f>Dataset!E359</f>
        <v>-2.7236782819562988E-3</v>
      </c>
      <c r="C140" s="47">
        <f>Dataset!H359</f>
        <v>-1.3720514989192689E-2</v>
      </c>
      <c r="E140" s="8"/>
      <c r="I140" s="8"/>
      <c r="M140" s="8"/>
      <c r="Q140" s="8"/>
      <c r="U140" s="8"/>
      <c r="Y140" s="8"/>
    </row>
    <row r="141" spans="1:25" hidden="1" x14ac:dyDescent="0.25">
      <c r="A141" s="22">
        <f>Dataset!A360</f>
        <v>44903</v>
      </c>
      <c r="B141" s="47">
        <f>Dataset!E360</f>
        <v>-3.8631598718711357E-3</v>
      </c>
      <c r="C141" s="47">
        <f>Dataset!H360</f>
        <v>6.5745593139590053E-3</v>
      </c>
      <c r="E141" s="8"/>
      <c r="I141" s="8"/>
      <c r="M141" s="8"/>
      <c r="Q141" s="8"/>
      <c r="U141" s="8"/>
      <c r="Y141" s="8"/>
    </row>
    <row r="142" spans="1:25" hidden="1" x14ac:dyDescent="0.25">
      <c r="A142" s="22">
        <f>Dataset!A361</f>
        <v>44904</v>
      </c>
      <c r="B142" s="47">
        <f>Dataset!E361</f>
        <v>3.0016103716086207E-3</v>
      </c>
      <c r="C142" s="47">
        <f>Dataset!H361</f>
        <v>-1.2400605831124678E-2</v>
      </c>
      <c r="E142" s="8"/>
      <c r="I142" s="8"/>
      <c r="M142" s="8"/>
      <c r="Q142" s="8"/>
      <c r="U142" s="8"/>
      <c r="Y142" s="8"/>
    </row>
    <row r="143" spans="1:25" hidden="1" x14ac:dyDescent="0.25">
      <c r="A143" s="22">
        <f>Dataset!A362</f>
        <v>44907</v>
      </c>
      <c r="B143" s="47">
        <f>Dataset!E362</f>
        <v>-5.8125060335235679E-3</v>
      </c>
      <c r="C143" s="47">
        <f>Dataset!H362</f>
        <v>-1.006421930413115E-2</v>
      </c>
      <c r="E143" s="8"/>
      <c r="I143" s="8"/>
      <c r="M143" s="8"/>
      <c r="Q143" s="8"/>
      <c r="U143" s="8"/>
      <c r="Y143" s="8"/>
    </row>
    <row r="144" spans="1:25" hidden="1" x14ac:dyDescent="0.25">
      <c r="A144" s="22">
        <f>Dataset!A363</f>
        <v>44908</v>
      </c>
      <c r="B144" s="47">
        <f>Dataset!E363</f>
        <v>6.0815748723652696E-4</v>
      </c>
      <c r="C144" s="47">
        <f>Dataset!H363</f>
        <v>-5.228505034856612E-3</v>
      </c>
      <c r="E144" s="8"/>
      <c r="I144" s="8"/>
      <c r="M144" s="8"/>
      <c r="Q144" s="8"/>
      <c r="U144" s="8"/>
      <c r="Y144" s="8"/>
    </row>
    <row r="145" spans="1:25" hidden="1" x14ac:dyDescent="0.25">
      <c r="A145" s="22">
        <f>Dataset!A364</f>
        <v>44909</v>
      </c>
      <c r="B145" s="47">
        <f>Dataset!E364</f>
        <v>4.9338073057121345E-3</v>
      </c>
      <c r="C145" s="47">
        <f>Dataset!H364</f>
        <v>-3.8933229511388667E-3</v>
      </c>
      <c r="E145" s="8"/>
      <c r="I145" s="8"/>
      <c r="M145" s="8"/>
      <c r="Q145" s="8"/>
      <c r="U145" s="8"/>
      <c r="Y145" s="8"/>
    </row>
    <row r="146" spans="1:25" hidden="1" x14ac:dyDescent="0.25">
      <c r="A146" s="22">
        <f>Dataset!A365</f>
        <v>44910</v>
      </c>
      <c r="B146" s="47">
        <f>Dataset!E365</f>
        <v>3.3492920237043755E-3</v>
      </c>
      <c r="C146" s="47">
        <f>Dataset!H365</f>
        <v>-5.4719562243502606E-3</v>
      </c>
      <c r="E146" s="8"/>
      <c r="I146" s="8"/>
      <c r="M146" s="8"/>
      <c r="Q146" s="8"/>
      <c r="U146" s="8"/>
      <c r="Y146" s="8"/>
    </row>
    <row r="147" spans="1:25" hidden="1" x14ac:dyDescent="0.25">
      <c r="A147" s="22">
        <f>Dataset!A366</f>
        <v>44911</v>
      </c>
      <c r="B147" s="47">
        <f>Dataset!E366</f>
        <v>-1.2070895616892119E-2</v>
      </c>
      <c r="C147" s="47">
        <f>Dataset!H366</f>
        <v>5.7968166633917129E-3</v>
      </c>
      <c r="E147" s="8"/>
      <c r="I147" s="8"/>
      <c r="M147" s="8"/>
      <c r="Q147" s="8"/>
      <c r="U147" s="8"/>
      <c r="Y147" s="8"/>
    </row>
    <row r="148" spans="1:25" hidden="1" x14ac:dyDescent="0.25">
      <c r="A148" s="22">
        <f>Dataset!A367</f>
        <v>44914</v>
      </c>
      <c r="B148" s="47">
        <f>Dataset!E367</f>
        <v>-9.4701436672580686E-3</v>
      </c>
      <c r="C148" s="47">
        <f>Dataset!H367</f>
        <v>1.5531894109602318E-2</v>
      </c>
      <c r="E148" s="8"/>
      <c r="I148" s="8"/>
      <c r="M148" s="8"/>
      <c r="Q148" s="8"/>
      <c r="U148" s="8"/>
      <c r="Y148" s="8"/>
    </row>
    <row r="149" spans="1:25" hidden="1" x14ac:dyDescent="0.25">
      <c r="A149" s="22">
        <f>Dataset!A368</f>
        <v>44915</v>
      </c>
      <c r="B149" s="47">
        <f>Dataset!E368</f>
        <v>8.1889568138642232E-3</v>
      </c>
      <c r="C149" s="47">
        <f>Dataset!H368</f>
        <v>-1.0677183532127654E-2</v>
      </c>
      <c r="E149" s="8"/>
      <c r="I149" s="8"/>
      <c r="M149" s="8"/>
      <c r="Q149" s="8"/>
      <c r="U149" s="8"/>
      <c r="Y149" s="8"/>
    </row>
    <row r="150" spans="1:25" hidden="1" x14ac:dyDescent="0.25">
      <c r="A150" s="22">
        <f>Dataset!A369</f>
        <v>44916</v>
      </c>
      <c r="B150" s="47">
        <f>Dataset!E369</f>
        <v>-1.879149145911474E-3</v>
      </c>
      <c r="C150" s="47">
        <f>Dataset!H369</f>
        <v>-2.6251823043266898E-2</v>
      </c>
      <c r="E150" s="8"/>
      <c r="I150" s="8"/>
      <c r="M150" s="8"/>
      <c r="Q150" s="8"/>
      <c r="U150" s="8"/>
      <c r="Y150" s="8"/>
    </row>
    <row r="151" spans="1:25" hidden="1" x14ac:dyDescent="0.25">
      <c r="A151" s="22">
        <f>Dataset!A370</f>
        <v>44917</v>
      </c>
      <c r="B151" s="47">
        <f>Dataset!E370</f>
        <v>-1.1841381048646404E-2</v>
      </c>
      <c r="C151" s="47">
        <f>Dataset!H370</f>
        <v>-5.4917623564653129E-3</v>
      </c>
      <c r="E151" s="8"/>
      <c r="I151" s="8"/>
      <c r="M151" s="8"/>
      <c r="Q151" s="8"/>
      <c r="U151" s="8"/>
      <c r="Y151" s="8"/>
    </row>
    <row r="152" spans="1:25" hidden="1" x14ac:dyDescent="0.25">
      <c r="A152" s="22">
        <f>Dataset!A371</f>
        <v>44918</v>
      </c>
      <c r="B152" s="47">
        <f>Dataset!E371</f>
        <v>-5.0598383142199665E-3</v>
      </c>
      <c r="C152" s="47">
        <f>Dataset!H371</f>
        <v>-1.1546184738955856E-2</v>
      </c>
      <c r="E152" s="8"/>
      <c r="I152" s="8"/>
      <c r="M152" s="8"/>
      <c r="Q152" s="8"/>
      <c r="U152" s="8"/>
      <c r="Y152" s="8"/>
    </row>
    <row r="153" spans="1:25" hidden="1" x14ac:dyDescent="0.25">
      <c r="A153" s="22">
        <f>Dataset!A372</f>
        <v>44921</v>
      </c>
      <c r="B153" s="47">
        <f>Dataset!E372</f>
        <v>-2.3392577787776925E-2</v>
      </c>
      <c r="C153" s="47">
        <f>Dataset!H372</f>
        <v>1.4220416455053231E-2</v>
      </c>
      <c r="E153" s="8"/>
      <c r="I153" s="8"/>
      <c r="M153" s="8"/>
      <c r="Q153" s="8"/>
      <c r="U153" s="8"/>
      <c r="Y153" s="8"/>
    </row>
    <row r="154" spans="1:25" hidden="1" x14ac:dyDescent="0.25">
      <c r="A154" s="22">
        <f>Dataset!A373</f>
        <v>44922</v>
      </c>
      <c r="B154" s="47">
        <f>Dataset!E373</f>
        <v>1.5456074746327486E-2</v>
      </c>
      <c r="C154" s="47">
        <f>Dataset!H373</f>
        <v>-1.2018027040561208E-3</v>
      </c>
      <c r="E154" s="8"/>
      <c r="I154" s="8"/>
      <c r="M154" s="8"/>
      <c r="Q154" s="8"/>
      <c r="U154" s="8"/>
      <c r="Y154" s="8"/>
    </row>
    <row r="155" spans="1:25" hidden="1" x14ac:dyDescent="0.25">
      <c r="A155" s="22">
        <f>Dataset!A374</f>
        <v>44923</v>
      </c>
      <c r="B155" s="47">
        <f>Dataset!E374</f>
        <v>7.4653244910125593E-3</v>
      </c>
      <c r="C155" s="47">
        <f>Dataset!H374</f>
        <v>-9.0243657876265537E-3</v>
      </c>
      <c r="E155" s="8"/>
      <c r="I155" s="8"/>
      <c r="M155" s="8"/>
      <c r="Q155" s="8"/>
      <c r="U155" s="8"/>
      <c r="Y155" s="8"/>
    </row>
    <row r="156" spans="1:25" hidden="1" x14ac:dyDescent="0.25">
      <c r="A156" s="22">
        <f>Dataset!A375</f>
        <v>44924</v>
      </c>
      <c r="B156" s="47">
        <f>Dataset!E375</f>
        <v>5.1843860953715293E-4</v>
      </c>
      <c r="C156" s="47">
        <f>Dataset!H375</f>
        <v>-6.7793180208437498E-3</v>
      </c>
      <c r="E156" s="8"/>
      <c r="I156" s="8"/>
      <c r="M156" s="8"/>
      <c r="Q156" s="8"/>
      <c r="U156" s="8"/>
      <c r="Y156" s="8"/>
    </row>
    <row r="157" spans="1:25" hidden="1" x14ac:dyDescent="0.25">
      <c r="A157" s="22">
        <f>Dataset!A376</f>
        <v>44925</v>
      </c>
      <c r="B157" s="47">
        <f>Dataset!E376</f>
        <v>3.5748493904959044E-3</v>
      </c>
      <c r="C157" s="47">
        <f>Dataset!H376</f>
        <v>1.3345558272208624E-2</v>
      </c>
      <c r="E157" s="8"/>
      <c r="I157" s="8"/>
      <c r="M157" s="8"/>
      <c r="Q157" s="8"/>
      <c r="U157" s="8"/>
      <c r="Y157" s="8"/>
    </row>
    <row r="158" spans="1:25" hidden="1" x14ac:dyDescent="0.25">
      <c r="A158" s="22">
        <f>Dataset!A377</f>
        <v>44928</v>
      </c>
      <c r="B158" s="47">
        <f>Dataset!E377</f>
        <v>-3.3952226974026667E-3</v>
      </c>
      <c r="C158" s="47">
        <f>Dataset!H377</f>
        <v>-5.2277068462853737E-3</v>
      </c>
      <c r="E158" s="8"/>
      <c r="I158" s="8"/>
      <c r="M158" s="8"/>
      <c r="Q158" s="8"/>
      <c r="U158" s="8"/>
      <c r="Y158" s="8"/>
    </row>
    <row r="159" spans="1:25" hidden="1" x14ac:dyDescent="0.25">
      <c r="A159" s="22">
        <f>Dataset!A378</f>
        <v>44929</v>
      </c>
      <c r="B159" s="47">
        <f>Dataset!E378</f>
        <v>4.7412462255806975E-3</v>
      </c>
      <c r="C159" s="47">
        <f>Dataset!H378</f>
        <v>1.4855987872663068E-2</v>
      </c>
      <c r="E159" s="8"/>
      <c r="I159" s="8"/>
      <c r="M159" s="8"/>
      <c r="Q159" s="8"/>
      <c r="U159" s="8"/>
      <c r="Y159" s="8"/>
    </row>
    <row r="160" spans="1:25" hidden="1" x14ac:dyDescent="0.25">
      <c r="A160" s="22">
        <f>Dataset!A379</f>
        <v>44930</v>
      </c>
      <c r="B160" s="47">
        <f>Dataset!E379</f>
        <v>2.3021432849814616E-3</v>
      </c>
      <c r="C160" s="47">
        <f>Dataset!H379</f>
        <v>-1.7327225652260636E-2</v>
      </c>
      <c r="E160" s="8"/>
      <c r="I160" s="8"/>
      <c r="M160" s="8"/>
      <c r="Q160" s="8"/>
      <c r="U160" s="8"/>
      <c r="Y160" s="8"/>
    </row>
    <row r="161" spans="1:25" hidden="1" x14ac:dyDescent="0.25">
      <c r="A161" s="22">
        <f>Dataset!A380</f>
        <v>44931</v>
      </c>
      <c r="B161" s="47">
        <f>Dataset!E380</f>
        <v>-1.1068557501935694E-2</v>
      </c>
      <c r="C161" s="47">
        <f>Dataset!H380</f>
        <v>1.3477908390758131E-2</v>
      </c>
      <c r="E161" s="8"/>
      <c r="I161" s="8"/>
      <c r="M161" s="8"/>
      <c r="Q161" s="8"/>
      <c r="U161" s="8"/>
      <c r="Y161" s="8"/>
    </row>
    <row r="162" spans="1:25" hidden="1" x14ac:dyDescent="0.25">
      <c r="A162" s="22">
        <f>Dataset!A381</f>
        <v>44932</v>
      </c>
      <c r="B162" s="47">
        <f>Dataset!E381</f>
        <v>-4.7817473871181182E-4</v>
      </c>
      <c r="C162" s="47">
        <f>Dataset!H381</f>
        <v>-7.4992500749925251E-3</v>
      </c>
      <c r="E162" s="8"/>
      <c r="I162" s="8"/>
      <c r="M162" s="8"/>
      <c r="Q162" s="8"/>
      <c r="U162" s="8"/>
      <c r="Y162" s="8"/>
    </row>
    <row r="163" spans="1:25" hidden="1" x14ac:dyDescent="0.25">
      <c r="A163" s="22">
        <f>Dataset!A382</f>
        <v>44935</v>
      </c>
      <c r="B163" s="47">
        <f>Dataset!E382</f>
        <v>-7.5125120915169319E-3</v>
      </c>
      <c r="C163" s="47">
        <f>Dataset!H382</f>
        <v>6.5484585935926543E-3</v>
      </c>
      <c r="E163" s="8"/>
      <c r="I163" s="8"/>
      <c r="M163" s="8"/>
      <c r="Q163" s="8"/>
      <c r="U163" s="8"/>
      <c r="Y163" s="8"/>
    </row>
    <row r="164" spans="1:25" hidden="1" x14ac:dyDescent="0.25">
      <c r="A164" s="22">
        <f>Dataset!A383</f>
        <v>44936</v>
      </c>
      <c r="B164" s="47">
        <f>Dataset!E383</f>
        <v>1.2559127482294707E-2</v>
      </c>
      <c r="C164" s="47">
        <f>Dataset!H383</f>
        <v>8.2073866479830393E-3</v>
      </c>
      <c r="E164" s="8"/>
      <c r="I164" s="8"/>
      <c r="M164" s="8"/>
      <c r="Q164" s="8"/>
      <c r="U164" s="8"/>
      <c r="Y164" s="8"/>
    </row>
    <row r="165" spans="1:25" hidden="1" x14ac:dyDescent="0.25">
      <c r="A165" s="22">
        <f>Dataset!A384</f>
        <v>44937</v>
      </c>
      <c r="B165" s="47">
        <f>Dataset!E384</f>
        <v>-8.6368344510823203E-3</v>
      </c>
      <c r="C165" s="47">
        <f>Dataset!H384</f>
        <v>-7.6441973592772383E-3</v>
      </c>
      <c r="E165" s="8"/>
      <c r="I165" s="8"/>
      <c r="M165" s="8"/>
      <c r="Q165" s="8"/>
      <c r="U165" s="8"/>
      <c r="Y165" s="8"/>
    </row>
    <row r="166" spans="1:25" hidden="1" x14ac:dyDescent="0.25">
      <c r="A166" s="22">
        <f>Dataset!A385</f>
        <v>44938</v>
      </c>
      <c r="B166" s="47">
        <f>Dataset!E385</f>
        <v>-1.7044225279276848E-3</v>
      </c>
      <c r="C166" s="47">
        <f>Dataset!H385</f>
        <v>-3.2012805122049182E-3</v>
      </c>
      <c r="E166" s="8"/>
      <c r="I166" s="8"/>
      <c r="M166" s="8"/>
      <c r="Q166" s="8"/>
      <c r="U166" s="8"/>
      <c r="Y166" s="8"/>
    </row>
    <row r="167" spans="1:25" hidden="1" x14ac:dyDescent="0.25">
      <c r="A167" s="22">
        <f>Dataset!A386</f>
        <v>44939</v>
      </c>
      <c r="B167" s="47">
        <f>Dataset!E386</f>
        <v>-1.6544739512857065E-3</v>
      </c>
      <c r="C167" s="47">
        <f>Dataset!H386</f>
        <v>6.8245684464072198E-3</v>
      </c>
      <c r="E167" s="8"/>
      <c r="I167" s="8"/>
      <c r="M167" s="8"/>
      <c r="Q167" s="8"/>
      <c r="U167" s="8"/>
      <c r="Y167" s="8"/>
    </row>
    <row r="168" spans="1:25" hidden="1" x14ac:dyDescent="0.25">
      <c r="A168" s="22">
        <f>Dataset!A387</f>
        <v>44942</v>
      </c>
      <c r="B168" s="47">
        <f>Dataset!E387</f>
        <v>4.6010239793299323E-3</v>
      </c>
      <c r="C168" s="47">
        <f>Dataset!H387</f>
        <v>6.0805422647527418E-3</v>
      </c>
      <c r="E168" s="8"/>
      <c r="I168" s="8"/>
      <c r="M168" s="8"/>
      <c r="Q168" s="8"/>
      <c r="U168" s="8"/>
      <c r="Y168" s="8"/>
    </row>
    <row r="169" spans="1:25" hidden="1" x14ac:dyDescent="0.25">
      <c r="A169" s="22">
        <f>Dataset!A388</f>
        <v>44943</v>
      </c>
      <c r="B169" s="47">
        <f>Dataset!E388</f>
        <v>-2.8091071993253669E-3</v>
      </c>
      <c r="C169" s="47">
        <f>Dataset!H388</f>
        <v>1.1988506885960648E-2</v>
      </c>
      <c r="E169" s="8"/>
      <c r="I169" s="8"/>
      <c r="M169" s="8"/>
      <c r="Q169" s="8"/>
      <c r="U169" s="8"/>
      <c r="Y169" s="8"/>
    </row>
    <row r="170" spans="1:25" hidden="1" x14ac:dyDescent="0.25">
      <c r="A170" s="22">
        <f>Dataset!A389</f>
        <v>44944</v>
      </c>
      <c r="B170" s="47">
        <f>Dataset!E389</f>
        <v>6.7069400180752581E-3</v>
      </c>
      <c r="C170" s="47">
        <f>Dataset!H389</f>
        <v>2.7413354219698594E-3</v>
      </c>
      <c r="E170" s="8"/>
      <c r="I170" s="8"/>
      <c r="M170" s="8"/>
      <c r="Q170" s="8"/>
      <c r="U170" s="8"/>
      <c r="Y170" s="8"/>
    </row>
    <row r="171" spans="1:25" hidden="1" x14ac:dyDescent="0.25">
      <c r="A171" s="22">
        <f>Dataset!A390</f>
        <v>44945</v>
      </c>
      <c r="B171" s="47">
        <f>Dataset!E390</f>
        <v>5.0190050190050961E-3</v>
      </c>
      <c r="C171" s="47">
        <f>Dataset!H390</f>
        <v>4.8818590119115157E-4</v>
      </c>
      <c r="E171" s="8"/>
      <c r="I171" s="8"/>
      <c r="M171" s="8"/>
      <c r="Q171" s="8"/>
      <c r="U171" s="8"/>
      <c r="Y171" s="8"/>
    </row>
    <row r="172" spans="1:25" hidden="1" x14ac:dyDescent="0.25">
      <c r="A172" s="22">
        <f>Dataset!A391</f>
        <v>44946</v>
      </c>
      <c r="B172" s="47">
        <f>Dataset!E391</f>
        <v>-3.1290484349534298E-3</v>
      </c>
      <c r="C172" s="47">
        <f>Dataset!H391</f>
        <v>-2.3909436908363446E-2</v>
      </c>
      <c r="E172" s="8"/>
      <c r="I172" s="8"/>
      <c r="M172" s="8"/>
      <c r="Q172" s="8"/>
      <c r="U172" s="8"/>
      <c r="Y172" s="8"/>
    </row>
    <row r="173" spans="1:25" hidden="1" x14ac:dyDescent="0.25">
      <c r="A173" s="22">
        <f>Dataset!A392</f>
        <v>44949</v>
      </c>
      <c r="B173" s="47">
        <f>Dataset!E392</f>
        <v>-4.5956412150938153E-3</v>
      </c>
      <c r="C173" s="47">
        <f>Dataset!H392</f>
        <v>4.9990001999600242E-3</v>
      </c>
      <c r="E173" s="8"/>
      <c r="I173" s="8"/>
      <c r="M173" s="8"/>
      <c r="Q173" s="8"/>
      <c r="U173" s="8"/>
      <c r="Y173" s="8"/>
    </row>
    <row r="174" spans="1:25" hidden="1" x14ac:dyDescent="0.25">
      <c r="A174" s="22">
        <f>Dataset!A393</f>
        <v>44950</v>
      </c>
      <c r="B174" s="47">
        <f>Dataset!E393</f>
        <v>4.5484217397713245E-3</v>
      </c>
      <c r="C174" s="47">
        <f>Dataset!H393</f>
        <v>-1.0346199761241626E-2</v>
      </c>
      <c r="E174" s="8"/>
      <c r="I174" s="8"/>
      <c r="M174" s="8"/>
      <c r="Q174" s="8"/>
      <c r="U174" s="8"/>
      <c r="Y174" s="8"/>
    </row>
    <row r="175" spans="1:25" hidden="1" x14ac:dyDescent="0.25">
      <c r="A175" s="22">
        <f>Dataset!A394</f>
        <v>44951</v>
      </c>
      <c r="B175" s="47">
        <f>Dataset!E394</f>
        <v>-6.8651084791937489E-4</v>
      </c>
      <c r="C175" s="47">
        <f>Dataset!H394</f>
        <v>-4.5235223160434712E-3</v>
      </c>
      <c r="E175" s="8"/>
      <c r="I175" s="8"/>
      <c r="M175" s="8"/>
      <c r="Q175" s="8"/>
      <c r="U175" s="8"/>
      <c r="Y175" s="8"/>
    </row>
    <row r="176" spans="1:25" hidden="1" x14ac:dyDescent="0.25">
      <c r="A176" s="22">
        <f>Dataset!A395</f>
        <v>44953</v>
      </c>
      <c r="B176" s="47">
        <f>Dataset!E395</f>
        <v>-1.483043070129908E-2</v>
      </c>
      <c r="C176" s="47">
        <f>Dataset!H395</f>
        <v>-8.987175603352493E-3</v>
      </c>
      <c r="E176" s="8"/>
      <c r="I176" s="8"/>
      <c r="M176" s="8"/>
      <c r="Q176" s="8"/>
      <c r="U176" s="8"/>
      <c r="Y176" s="8"/>
    </row>
    <row r="177" spans="1:25" hidden="1" x14ac:dyDescent="0.25">
      <c r="A177" s="22">
        <f>Dataset!A396</f>
        <v>44956</v>
      </c>
      <c r="B177" s="47">
        <f>Dataset!E396</f>
        <v>-2.032353708326895E-2</v>
      </c>
      <c r="C177" s="47">
        <f>Dataset!H396</f>
        <v>-5.4004483391073554E-3</v>
      </c>
      <c r="E177" s="8"/>
      <c r="I177" s="8"/>
      <c r="M177" s="8"/>
      <c r="Q177" s="8"/>
      <c r="U177" s="8"/>
      <c r="Y177" s="8"/>
    </row>
    <row r="178" spans="1:25" hidden="1" x14ac:dyDescent="0.25">
      <c r="A178" s="22">
        <f>Dataset!A397</f>
        <v>44957</v>
      </c>
      <c r="B178" s="47">
        <f>Dataset!E397</f>
        <v>-1.3583782050933246E-3</v>
      </c>
      <c r="C178" s="47">
        <f>Dataset!H397</f>
        <v>9.6301608441757836E-3</v>
      </c>
      <c r="E178" s="8"/>
      <c r="I178" s="8"/>
      <c r="M178" s="8"/>
      <c r="Q178" s="8"/>
      <c r="U178" s="8"/>
      <c r="Y178" s="8"/>
    </row>
    <row r="179" spans="1:25" hidden="1" x14ac:dyDescent="0.25">
      <c r="A179" s="22">
        <f>Dataset!A398</f>
        <v>44958</v>
      </c>
      <c r="B179" s="47">
        <f>Dataset!E398</f>
        <v>3.5257055491775269E-3</v>
      </c>
      <c r="C179" s="47">
        <f>Dataset!H398</f>
        <v>-1.907661085743273E-2</v>
      </c>
      <c r="E179" s="8"/>
      <c r="I179" s="8"/>
      <c r="M179" s="8"/>
      <c r="Q179" s="8"/>
      <c r="U179" s="8"/>
      <c r="Y179" s="8"/>
    </row>
    <row r="180" spans="1:25" hidden="1" x14ac:dyDescent="0.25">
      <c r="A180" s="22">
        <f>Dataset!A399</f>
        <v>44959</v>
      </c>
      <c r="B180" s="47">
        <f>Dataset!E399</f>
        <v>-5.4163662092483467E-3</v>
      </c>
      <c r="C180" s="47">
        <f>Dataset!H399</f>
        <v>1.2723699182786818E-2</v>
      </c>
      <c r="E180" s="8"/>
      <c r="I180" s="8"/>
      <c r="M180" s="8"/>
      <c r="Q180" s="8"/>
      <c r="U180" s="8"/>
      <c r="Y180" s="8"/>
    </row>
    <row r="181" spans="1:25" hidden="1" x14ac:dyDescent="0.25">
      <c r="A181" s="22">
        <f>Dataset!A400</f>
        <v>44960</v>
      </c>
      <c r="B181" s="47">
        <f>Dataset!E400</f>
        <v>-1.0902628623761235E-3</v>
      </c>
      <c r="C181" s="47">
        <f>Dataset!H400</f>
        <v>2.0429009193057013E-4</v>
      </c>
      <c r="E181" s="8"/>
      <c r="I181" s="8"/>
      <c r="M181" s="8"/>
      <c r="Q181" s="8"/>
      <c r="U181" s="8"/>
      <c r="Y181" s="8"/>
    </row>
    <row r="182" spans="1:25" hidden="1" x14ac:dyDescent="0.25">
      <c r="A182" s="22">
        <f>Dataset!A401</f>
        <v>44963</v>
      </c>
      <c r="B182" s="47">
        <f>Dataset!E401</f>
        <v>9.5720413442332841E-3</v>
      </c>
      <c r="C182" s="47">
        <f>Dataset!H401</f>
        <v>3.9828431372548323E-3</v>
      </c>
      <c r="E182" s="8"/>
      <c r="I182" s="8"/>
      <c r="M182" s="8"/>
      <c r="Q182" s="8"/>
      <c r="U182" s="8"/>
      <c r="Y182" s="8"/>
    </row>
    <row r="183" spans="1:25" hidden="1" x14ac:dyDescent="0.25">
      <c r="A183" s="22">
        <f>Dataset!A402</f>
        <v>44964</v>
      </c>
      <c r="B183" s="47">
        <f>Dataset!E402</f>
        <v>-2.5081623386450369E-3</v>
      </c>
      <c r="C183" s="47">
        <f>Dataset!H402</f>
        <v>-1.2409724341369222E-2</v>
      </c>
      <c r="E183" s="8"/>
      <c r="I183" s="8"/>
      <c r="M183" s="8"/>
      <c r="Q183" s="8"/>
      <c r="U183" s="8"/>
      <c r="Y183" s="8"/>
    </row>
    <row r="184" spans="1:25" hidden="1" x14ac:dyDescent="0.25">
      <c r="A184" s="22">
        <f>Dataset!A403</f>
        <v>44965</v>
      </c>
      <c r="B184" s="47">
        <f>Dataset!E403</f>
        <v>-2.0917781197842267E-3</v>
      </c>
      <c r="C184" s="47">
        <f>Dataset!H403</f>
        <v>-1.1226696879184206E-2</v>
      </c>
      <c r="E184" s="8"/>
      <c r="I184" s="8"/>
      <c r="M184" s="8"/>
      <c r="Q184" s="8"/>
      <c r="U184" s="8"/>
      <c r="Y184" s="8"/>
    </row>
    <row r="185" spans="1:25" hidden="1" x14ac:dyDescent="0.25">
      <c r="A185" s="22">
        <f>Dataset!A404</f>
        <v>44966</v>
      </c>
      <c r="B185" s="47">
        <f>Dataset!E404</f>
        <v>8.6235921497075374E-3</v>
      </c>
      <c r="C185" s="47">
        <f>Dataset!H404</f>
        <v>-9.791666666666643E-3</v>
      </c>
      <c r="E185" s="8"/>
      <c r="I185" s="8"/>
      <c r="M185" s="8"/>
      <c r="Q185" s="8"/>
      <c r="U185" s="8"/>
      <c r="Y185" s="8"/>
    </row>
    <row r="186" spans="1:25" hidden="1" x14ac:dyDescent="0.25">
      <c r="A186" s="22">
        <f>Dataset!A405</f>
        <v>44967</v>
      </c>
      <c r="B186" s="47">
        <f>Dataset!E405</f>
        <v>2.4766601699188762E-4</v>
      </c>
      <c r="C186" s="47">
        <f>Dataset!H405</f>
        <v>-1.8619819061645337E-2</v>
      </c>
      <c r="E186" s="8"/>
      <c r="I186" s="8"/>
      <c r="M186" s="8"/>
      <c r="Q186" s="8"/>
      <c r="U186" s="8"/>
      <c r="Y186" s="8"/>
    </row>
    <row r="187" spans="1:25" hidden="1" x14ac:dyDescent="0.25">
      <c r="A187" s="22">
        <f>Dataset!A406</f>
        <v>44970</v>
      </c>
      <c r="B187" s="47">
        <f>Dataset!E406</f>
        <v>-1.5771342448056558E-3</v>
      </c>
      <c r="C187" s="47">
        <f>Dataset!H406</f>
        <v>-8.5754100117907406E-4</v>
      </c>
      <c r="E187" s="8"/>
      <c r="I187" s="8"/>
      <c r="M187" s="8"/>
      <c r="Q187" s="8"/>
      <c r="U187" s="8"/>
      <c r="Y187" s="8"/>
    </row>
    <row r="188" spans="1:25" hidden="1" x14ac:dyDescent="0.25">
      <c r="A188" s="22">
        <f>Dataset!A407</f>
        <v>44971</v>
      </c>
      <c r="B188" s="47">
        <f>Dataset!E407</f>
        <v>-7.3751799317471889E-3</v>
      </c>
      <c r="C188" s="47">
        <f>Dataset!H407</f>
        <v>-9.2264778457247232E-3</v>
      </c>
      <c r="E188" s="8"/>
      <c r="I188" s="8"/>
      <c r="M188" s="8"/>
      <c r="Q188" s="8"/>
      <c r="U188" s="8"/>
      <c r="Y188" s="8"/>
    </row>
    <row r="189" spans="1:25" hidden="1" x14ac:dyDescent="0.25">
      <c r="A189" s="22">
        <f>Dataset!A408</f>
        <v>44972</v>
      </c>
      <c r="B189" s="47">
        <f>Dataset!E408</f>
        <v>5.9472406432796721E-3</v>
      </c>
      <c r="C189" s="47">
        <f>Dataset!H408</f>
        <v>2.6529507309150047E-2</v>
      </c>
      <c r="E189" s="8"/>
      <c r="I189" s="8"/>
      <c r="M189" s="8"/>
      <c r="Q189" s="8"/>
      <c r="U189" s="8"/>
      <c r="Y189" s="8"/>
    </row>
    <row r="190" spans="1:25" hidden="1" x14ac:dyDescent="0.25">
      <c r="A190" s="22">
        <f>Dataset!A409</f>
        <v>44973</v>
      </c>
      <c r="B190" s="47">
        <f>Dataset!E409</f>
        <v>4.9618279395724496E-3</v>
      </c>
      <c r="C190" s="47">
        <f>Dataset!H409</f>
        <v>-1.3502109704641274E-2</v>
      </c>
      <c r="E190" s="8"/>
      <c r="I190" s="8"/>
      <c r="M190" s="8"/>
      <c r="Q190" s="8"/>
      <c r="U190" s="8"/>
      <c r="Y190" s="8"/>
    </row>
    <row r="191" spans="1:25" hidden="1" x14ac:dyDescent="0.25">
      <c r="A191" s="22">
        <f>Dataset!A410</f>
        <v>44974</v>
      </c>
      <c r="B191" s="47">
        <f>Dataset!E410</f>
        <v>2.2725685397000372E-3</v>
      </c>
      <c r="C191" s="47">
        <f>Dataset!H410</f>
        <v>-5.3464499572284385E-3</v>
      </c>
      <c r="E191" s="8"/>
      <c r="I191" s="8"/>
      <c r="M191" s="8"/>
      <c r="Q191" s="8"/>
      <c r="U191" s="8"/>
      <c r="Y191" s="8"/>
    </row>
    <row r="192" spans="1:25" hidden="1" x14ac:dyDescent="0.25">
      <c r="A192" s="22">
        <f>Dataset!A411</f>
        <v>44977</v>
      </c>
      <c r="B192" s="47">
        <f>Dataset!E411</f>
        <v>-5.6122558373891129E-3</v>
      </c>
      <c r="C192" s="47">
        <f>Dataset!H411</f>
        <v>9.890346162115593E-3</v>
      </c>
      <c r="E192" s="8"/>
      <c r="I192" s="8"/>
      <c r="M192" s="8"/>
      <c r="Q192" s="8"/>
      <c r="U192" s="8"/>
      <c r="Y192" s="8"/>
    </row>
    <row r="193" spans="1:25" hidden="1" x14ac:dyDescent="0.25">
      <c r="A193" s="22">
        <f>Dataset!A412</f>
        <v>44978</v>
      </c>
      <c r="B193" s="47">
        <f>Dataset!E412</f>
        <v>-4.5173010473886777E-3</v>
      </c>
      <c r="C193" s="47">
        <f>Dataset!H412</f>
        <v>1.916116670215029E-2</v>
      </c>
      <c r="E193" s="8"/>
      <c r="I193" s="8"/>
      <c r="M193" s="8"/>
      <c r="Q193" s="8"/>
      <c r="U193" s="8"/>
      <c r="Y193" s="8"/>
    </row>
    <row r="194" spans="1:25" hidden="1" x14ac:dyDescent="0.25">
      <c r="A194" s="22">
        <f>Dataset!A413</f>
        <v>44979</v>
      </c>
      <c r="B194" s="47">
        <f>Dataset!E413</f>
        <v>-1.5811903330786858E-3</v>
      </c>
      <c r="C194" s="47">
        <f>Dataset!H413</f>
        <v>-3.0290369751410084E-3</v>
      </c>
      <c r="E194" s="8"/>
      <c r="I194" s="8"/>
      <c r="M194" s="8"/>
      <c r="Q194" s="8"/>
      <c r="U194" s="8"/>
      <c r="Y194" s="8"/>
    </row>
    <row r="195" spans="1:25" hidden="1" x14ac:dyDescent="0.25">
      <c r="A195" s="22">
        <f>Dataset!A414</f>
        <v>44980</v>
      </c>
      <c r="B195" s="47">
        <f>Dataset!E414</f>
        <v>-1.4784763991560923E-2</v>
      </c>
      <c r="C195" s="47">
        <f>Dataset!H414</f>
        <v>4.1906757464649225E-4</v>
      </c>
      <c r="E195" s="8"/>
      <c r="I195" s="8"/>
      <c r="M195" s="8"/>
      <c r="Q195" s="8"/>
      <c r="U195" s="8"/>
      <c r="Y195" s="8"/>
    </row>
    <row r="196" spans="1:25" hidden="1" x14ac:dyDescent="0.25">
      <c r="A196" s="22">
        <f>Dataset!A415</f>
        <v>44981</v>
      </c>
      <c r="B196" s="47">
        <f>Dataset!E415</f>
        <v>-2.6368956196703985E-3</v>
      </c>
      <c r="C196" s="47">
        <f>Dataset!H415</f>
        <v>-9.0061786574510139E-3</v>
      </c>
      <c r="E196" s="8"/>
      <c r="I196" s="8"/>
      <c r="M196" s="8"/>
      <c r="Q196" s="8"/>
      <c r="U196" s="8"/>
      <c r="Y196" s="8"/>
    </row>
    <row r="197" spans="1:25" hidden="1" x14ac:dyDescent="0.25">
      <c r="A197" s="22">
        <f>Dataset!A416</f>
        <v>44984</v>
      </c>
      <c r="B197" s="47">
        <f>Dataset!E416</f>
        <v>-2.4893196595539013E-3</v>
      </c>
      <c r="C197" s="47">
        <f>Dataset!H416</f>
        <v>-1.5217161576666971E-2</v>
      </c>
      <c r="E197" s="8"/>
      <c r="I197" s="8"/>
      <c r="M197" s="8"/>
      <c r="Q197" s="8"/>
      <c r="U197" s="8"/>
      <c r="Y197" s="8"/>
    </row>
    <row r="198" spans="1:25" hidden="1" x14ac:dyDescent="0.25">
      <c r="A198" s="22">
        <f>Dataset!A417</f>
        <v>44985</v>
      </c>
      <c r="B198" s="47">
        <f>Dataset!E417</f>
        <v>-5.2400635226286241E-3</v>
      </c>
      <c r="C198" s="47">
        <f>Dataset!H417</f>
        <v>5.365382551776321E-4</v>
      </c>
      <c r="E198" s="8"/>
      <c r="I198" s="8"/>
      <c r="M198" s="8"/>
      <c r="Q198" s="8"/>
      <c r="U198" s="8"/>
      <c r="Y198" s="8"/>
    </row>
    <row r="199" spans="1:25" hidden="1" x14ac:dyDescent="0.25">
      <c r="A199" s="22">
        <f>Dataset!A418</f>
        <v>44986</v>
      </c>
      <c r="B199" s="47">
        <f>Dataset!E418</f>
        <v>-2.6978017087931905E-3</v>
      </c>
      <c r="C199" s="47">
        <f>Dataset!H418</f>
        <v>1.1904761904761862E-2</v>
      </c>
      <c r="E199" s="8"/>
      <c r="I199" s="8"/>
      <c r="M199" s="8"/>
      <c r="Q199" s="8"/>
      <c r="U199" s="8"/>
      <c r="Y199" s="8"/>
    </row>
    <row r="200" spans="1:25" hidden="1" x14ac:dyDescent="0.25">
      <c r="A200" s="22">
        <f>Dataset!A419</f>
        <v>44987</v>
      </c>
      <c r="B200" s="47">
        <f>Dataset!E419</f>
        <v>9.9001065307238179E-3</v>
      </c>
      <c r="C200" s="47">
        <f>Dataset!H419</f>
        <v>3.6036036036035668E-3</v>
      </c>
      <c r="E200" s="8"/>
      <c r="I200" s="8"/>
      <c r="M200" s="8"/>
      <c r="Q200" s="8"/>
      <c r="U200" s="8"/>
      <c r="Y200" s="8"/>
    </row>
    <row r="201" spans="1:25" hidden="1" x14ac:dyDescent="0.25">
      <c r="A201" s="22">
        <f>Dataset!A420</f>
        <v>44988</v>
      </c>
      <c r="B201" s="47">
        <f>Dataset!E420</f>
        <v>-5.8984016877823287E-3</v>
      </c>
      <c r="C201" s="47">
        <f>Dataset!H420</f>
        <v>2.5345865455697059E-3</v>
      </c>
      <c r="E201" s="8"/>
      <c r="I201" s="8"/>
      <c r="M201" s="8"/>
      <c r="Q201" s="8"/>
      <c r="U201" s="8"/>
      <c r="Y201" s="8"/>
    </row>
    <row r="202" spans="1:25" hidden="1" x14ac:dyDescent="0.25">
      <c r="A202" s="22">
        <f>Dataset!A421</f>
        <v>44991</v>
      </c>
      <c r="B202" s="47">
        <f>Dataset!E421</f>
        <v>1.3894598828875893E-2</v>
      </c>
      <c r="C202" s="47">
        <f>Dataset!H421</f>
        <v>1.7065205941219963E-2</v>
      </c>
      <c r="E202" s="8"/>
      <c r="I202" s="8"/>
      <c r="M202" s="8"/>
      <c r="Q202" s="8"/>
      <c r="U202" s="8"/>
      <c r="Y202" s="8"/>
    </row>
    <row r="203" spans="1:25" hidden="1" x14ac:dyDescent="0.25">
      <c r="A203" s="22">
        <f>Dataset!A422</f>
        <v>44993</v>
      </c>
      <c r="B203" s="47">
        <f>Dataset!E422</f>
        <v>7.1342856673186628E-3</v>
      </c>
      <c r="C203" s="47">
        <f>Dataset!H422</f>
        <v>-1.8850336613153829E-2</v>
      </c>
      <c r="E203" s="8"/>
      <c r="I203" s="8"/>
      <c r="M203" s="8"/>
      <c r="Q203" s="8"/>
      <c r="U203" s="8"/>
      <c r="Y203" s="8"/>
    </row>
    <row r="204" spans="1:25" hidden="1" x14ac:dyDescent="0.25">
      <c r="A204" s="22">
        <f>Dataset!A423</f>
        <v>44994</v>
      </c>
      <c r="B204" s="47">
        <f>Dataset!E423</f>
        <v>2.9923667444682334E-3</v>
      </c>
      <c r="C204" s="47">
        <f>Dataset!H423</f>
        <v>-4.8559062598964031E-3</v>
      </c>
      <c r="E204" s="8"/>
      <c r="I204" s="8"/>
      <c r="M204" s="8"/>
      <c r="Q204" s="8"/>
      <c r="U204" s="8"/>
      <c r="Y204" s="8"/>
    </row>
    <row r="205" spans="1:25" hidden="1" x14ac:dyDescent="0.25">
      <c r="A205" s="22">
        <f>Dataset!A424</f>
        <v>44995</v>
      </c>
      <c r="B205" s="47">
        <f>Dataset!E424</f>
        <v>-8.3699030653481277E-3</v>
      </c>
      <c r="C205" s="47">
        <f>Dataset!H424</f>
        <v>-5.7282274318447568E-3</v>
      </c>
      <c r="E205" s="8"/>
      <c r="I205" s="8"/>
      <c r="M205" s="8"/>
      <c r="Q205" s="8"/>
      <c r="U205" s="8"/>
      <c r="Y205" s="8"/>
    </row>
    <row r="206" spans="1:25" hidden="1" x14ac:dyDescent="0.25">
      <c r="A206" s="22">
        <f>Dataset!A425</f>
        <v>44998</v>
      </c>
      <c r="B206" s="47">
        <f>Dataset!E425</f>
        <v>-8.6702988928274438E-3</v>
      </c>
      <c r="C206" s="47">
        <f>Dataset!H425</f>
        <v>-3.2113517550410697E-2</v>
      </c>
      <c r="E206" s="8"/>
      <c r="I206" s="8"/>
      <c r="M206" s="8"/>
      <c r="Q206" s="8"/>
      <c r="U206" s="8"/>
      <c r="Y206" s="8"/>
    </row>
    <row r="207" spans="1:25" hidden="1" x14ac:dyDescent="0.25">
      <c r="A207" s="22">
        <f>Dataset!A426</f>
        <v>44999</v>
      </c>
      <c r="B207" s="47">
        <f>Dataset!E426</f>
        <v>-1.5058794965318811E-2</v>
      </c>
      <c r="C207" s="47">
        <f>Dataset!H426</f>
        <v>-4.9603174603174427E-3</v>
      </c>
      <c r="E207" s="8"/>
      <c r="I207" s="8"/>
      <c r="M207" s="8"/>
      <c r="Q207" s="8"/>
      <c r="U207" s="8"/>
      <c r="Y207" s="8"/>
    </row>
    <row r="208" spans="1:25" hidden="1" x14ac:dyDescent="0.25">
      <c r="A208" s="22">
        <f>Dataset!A427</f>
        <v>45000</v>
      </c>
      <c r="B208" s="47">
        <f>Dataset!E427</f>
        <v>-6.3195401526103812E-3</v>
      </c>
      <c r="C208" s="47">
        <f>Dataset!H427</f>
        <v>7.6437354602858498E-3</v>
      </c>
      <c r="E208" s="8"/>
      <c r="I208" s="8"/>
      <c r="M208" s="8"/>
      <c r="Q208" s="8"/>
      <c r="U208" s="8"/>
      <c r="Y208" s="8"/>
    </row>
    <row r="209" spans="1:25" hidden="1" x14ac:dyDescent="0.25">
      <c r="A209" s="22">
        <f>Dataset!A428</f>
        <v>45001</v>
      </c>
      <c r="B209" s="47">
        <f>Dataset!E428</f>
        <v>-3.089656416675135E-3</v>
      </c>
      <c r="C209" s="47">
        <f>Dataset!H428</f>
        <v>-1.8029903254177637E-2</v>
      </c>
      <c r="E209" s="8"/>
      <c r="I209" s="8"/>
      <c r="M209" s="8"/>
      <c r="Q209" s="8"/>
      <c r="U209" s="8"/>
      <c r="Y209" s="8"/>
    </row>
    <row r="210" spans="1:25" hidden="1" x14ac:dyDescent="0.25">
      <c r="A210" s="22">
        <f>Dataset!A429</f>
        <v>45002</v>
      </c>
      <c r="B210" s="47">
        <f>Dataset!E429</f>
        <v>1.5156827924758254E-3</v>
      </c>
      <c r="C210" s="47">
        <f>Dataset!H429</f>
        <v>-6.2695924764890609E-3</v>
      </c>
      <c r="E210" s="8"/>
      <c r="I210" s="8"/>
      <c r="M210" s="8"/>
      <c r="Q210" s="8"/>
      <c r="U210" s="8"/>
      <c r="Y210" s="8"/>
    </row>
    <row r="211" spans="1:25" hidden="1" x14ac:dyDescent="0.25">
      <c r="A211" s="22">
        <f>Dataset!A430</f>
        <v>45005</v>
      </c>
      <c r="B211" s="47">
        <f>Dataset!E430</f>
        <v>6.2116711654225387E-3</v>
      </c>
      <c r="C211" s="47">
        <f>Dataset!H430</f>
        <v>-1.6674177557458369E-2</v>
      </c>
      <c r="E211" s="8"/>
      <c r="I211" s="8"/>
      <c r="M211" s="8"/>
      <c r="Q211" s="8"/>
      <c r="U211" s="8"/>
      <c r="Y211" s="8"/>
    </row>
    <row r="212" spans="1:25" hidden="1" x14ac:dyDescent="0.25">
      <c r="A212" s="22">
        <f>Dataset!A431</f>
        <v>45006</v>
      </c>
      <c r="B212" s="47">
        <f>Dataset!E431</f>
        <v>-7.0824868395944485E-3</v>
      </c>
      <c r="C212" s="47">
        <f>Dataset!H431</f>
        <v>-5.0412465627863723E-3</v>
      </c>
      <c r="E212" s="8"/>
      <c r="I212" s="8"/>
      <c r="M212" s="8"/>
      <c r="Q212" s="8"/>
      <c r="U212" s="8"/>
      <c r="Y212" s="8"/>
    </row>
    <row r="213" spans="1:25" hidden="1" x14ac:dyDescent="0.25">
      <c r="A213" s="22">
        <f>Dataset!A432</f>
        <v>45007</v>
      </c>
      <c r="B213" s="47">
        <f>Dataset!E432</f>
        <v>6.8334426081253508E-3</v>
      </c>
      <c r="C213" s="47">
        <f>Dataset!H432</f>
        <v>4.8364808843850415E-3</v>
      </c>
      <c r="E213" s="8"/>
      <c r="I213" s="8"/>
      <c r="M213" s="8"/>
      <c r="Q213" s="8"/>
      <c r="U213" s="8"/>
      <c r="Y213" s="8"/>
    </row>
    <row r="214" spans="1:25" hidden="1" x14ac:dyDescent="0.25">
      <c r="A214" s="22">
        <f>Dataset!A433</f>
        <v>45008</v>
      </c>
      <c r="B214" s="47">
        <f>Dataset!E433</f>
        <v>3.2166976360359367E-3</v>
      </c>
      <c r="C214" s="47">
        <f>Dataset!H433</f>
        <v>8.0220032088011983E-3</v>
      </c>
      <c r="E214" s="8"/>
      <c r="I214" s="8"/>
      <c r="M214" s="8"/>
      <c r="Q214" s="8"/>
      <c r="U214" s="8"/>
      <c r="Y214" s="8"/>
    </row>
    <row r="215" spans="1:25" hidden="1" x14ac:dyDescent="0.25">
      <c r="A215" s="22">
        <f>Dataset!A434</f>
        <v>45009</v>
      </c>
      <c r="B215" s="47">
        <f>Dataset!E434</f>
        <v>-4.0177722068648336E-3</v>
      </c>
      <c r="C215" s="47">
        <f>Dataset!H434</f>
        <v>-1.3869940882219267E-2</v>
      </c>
      <c r="E215" s="8"/>
      <c r="I215" s="8"/>
      <c r="M215" s="8"/>
      <c r="Q215" s="8"/>
      <c r="U215" s="8"/>
      <c r="Y215" s="8"/>
    </row>
    <row r="216" spans="1:25" hidden="1" x14ac:dyDescent="0.25">
      <c r="A216" s="22">
        <f>Dataset!A435</f>
        <v>45012</v>
      </c>
      <c r="B216" s="47">
        <f>Dataset!E435</f>
        <v>-8.0117760747915323E-3</v>
      </c>
      <c r="C216" s="47">
        <f>Dataset!H435</f>
        <v>-2.4094996541388025E-2</v>
      </c>
      <c r="E216" s="8"/>
      <c r="I216" s="8"/>
      <c r="M216" s="8"/>
      <c r="Q216" s="8"/>
      <c r="U216" s="8"/>
      <c r="Y216" s="8"/>
    </row>
    <row r="217" spans="1:25" hidden="1" x14ac:dyDescent="0.25">
      <c r="A217" s="22">
        <f>Dataset!A436</f>
        <v>45013</v>
      </c>
      <c r="B217" s="47">
        <f>Dataset!E436</f>
        <v>2.8318664265247762E-4</v>
      </c>
      <c r="C217" s="47">
        <f>Dataset!H436</f>
        <v>-9.4506792675719264E-4</v>
      </c>
      <c r="E217" s="8"/>
      <c r="I217" s="8"/>
      <c r="M217" s="8"/>
      <c r="Q217" s="8"/>
      <c r="U217" s="8"/>
      <c r="Y217" s="8"/>
    </row>
    <row r="218" spans="1:25" hidden="1" x14ac:dyDescent="0.25">
      <c r="A218" s="22">
        <f>Dataset!A437</f>
        <v>45014</v>
      </c>
      <c r="B218" s="47">
        <f>Dataset!E437</f>
        <v>-3.2330758951827354E-3</v>
      </c>
      <c r="C218" s="47">
        <f>Dataset!H437</f>
        <v>-1.3006976469197573E-3</v>
      </c>
      <c r="E218" s="8"/>
      <c r="I218" s="8"/>
      <c r="M218" s="8"/>
      <c r="Q218" s="8"/>
      <c r="U218" s="8"/>
      <c r="Y218" s="8"/>
    </row>
    <row r="219" spans="1:25" hidden="1" x14ac:dyDescent="0.25">
      <c r="A219" s="22">
        <f>Dataset!A438</f>
        <v>45016</v>
      </c>
      <c r="B219" s="47">
        <f>Dataset!E438</f>
        <v>8.3560079754150252E-3</v>
      </c>
      <c r="C219" s="47">
        <f>Dataset!H438</f>
        <v>1.3615912858157664E-2</v>
      </c>
      <c r="E219" s="8"/>
      <c r="I219" s="8"/>
      <c r="M219" s="8"/>
      <c r="Q219" s="8"/>
      <c r="U219" s="8"/>
      <c r="Y219" s="8"/>
    </row>
    <row r="220" spans="1:25" hidden="1" x14ac:dyDescent="0.25">
      <c r="A220" s="22">
        <f>Dataset!A439</f>
        <v>45019</v>
      </c>
      <c r="B220" s="47">
        <f>Dataset!E439</f>
        <v>1.4906034521609657E-2</v>
      </c>
      <c r="C220" s="47">
        <f>Dataset!H439</f>
        <v>2.2894521668029411E-2</v>
      </c>
      <c r="E220" s="8"/>
      <c r="I220" s="8"/>
      <c r="M220" s="8"/>
      <c r="Q220" s="8"/>
      <c r="U220" s="8"/>
      <c r="Y220" s="8"/>
    </row>
    <row r="221" spans="1:25" hidden="1" x14ac:dyDescent="0.25">
      <c r="A221" s="22">
        <f>Dataset!A440</f>
        <v>45021</v>
      </c>
      <c r="B221" s="47">
        <f>Dataset!E440</f>
        <v>2.5255608965464305E-3</v>
      </c>
      <c r="C221" s="47">
        <f>Dataset!H440</f>
        <v>3.2773780975219768E-2</v>
      </c>
      <c r="E221" s="8"/>
      <c r="I221" s="8"/>
      <c r="M221" s="8"/>
      <c r="Q221" s="8"/>
      <c r="U221" s="8"/>
      <c r="Y221" s="8"/>
    </row>
    <row r="222" spans="1:25" hidden="1" x14ac:dyDescent="0.25">
      <c r="A222" s="22">
        <f>Dataset!A441</f>
        <v>45022</v>
      </c>
      <c r="B222" s="47">
        <f>Dataset!E441</f>
        <v>7.4966918217405087E-3</v>
      </c>
      <c r="C222" s="47">
        <f>Dataset!H441</f>
        <v>1.7138434321096963E-2</v>
      </c>
      <c r="E222" s="8"/>
      <c r="I222" s="8"/>
      <c r="M222" s="8"/>
      <c r="Q222" s="8"/>
      <c r="U222" s="8"/>
      <c r="Y222" s="8"/>
    </row>
    <row r="223" spans="1:25" hidden="1" x14ac:dyDescent="0.25">
      <c r="A223" s="22">
        <f>Dataset!A442</f>
        <v>45026</v>
      </c>
      <c r="B223" s="47">
        <f>Dataset!E442</f>
        <v>2.8741475102627145E-3</v>
      </c>
      <c r="C223" s="47">
        <f>Dataset!H442</f>
        <v>7.1746929014022687E-3</v>
      </c>
      <c r="E223" s="8"/>
      <c r="I223" s="8"/>
      <c r="M223" s="8"/>
      <c r="Q223" s="8"/>
      <c r="U223" s="8"/>
      <c r="Y223" s="8"/>
    </row>
    <row r="224" spans="1:25" hidden="1" x14ac:dyDescent="0.25">
      <c r="A224" s="22">
        <f>Dataset!A443</f>
        <v>45027</v>
      </c>
      <c r="B224" s="47">
        <f>Dataset!E443</f>
        <v>2.0768261274590749E-3</v>
      </c>
      <c r="C224" s="47">
        <f>Dataset!H443</f>
        <v>-2.1586616297897265E-4</v>
      </c>
      <c r="E224" s="8"/>
      <c r="I224" s="8"/>
      <c r="M224" s="8"/>
      <c r="Q224" s="8"/>
      <c r="U224" s="8"/>
      <c r="Y224" s="8"/>
    </row>
    <row r="225" spans="1:25" hidden="1" x14ac:dyDescent="0.25">
      <c r="A225" s="22">
        <f>Dataset!A444</f>
        <v>45028</v>
      </c>
      <c r="B225" s="47">
        <f>Dataset!E444</f>
        <v>5.3699642913778156E-3</v>
      </c>
      <c r="C225" s="47">
        <f>Dataset!H444</f>
        <v>-3.346647954226345E-3</v>
      </c>
      <c r="E225" s="8"/>
      <c r="I225" s="8"/>
      <c r="M225" s="8"/>
      <c r="Q225" s="8"/>
      <c r="U225" s="8"/>
      <c r="Y225" s="8"/>
    </row>
    <row r="226" spans="1:25" hidden="1" x14ac:dyDescent="0.25">
      <c r="A226" s="22">
        <f>Dataset!A445</f>
        <v>45029</v>
      </c>
      <c r="B226" s="47">
        <f>Dataset!E445</f>
        <v>5.1237143121332096E-3</v>
      </c>
      <c r="C226" s="47">
        <f>Dataset!H445</f>
        <v>-1.581455805892551E-2</v>
      </c>
      <c r="E226" s="8"/>
      <c r="I226" s="8"/>
      <c r="M226" s="8"/>
      <c r="Q226" s="8"/>
      <c r="U226" s="8"/>
      <c r="Y226" s="8"/>
    </row>
    <row r="227" spans="1:25" hidden="1" x14ac:dyDescent="0.25">
      <c r="A227" s="22">
        <f>Dataset!A446</f>
        <v>45033</v>
      </c>
      <c r="B227" s="47">
        <f>Dataset!E446</f>
        <v>6.6560962807038493E-4</v>
      </c>
      <c r="C227" s="47">
        <f>Dataset!H446</f>
        <v>5.7230904688529982E-3</v>
      </c>
      <c r="E227" s="8"/>
      <c r="I227" s="8"/>
      <c r="M227" s="8"/>
      <c r="Q227" s="8"/>
      <c r="U227" s="8"/>
      <c r="Y227" s="8"/>
    </row>
    <row r="228" spans="1:25" hidden="1" x14ac:dyDescent="0.25">
      <c r="A228" s="22">
        <f>Dataset!A447</f>
        <v>45034</v>
      </c>
      <c r="B228" s="47">
        <f>Dataset!E447</f>
        <v>-3.9964091803844637E-3</v>
      </c>
      <c r="C228" s="47">
        <f>Dataset!H447</f>
        <v>1.7947034362004954E-2</v>
      </c>
      <c r="E228" s="8"/>
      <c r="I228" s="8"/>
      <c r="M228" s="8"/>
      <c r="Q228" s="8"/>
      <c r="U228" s="8"/>
      <c r="Y228" s="8"/>
    </row>
    <row r="229" spans="1:25" hidden="1" x14ac:dyDescent="0.25">
      <c r="A229" s="22">
        <f>Dataset!A448</f>
        <v>45035</v>
      </c>
      <c r="B229" s="47">
        <f>Dataset!E448</f>
        <v>-6.135402357514419E-4</v>
      </c>
      <c r="C229" s="47">
        <f>Dataset!H448</f>
        <v>-8.7078047731671271E-3</v>
      </c>
      <c r="E229" s="8"/>
      <c r="I229" s="8"/>
      <c r="M229" s="8"/>
      <c r="Q229" s="8"/>
      <c r="U229" s="8"/>
      <c r="Y229" s="8"/>
    </row>
    <row r="230" spans="1:25" hidden="1" x14ac:dyDescent="0.25">
      <c r="A230" s="22">
        <f>Dataset!A449</f>
        <v>45036</v>
      </c>
      <c r="B230" s="47">
        <f>Dataset!E449</f>
        <v>-2.8631345618915782E-3</v>
      </c>
      <c r="C230" s="47">
        <f>Dataset!H449</f>
        <v>-4.5765101398980601E-2</v>
      </c>
      <c r="E230" s="8"/>
      <c r="I230" s="8"/>
      <c r="M230" s="8"/>
      <c r="Q230" s="8"/>
      <c r="U230" s="8"/>
      <c r="Y230" s="8"/>
    </row>
    <row r="231" spans="1:25" hidden="1" x14ac:dyDescent="0.25">
      <c r="A231" s="22">
        <f>Dataset!A450</f>
        <v>45037</v>
      </c>
      <c r="B231" s="47">
        <f>Dataset!E450</f>
        <v>2.5607915570158291E-4</v>
      </c>
      <c r="C231" s="47">
        <f>Dataset!H450</f>
        <v>-2.2275258552108212E-2</v>
      </c>
      <c r="E231" s="8"/>
      <c r="I231" s="8"/>
      <c r="M231" s="8"/>
      <c r="Q231" s="8"/>
      <c r="U231" s="8"/>
      <c r="Y231" s="8"/>
    </row>
    <row r="232" spans="1:25" hidden="1" x14ac:dyDescent="0.25">
      <c r="A232" s="22">
        <f>Dataset!A451</f>
        <v>45040</v>
      </c>
      <c r="B232" s="47">
        <f>Dataset!E451</f>
        <v>-8.0072337458603204E-4</v>
      </c>
      <c r="C232" s="47">
        <f>Dataset!H451</f>
        <v>1.1623852144593272E-4</v>
      </c>
      <c r="E232" s="8"/>
      <c r="I232" s="8"/>
      <c r="M232" s="8"/>
      <c r="Q232" s="8"/>
      <c r="U232" s="8"/>
      <c r="Y232" s="8"/>
    </row>
    <row r="233" spans="1:25" hidden="1" x14ac:dyDescent="0.25">
      <c r="A233" s="22">
        <f>Dataset!A452</f>
        <v>45041</v>
      </c>
      <c r="B233" s="47">
        <f>Dataset!E452</f>
        <v>5.947546023975514E-3</v>
      </c>
      <c r="C233" s="47">
        <f>Dataset!H452</f>
        <v>1.3830776383077614E-2</v>
      </c>
      <c r="E233" s="8"/>
      <c r="I233" s="8"/>
      <c r="M233" s="8"/>
      <c r="Q233" s="8"/>
      <c r="U233" s="8"/>
      <c r="Y233" s="8"/>
    </row>
    <row r="234" spans="1:25" hidden="1" x14ac:dyDescent="0.25">
      <c r="A234" s="22">
        <f>Dataset!A453</f>
        <v>45042</v>
      </c>
      <c r="B234" s="47">
        <f>Dataset!E453</f>
        <v>1.6311887626812016E-3</v>
      </c>
      <c r="C234" s="47">
        <f>Dataset!H453</f>
        <v>-3.3245443081508785E-3</v>
      </c>
      <c r="E234" s="8"/>
      <c r="I234" s="8"/>
      <c r="M234" s="8"/>
      <c r="Q234" s="8"/>
      <c r="U234" s="8"/>
      <c r="Y234" s="8"/>
    </row>
    <row r="235" spans="1:25" hidden="1" x14ac:dyDescent="0.25">
      <c r="A235" s="22">
        <f>Dataset!A454</f>
        <v>45043</v>
      </c>
      <c r="B235" s="47">
        <f>Dataset!E454</f>
        <v>2.45091408815723E-3</v>
      </c>
      <c r="C235" s="47">
        <f>Dataset!H454</f>
        <v>7.9365079365079083E-3</v>
      </c>
      <c r="E235" s="8"/>
      <c r="I235" s="8"/>
      <c r="M235" s="8"/>
      <c r="Q235" s="8"/>
      <c r="U235" s="8"/>
      <c r="Y235" s="8"/>
    </row>
    <row r="236" spans="1:25" hidden="1" x14ac:dyDescent="0.25">
      <c r="A236" s="22">
        <f>Dataset!A455</f>
        <v>45044</v>
      </c>
      <c r="B236" s="47">
        <f>Dataset!E455</f>
        <v>5.380986820090472E-3</v>
      </c>
      <c r="C236" s="47">
        <f>Dataset!H455</f>
        <v>1.1183384685609976E-2</v>
      </c>
      <c r="E236" s="8"/>
      <c r="I236" s="8"/>
      <c r="M236" s="8"/>
      <c r="Q236" s="8"/>
      <c r="U236" s="8"/>
      <c r="Y236" s="8"/>
    </row>
    <row r="237" spans="1:25" hidden="1" x14ac:dyDescent="0.25">
      <c r="A237" s="22">
        <f>Dataset!A456</f>
        <v>45048</v>
      </c>
      <c r="B237" s="47">
        <f>Dataset!E456</f>
        <v>9.6682932590361759E-3</v>
      </c>
      <c r="C237" s="47">
        <f>Dataset!H456</f>
        <v>2.1216566978896179E-2</v>
      </c>
      <c r="E237" s="8"/>
      <c r="I237" s="8"/>
      <c r="M237" s="8"/>
      <c r="Q237" s="8"/>
      <c r="U237" s="8"/>
      <c r="Y237" s="8"/>
    </row>
    <row r="238" spans="1:25" hidden="1" x14ac:dyDescent="0.25">
      <c r="A238" s="22">
        <f>Dataset!A457</f>
        <v>45049</v>
      </c>
      <c r="B238" s="47">
        <f>Dataset!E457</f>
        <v>5.4232241599319053E-3</v>
      </c>
      <c r="C238" s="47">
        <f>Dataset!H457</f>
        <v>7.4041330533760608E-3</v>
      </c>
      <c r="E238" s="8"/>
      <c r="I238" s="8"/>
      <c r="M238" s="8"/>
      <c r="Q238" s="8"/>
      <c r="U238" s="8"/>
      <c r="Y238" s="8"/>
    </row>
    <row r="239" spans="1:25" hidden="1" x14ac:dyDescent="0.25">
      <c r="A239" s="22">
        <f>Dataset!A458</f>
        <v>45050</v>
      </c>
      <c r="B239" s="47">
        <f>Dataset!E458</f>
        <v>-1.972501322051734E-3</v>
      </c>
      <c r="C239" s="47">
        <f>Dataset!H458</f>
        <v>3.6090390522158788E-2</v>
      </c>
      <c r="E239" s="8"/>
      <c r="I239" s="8"/>
      <c r="M239" s="8"/>
      <c r="Q239" s="8"/>
      <c r="U239" s="8"/>
      <c r="Y239" s="8"/>
    </row>
    <row r="240" spans="1:25" hidden="1" x14ac:dyDescent="0.25">
      <c r="A240" s="22">
        <f>Dataset!A459</f>
        <v>45051</v>
      </c>
      <c r="B240" s="47">
        <f>Dataset!E459</f>
        <v>8.440763642721949E-3</v>
      </c>
      <c r="C240" s="47">
        <f>Dataset!H459</f>
        <v>-6.2466913710957916E-3</v>
      </c>
      <c r="E240" s="8"/>
      <c r="I240" s="8"/>
      <c r="M240" s="8"/>
      <c r="Q240" s="8"/>
      <c r="U240" s="8"/>
      <c r="Y240" s="8"/>
    </row>
    <row r="241" spans="1:25" hidden="1" x14ac:dyDescent="0.25">
      <c r="A241" s="22">
        <f>Dataset!A460</f>
        <v>45054</v>
      </c>
      <c r="B241" s="47">
        <f>Dataset!E460</f>
        <v>-8.6118116855822269E-3</v>
      </c>
      <c r="C241" s="47">
        <f>Dataset!H460</f>
        <v>2.0242914979757831E-3</v>
      </c>
      <c r="E241" s="8"/>
      <c r="I241" s="8"/>
      <c r="M241" s="8"/>
      <c r="Q241" s="8"/>
      <c r="U241" s="8"/>
      <c r="Y241" s="8"/>
    </row>
    <row r="242" spans="1:25" hidden="1" x14ac:dyDescent="0.25">
      <c r="A242" s="22">
        <f>Dataset!A461</f>
        <v>45055</v>
      </c>
      <c r="B242" s="47">
        <f>Dataset!E461</f>
        <v>1.001690684276646E-2</v>
      </c>
      <c r="C242" s="47">
        <f>Dataset!H461</f>
        <v>2.4880382775119614E-2</v>
      </c>
      <c r="E242" s="8"/>
      <c r="I242" s="8"/>
      <c r="M242" s="8"/>
      <c r="Q242" s="8"/>
      <c r="U242" s="8"/>
      <c r="Y242" s="8"/>
    </row>
    <row r="243" spans="1:25" hidden="1" x14ac:dyDescent="0.25">
      <c r="A243" s="22">
        <f>Dataset!A462</f>
        <v>45056</v>
      </c>
      <c r="B243" s="47">
        <f>Dataset!E462</f>
        <v>-1.6266903148953737E-4</v>
      </c>
      <c r="C243" s="47">
        <f>Dataset!H462</f>
        <v>3.5688349413839582E-2</v>
      </c>
      <c r="E243" s="8"/>
      <c r="I243" s="8"/>
      <c r="M243" s="8"/>
      <c r="Q243" s="8"/>
      <c r="U243" s="8"/>
      <c r="Y243" s="8"/>
    </row>
    <row r="244" spans="1:25" hidden="1" x14ac:dyDescent="0.25">
      <c r="A244" s="22">
        <f>Dataset!A463</f>
        <v>45057</v>
      </c>
      <c r="B244" s="47">
        <f>Dataset!E463</f>
        <v>2.7868164165003595E-3</v>
      </c>
      <c r="C244" s="47">
        <f>Dataset!H463</f>
        <v>-1.3923670239406993E-2</v>
      </c>
      <c r="E244" s="8"/>
      <c r="I244" s="8"/>
      <c r="M244" s="8"/>
      <c r="Q244" s="8"/>
      <c r="U244" s="8"/>
      <c r="Y244" s="8"/>
    </row>
    <row r="245" spans="1:25" hidden="1" x14ac:dyDescent="0.25">
      <c r="A245" s="22">
        <f>Dataset!A464</f>
        <v>45058</v>
      </c>
      <c r="B245" s="47">
        <f>Dataset!E464</f>
        <v>5.5476759947881149E-4</v>
      </c>
      <c r="C245" s="47">
        <f>Dataset!H464</f>
        <v>1.0971149939049241E-2</v>
      </c>
      <c r="E245" s="8"/>
      <c r="I245" s="8"/>
      <c r="M245" s="8"/>
      <c r="Q245" s="8"/>
      <c r="U245" s="8"/>
      <c r="Y245" s="8"/>
    </row>
    <row r="246" spans="1:25" hidden="1" x14ac:dyDescent="0.25">
      <c r="A246" s="22">
        <f>Dataset!A465</f>
        <v>45061</v>
      </c>
      <c r="B246" s="47">
        <f>Dataset!E465</f>
        <v>-1.7784566135059521E-4</v>
      </c>
      <c r="C246" s="47">
        <f>Dataset!H465</f>
        <v>-2.7130225080386206E-3</v>
      </c>
      <c r="E246" s="8"/>
      <c r="I246" s="8"/>
      <c r="M246" s="8"/>
      <c r="Q246" s="8"/>
      <c r="U246" s="8"/>
      <c r="Y246" s="8"/>
    </row>
    <row r="247" spans="1:25" hidden="1" x14ac:dyDescent="0.25">
      <c r="A247" s="22">
        <f>Dataset!A466</f>
        <v>45062</v>
      </c>
      <c r="B247" s="47">
        <f>Dataset!E466</f>
        <v>4.6195780122735286E-3</v>
      </c>
      <c r="C247" s="47">
        <f>Dataset!H466</f>
        <v>-1.4105793450881476E-3</v>
      </c>
      <c r="E247" s="8"/>
      <c r="I247" s="8"/>
      <c r="M247" s="8"/>
      <c r="Q247" s="8"/>
      <c r="U247" s="8"/>
      <c r="Y247" s="8"/>
    </row>
    <row r="248" spans="1:25" hidden="1" x14ac:dyDescent="0.25">
      <c r="A248" s="22">
        <f>Dataset!A467</f>
        <v>45063</v>
      </c>
      <c r="B248" s="47">
        <f>Dataset!E467</f>
        <v>-4.2025559038878502E-3</v>
      </c>
      <c r="C248" s="47">
        <f>Dataset!H467</f>
        <v>1.2309555039854647E-2</v>
      </c>
      <c r="E248" s="8"/>
      <c r="I248" s="8"/>
      <c r="M248" s="8"/>
      <c r="Q248" s="8"/>
      <c r="U248" s="8"/>
      <c r="Y248" s="8"/>
    </row>
    <row r="249" spans="1:25" hidden="1" x14ac:dyDescent="0.25">
      <c r="A249" s="22">
        <f>Dataset!A468</f>
        <v>45064</v>
      </c>
      <c r="B249" s="47">
        <f>Dataset!E468</f>
        <v>-5.151161756938416E-3</v>
      </c>
      <c r="C249" s="47">
        <f>Dataset!H468</f>
        <v>-1.9734874912787803E-2</v>
      </c>
      <c r="E249" s="8"/>
      <c r="I249" s="8"/>
      <c r="M249" s="8"/>
      <c r="Q249" s="8"/>
      <c r="U249" s="8"/>
      <c r="Y249" s="8"/>
    </row>
    <row r="250" spans="1:25" hidden="1" x14ac:dyDescent="0.25">
      <c r="A250" s="22">
        <f>Dataset!A469</f>
        <v>45065</v>
      </c>
      <c r="B250" s="47">
        <f>Dataset!E469</f>
        <v>-4.1895770472155647E-3</v>
      </c>
      <c r="C250" s="47">
        <f>Dataset!H469</f>
        <v>1.6268429079817626E-3</v>
      </c>
      <c r="E250" s="8"/>
      <c r="I250" s="8"/>
      <c r="M250" s="8"/>
      <c r="Q250" s="8"/>
      <c r="U250" s="8"/>
      <c r="Y250" s="8"/>
    </row>
    <row r="251" spans="1:25" hidden="1" x14ac:dyDescent="0.25">
      <c r="A251" s="22">
        <f>Dataset!A470</f>
        <v>45068</v>
      </c>
      <c r="B251" s="47">
        <f>Dataset!E470</f>
        <v>3.4998442754055059E-3</v>
      </c>
      <c r="C251" s="47">
        <f>Dataset!H470</f>
        <v>-1.522688051974419E-3</v>
      </c>
      <c r="E251" s="8"/>
      <c r="I251" s="8"/>
      <c r="M251" s="8"/>
      <c r="Q251" s="8"/>
      <c r="U251" s="8"/>
      <c r="Y251" s="8"/>
    </row>
    <row r="252" spans="1:25" hidden="1" x14ac:dyDescent="0.25">
      <c r="A252" s="22">
        <f>Dataset!A471</f>
        <v>45069</v>
      </c>
      <c r="B252" s="47">
        <f>Dataset!E471</f>
        <v>6.6280904786955031E-3</v>
      </c>
      <c r="C252" s="47">
        <f>Dataset!H471</f>
        <v>7.1167141114274468E-3</v>
      </c>
      <c r="E252" s="8"/>
      <c r="I252" s="8"/>
      <c r="M252" s="8"/>
      <c r="Q252" s="8"/>
      <c r="U252" s="8"/>
      <c r="Y252" s="8"/>
    </row>
    <row r="253" spans="1:25" hidden="1" x14ac:dyDescent="0.25">
      <c r="A253" s="22">
        <f>Dataset!A472</f>
        <v>45070</v>
      </c>
      <c r="B253" s="47">
        <f>Dataset!E472</f>
        <v>2.6964882943143476E-3</v>
      </c>
      <c r="C253" s="47">
        <f>Dataset!H472</f>
        <v>-8.4797092671108354E-3</v>
      </c>
      <c r="E253" s="8"/>
      <c r="I253" s="8"/>
      <c r="M253" s="8"/>
      <c r="Q253" s="8"/>
      <c r="U253" s="8"/>
      <c r="Y253" s="8"/>
    </row>
    <row r="254" spans="1:25" hidden="1" x14ac:dyDescent="0.25">
      <c r="A254" s="22">
        <f>Dataset!A473</f>
        <v>45071</v>
      </c>
      <c r="B254" s="47">
        <f>Dataset!E473</f>
        <v>-2.0742562905209372E-3</v>
      </c>
      <c r="C254" s="47">
        <f>Dataset!H473</f>
        <v>1.1504785176135179E-2</v>
      </c>
      <c r="E254" s="8"/>
      <c r="I254" s="8"/>
      <c r="M254" s="8"/>
      <c r="Q254" s="8"/>
      <c r="U254" s="8"/>
      <c r="Y254" s="8"/>
    </row>
    <row r="255" spans="1:25" hidden="1" x14ac:dyDescent="0.25">
      <c r="A255" s="22">
        <f>Dataset!A474</f>
        <v>45072</v>
      </c>
      <c r="B255" s="47">
        <f>Dataset!E474</f>
        <v>2.5903759178600438E-3</v>
      </c>
      <c r="C255" s="47">
        <f>Dataset!H474</f>
        <v>3.4222445898339782E-3</v>
      </c>
      <c r="E255" s="8"/>
      <c r="I255" s="8"/>
      <c r="M255" s="8"/>
      <c r="Q255" s="8"/>
      <c r="U255" s="8"/>
      <c r="Y255" s="8"/>
    </row>
    <row r="256" spans="1:25" hidden="1" x14ac:dyDescent="0.25">
      <c r="A256" s="22">
        <f>Dataset!A475</f>
        <v>45075</v>
      </c>
      <c r="B256" s="47">
        <f>Dataset!E475</f>
        <v>9.6106764457686289E-3</v>
      </c>
      <c r="C256" s="47">
        <f>Dataset!H475</f>
        <v>2.1165613401544769E-2</v>
      </c>
      <c r="E256" s="8"/>
      <c r="I256" s="8"/>
      <c r="M256" s="8"/>
      <c r="Q256" s="8"/>
      <c r="U256" s="8"/>
      <c r="Y256" s="8"/>
    </row>
    <row r="257" spans="1:25" hidden="1" x14ac:dyDescent="0.25">
      <c r="A257" s="22">
        <f>Dataset!A476</f>
        <v>45076</v>
      </c>
      <c r="B257" s="47">
        <f>Dataset!E476</f>
        <v>5.0769016453493521E-3</v>
      </c>
      <c r="C257" s="47">
        <f>Dataset!H476</f>
        <v>-8.3497053045186176E-3</v>
      </c>
      <c r="E257" s="8"/>
      <c r="I257" s="8"/>
      <c r="M257" s="8"/>
      <c r="Q257" s="8"/>
      <c r="U257" s="8"/>
      <c r="Y257" s="8"/>
    </row>
    <row r="258" spans="1:25" hidden="1" x14ac:dyDescent="0.25">
      <c r="A258" s="22">
        <f>Dataset!A477</f>
        <v>45077</v>
      </c>
      <c r="B258" s="47">
        <f>Dataset!E477</f>
        <v>1.5913512625576054E-3</v>
      </c>
      <c r="C258" s="47">
        <f>Dataset!H477</f>
        <v>-1.7236255572065318E-2</v>
      </c>
      <c r="E258" s="8"/>
      <c r="I258" s="8"/>
      <c r="M258" s="8"/>
      <c r="Q258" s="8"/>
      <c r="U258" s="8"/>
      <c r="Y258" s="8"/>
    </row>
    <row r="259" spans="1:25" hidden="1" x14ac:dyDescent="0.25">
      <c r="A259" s="22">
        <f>Dataset!A478</f>
        <v>45078</v>
      </c>
      <c r="B259" s="47">
        <f>Dataset!E478</f>
        <v>-3.1622700691394945E-3</v>
      </c>
      <c r="C259" s="47">
        <f>Dataset!H478</f>
        <v>-1.2297147464973346E-2</v>
      </c>
      <c r="E259" s="8"/>
      <c r="I259" s="8"/>
      <c r="M259" s="8"/>
      <c r="Q259" s="8"/>
      <c r="U259" s="8"/>
      <c r="Y259" s="8"/>
    </row>
    <row r="260" spans="1:25" hidden="1" x14ac:dyDescent="0.25">
      <c r="A260" s="22">
        <f>Dataset!A479</f>
        <v>45079</v>
      </c>
      <c r="B260" s="47">
        <f>Dataset!E479</f>
        <v>-1.3213639355049711E-3</v>
      </c>
      <c r="C260" s="47">
        <f>Dataset!H479</f>
        <v>2.1226655781202197E-2</v>
      </c>
      <c r="E260" s="8"/>
      <c r="I260" s="8"/>
      <c r="M260" s="8"/>
      <c r="Q260" s="8"/>
      <c r="U260" s="8"/>
      <c r="Y260" s="8"/>
    </row>
    <row r="261" spans="1:25" hidden="1" x14ac:dyDescent="0.25">
      <c r="A261" s="22">
        <f>Dataset!A480</f>
        <v>45082</v>
      </c>
      <c r="B261" s="47">
        <f>Dataset!E480</f>
        <v>3.0323467480783961E-3</v>
      </c>
      <c r="C261" s="47">
        <f>Dataset!H480</f>
        <v>3.1877685620065765E-2</v>
      </c>
      <c r="E261" s="8"/>
      <c r="I261" s="8"/>
      <c r="M261" s="8"/>
      <c r="Q261" s="8"/>
      <c r="U261" s="8"/>
      <c r="Y261" s="8"/>
    </row>
    <row r="262" spans="1:25" hidden="1" x14ac:dyDescent="0.25">
      <c r="A262" s="22">
        <f>Dataset!A481</f>
        <v>45083</v>
      </c>
      <c r="B262" s="47">
        <f>Dataset!E481</f>
        <v>2.8537992485679897E-3</v>
      </c>
      <c r="C262" s="47">
        <f>Dataset!H481</f>
        <v>8.7158628704253616E-4</v>
      </c>
      <c r="E262" s="8"/>
      <c r="I262" s="8"/>
      <c r="M262" s="8"/>
      <c r="Q262" s="8"/>
      <c r="U262" s="8"/>
      <c r="Y262" s="8"/>
    </row>
    <row r="263" spans="1:25" hidden="1" x14ac:dyDescent="0.25">
      <c r="A263" s="22">
        <f>Dataset!A482</f>
        <v>45084</v>
      </c>
      <c r="B263" s="47">
        <f>Dataset!E482</f>
        <v>7.3701019530769685E-4</v>
      </c>
      <c r="C263" s="47">
        <f>Dataset!H482</f>
        <v>4.6153846153846212E-2</v>
      </c>
      <c r="E263" s="8"/>
      <c r="I263" s="8"/>
      <c r="M263" s="8"/>
      <c r="Q263" s="8"/>
      <c r="U263" s="8"/>
      <c r="Y263" s="8"/>
    </row>
    <row r="264" spans="1:25" hidden="1" x14ac:dyDescent="0.25">
      <c r="A264" s="22">
        <f>Dataset!A483</f>
        <v>45085</v>
      </c>
      <c r="B264" s="47">
        <f>Dataset!E483</f>
        <v>7.5641340370689036E-3</v>
      </c>
      <c r="C264" s="47">
        <f>Dataset!H483</f>
        <v>-2.9781724010358945E-2</v>
      </c>
      <c r="E264" s="8"/>
      <c r="I264" s="8"/>
      <c r="M264" s="8"/>
      <c r="Q264" s="8"/>
      <c r="U264" s="8"/>
      <c r="Y264" s="8"/>
    </row>
    <row r="265" spans="1:25" hidden="1" x14ac:dyDescent="0.25">
      <c r="A265" s="22">
        <f>Dataset!A484</f>
        <v>45086</v>
      </c>
      <c r="B265" s="47">
        <f>Dataset!E484</f>
        <v>-5.2282406208916665E-3</v>
      </c>
      <c r="C265" s="47">
        <f>Dataset!H484</f>
        <v>0</v>
      </c>
      <c r="E265" s="8"/>
      <c r="I265" s="8"/>
      <c r="M265" s="8"/>
      <c r="Q265" s="8"/>
      <c r="U265" s="8"/>
      <c r="Y265" s="8"/>
    </row>
    <row r="266" spans="1:25" hidden="1" x14ac:dyDescent="0.25">
      <c r="A266" s="22">
        <f>Dataset!A485</f>
        <v>45089</v>
      </c>
      <c r="B266" s="47">
        <f>Dataset!E485</f>
        <v>-3.0156600009185741E-3</v>
      </c>
      <c r="C266" s="47">
        <f>Dataset!H485</f>
        <v>-1.3441372735938928E-2</v>
      </c>
      <c r="E266" s="8"/>
      <c r="I266" s="8"/>
      <c r="M266" s="8"/>
      <c r="Q266" s="8"/>
      <c r="U266" s="8"/>
      <c r="Y266" s="8"/>
    </row>
    <row r="267" spans="1:25" hidden="1" x14ac:dyDescent="0.25">
      <c r="A267" s="22">
        <f>Dataset!A486</f>
        <v>45090</v>
      </c>
      <c r="B267" s="47">
        <f>Dataset!E486</f>
        <v>2.7995864596235265E-3</v>
      </c>
      <c r="C267" s="47">
        <f>Dataset!H486</f>
        <v>1.9325538699366263E-4</v>
      </c>
      <c r="E267" s="8"/>
      <c r="I267" s="8"/>
      <c r="M267" s="8"/>
      <c r="Q267" s="8"/>
      <c r="U267" s="8"/>
      <c r="Y267" s="8"/>
    </row>
    <row r="268" spans="1:25" hidden="1" x14ac:dyDescent="0.25">
      <c r="A268" s="22">
        <f>Dataset!A487</f>
        <v>45091</v>
      </c>
      <c r="B268" s="47">
        <f>Dataset!E487</f>
        <v>7.3647624443049509E-3</v>
      </c>
      <c r="C268" s="47">
        <f>Dataset!H487</f>
        <v>1.7389624190902175E-3</v>
      </c>
      <c r="E268" s="8"/>
      <c r="I268" s="8"/>
      <c r="M268" s="8"/>
      <c r="Q268" s="8"/>
      <c r="U268" s="8"/>
      <c r="Y268" s="8"/>
    </row>
    <row r="269" spans="1:25" hidden="1" x14ac:dyDescent="0.25">
      <c r="A269" s="22">
        <f>Dataset!A488</f>
        <v>45092</v>
      </c>
      <c r="B269" s="47">
        <f>Dataset!E488</f>
        <v>2.006322957198492E-3</v>
      </c>
      <c r="C269" s="47">
        <f>Dataset!H488</f>
        <v>2.9896807792457736E-3</v>
      </c>
      <c r="E269" s="8"/>
      <c r="I269" s="8"/>
      <c r="M269" s="8"/>
      <c r="Q269" s="8"/>
      <c r="U269" s="8"/>
      <c r="Y269" s="8"/>
    </row>
    <row r="270" spans="1:25" hidden="1" x14ac:dyDescent="0.25">
      <c r="A270" s="22">
        <f>Dataset!A489</f>
        <v>45093</v>
      </c>
      <c r="B270" s="47">
        <f>Dataset!E489</f>
        <v>-2.083206925146186E-3</v>
      </c>
      <c r="C270" s="47">
        <f>Dataset!H489</f>
        <v>1.2499999999999956E-2</v>
      </c>
      <c r="E270" s="8"/>
      <c r="I270" s="8"/>
      <c r="M270" s="8"/>
      <c r="Q270" s="8"/>
      <c r="U270" s="8"/>
      <c r="Y270" s="8"/>
    </row>
    <row r="271" spans="1:25" x14ac:dyDescent="0.25">
      <c r="A271" s="22">
        <f>Dataset!A490</f>
        <v>45096</v>
      </c>
      <c r="B271" s="47">
        <f>Dataset!E490</f>
        <v>7.6357924604784078E-3</v>
      </c>
      <c r="C271" s="47">
        <f>Dataset!H490</f>
        <v>-1.4529914529914478E-2</v>
      </c>
      <c r="E271" s="8"/>
      <c r="I271" s="8"/>
      <c r="M271" s="8"/>
      <c r="Q271" s="8"/>
      <c r="U271" s="8"/>
      <c r="Y271" s="8"/>
    </row>
    <row r="272" spans="1:25" x14ac:dyDescent="0.25">
      <c r="A272" s="22">
        <f>Dataset!A491</f>
        <v>45097</v>
      </c>
      <c r="B272" s="47">
        <f>Dataset!E491</f>
        <v>-2.9617784750612941E-3</v>
      </c>
      <c r="C272" s="47">
        <f>Dataset!H491</f>
        <v>-1.8695191288426449E-2</v>
      </c>
      <c r="E272" s="8"/>
      <c r="F272" s="19"/>
      <c r="G272" s="19"/>
      <c r="I272" s="8"/>
      <c r="M272" s="8"/>
      <c r="Q272" s="8"/>
      <c r="U272" s="8"/>
      <c r="Y272" s="8"/>
    </row>
    <row r="273" spans="1:25" x14ac:dyDescent="0.25">
      <c r="A273" s="22">
        <f>Dataset!A492</f>
        <v>45098</v>
      </c>
      <c r="B273" s="47">
        <f>Dataset!E492</f>
        <v>3.520309867963034E-3</v>
      </c>
      <c r="C273" s="47">
        <f>Dataset!H492</f>
        <v>1.1784346459785988E-2</v>
      </c>
      <c r="E273" s="8"/>
      <c r="I273" s="8"/>
      <c r="M273" s="8"/>
      <c r="Q273" s="8"/>
      <c r="U273" s="8"/>
      <c r="Y273" s="8"/>
    </row>
    <row r="274" spans="1:25" x14ac:dyDescent="0.25">
      <c r="A274" s="22">
        <f>Dataset!A493</f>
        <v>45099</v>
      </c>
      <c r="B274" s="47">
        <f>Dataset!E493</f>
        <v>2.6485606304278431E-3</v>
      </c>
      <c r="C274" s="47">
        <f>Dataset!H493</f>
        <v>2.1061826652431392E-2</v>
      </c>
      <c r="E274" s="8"/>
      <c r="G274" s="19"/>
      <c r="H274" s="19"/>
      <c r="I274" s="19"/>
      <c r="M274" s="8"/>
      <c r="Q274" s="8"/>
      <c r="U274" s="8"/>
      <c r="Y274" s="8"/>
    </row>
    <row r="275" spans="1:25" x14ac:dyDescent="0.25">
      <c r="A275" s="22">
        <f>Dataset!A494</f>
        <v>45100</v>
      </c>
      <c r="B275" s="47">
        <f>Dataset!E494</f>
        <v>-6.2906322210694032E-3</v>
      </c>
      <c r="C275" s="47">
        <f>Dataset!H494</f>
        <v>7.0437262357414321E-2</v>
      </c>
      <c r="E275" s="8"/>
      <c r="I275" s="8"/>
      <c r="M275" s="8"/>
      <c r="Q275" s="8"/>
      <c r="U275" s="8"/>
      <c r="Y275" s="8"/>
    </row>
    <row r="276" spans="1:25" x14ac:dyDescent="0.25">
      <c r="A276" s="50">
        <f>Dataset!A495</f>
        <v>45103</v>
      </c>
      <c r="B276" s="48">
        <f>Dataset!E495</f>
        <v>-7.5612364311365976E-3</v>
      </c>
      <c r="C276" s="48">
        <f>Dataset!H495</f>
        <v>0.10452002486457701</v>
      </c>
      <c r="D276" s="4">
        <f t="shared" ref="D276:D281" si="0">C276-($B$2+$B$3*B276)</f>
        <v>0.10446144588030382</v>
      </c>
      <c r="E276" s="15">
        <f>D276/$B$5</f>
        <v>5.9696641592531865</v>
      </c>
      <c r="F276" s="16" t="str">
        <f t="shared" ref="F276:F282" si="1">IF(ABS(E276)&lt;1.96,"no","yes")</f>
        <v>yes</v>
      </c>
      <c r="G276" s="5">
        <f>D276</f>
        <v>0.10446144588030382</v>
      </c>
      <c r="M276" s="8"/>
      <c r="Q276" s="8"/>
      <c r="U276" s="8"/>
      <c r="Y276" s="8"/>
    </row>
    <row r="277" spans="1:25" x14ac:dyDescent="0.25">
      <c r="A277" s="50">
        <f>Dataset!A496</f>
        <v>45104</v>
      </c>
      <c r="B277" s="48">
        <f>Dataset!E496</f>
        <v>2.9936619754102889E-3</v>
      </c>
      <c r="C277" s="48">
        <f>Dataset!H496</f>
        <v>-2.6933590609422686E-2</v>
      </c>
      <c r="D277" s="4">
        <f t="shared" si="0"/>
        <v>-2.8255942112986453E-2</v>
      </c>
      <c r="E277" s="15">
        <f t="shared" ref="E277:E281" si="2">D277/$B$5</f>
        <v>-1.6147439229503548</v>
      </c>
      <c r="F277" s="16" t="str">
        <f t="shared" si="1"/>
        <v>no</v>
      </c>
      <c r="G277" s="5">
        <f>G276+D277</f>
        <v>7.6205503767317356E-2</v>
      </c>
      <c r="M277" s="8"/>
      <c r="Q277" s="8"/>
      <c r="U277" s="8"/>
      <c r="Y277" s="8"/>
    </row>
    <row r="278" spans="1:25" x14ac:dyDescent="0.25">
      <c r="A278" s="50">
        <f>Dataset!A497</f>
        <v>45105</v>
      </c>
      <c r="B278" s="48">
        <f>Dataset!E497</f>
        <v>6.1721513342589684E-3</v>
      </c>
      <c r="C278" s="48">
        <f>Dataset!H497</f>
        <v>1.4459224985540864E-2</v>
      </c>
      <c r="D278" s="4">
        <f t="shared" si="0"/>
        <v>1.2756302551793736E-2</v>
      </c>
      <c r="E278" s="15">
        <f t="shared" si="2"/>
        <v>0.72898514381363022</v>
      </c>
      <c r="F278" s="16" t="str">
        <f t="shared" si="1"/>
        <v>no</v>
      </c>
      <c r="G278" s="5">
        <f t="shared" ref="G278:G282" si="3">G277+D278</f>
        <v>8.8961806319111089E-2</v>
      </c>
      <c r="M278" s="8"/>
      <c r="Q278" s="8"/>
      <c r="U278" s="8"/>
      <c r="Y278" s="8"/>
    </row>
    <row r="279" spans="1:25" x14ac:dyDescent="0.25">
      <c r="A279" s="46">
        <f>Dataset!A498</f>
        <v>45107</v>
      </c>
      <c r="B279" s="48">
        <f>Dataset!E498</f>
        <v>7.7660710328573135E-3</v>
      </c>
      <c r="C279" s="48">
        <f>Dataset!H498</f>
        <v>-8.8776673725361466E-3</v>
      </c>
      <c r="D279" s="4">
        <f t="shared" si="0"/>
        <v>-1.0771435026716193E-2</v>
      </c>
      <c r="E279" s="15">
        <f t="shared" si="2"/>
        <v>-0.61555580703326396</v>
      </c>
      <c r="F279" s="16" t="str">
        <f t="shared" si="1"/>
        <v>no</v>
      </c>
      <c r="G279" s="5">
        <f t="shared" si="3"/>
        <v>7.8190371292394895E-2</v>
      </c>
      <c r="M279" s="8"/>
      <c r="Q279" s="8"/>
      <c r="U279" s="8"/>
      <c r="Y279" s="8"/>
    </row>
    <row r="280" spans="1:25" x14ac:dyDescent="0.25">
      <c r="A280" s="50">
        <f>Dataset!A499</f>
        <v>45110</v>
      </c>
      <c r="B280" s="48">
        <f>Dataset!E499</f>
        <v>9.9401293366250254E-3</v>
      </c>
      <c r="C280" s="48">
        <f>Dataset!H499</f>
        <v>-1.2326403155559218E-3</v>
      </c>
      <c r="D280" s="4">
        <f t="shared" si="0"/>
        <v>-3.3867150834390133E-3</v>
      </c>
      <c r="E280" s="15">
        <f t="shared" si="2"/>
        <v>-0.19354079852938411</v>
      </c>
      <c r="F280" s="16" t="str">
        <f t="shared" si="1"/>
        <v>no</v>
      </c>
      <c r="G280" s="5">
        <f t="shared" si="3"/>
        <v>7.4803656208955877E-2</v>
      </c>
      <c r="I280" s="8"/>
      <c r="M280" s="8"/>
      <c r="Q280" s="8"/>
      <c r="U280" s="8"/>
      <c r="Y280" s="8"/>
    </row>
    <row r="281" spans="1:25" x14ac:dyDescent="0.25">
      <c r="A281" s="50">
        <f>Dataset!A500</f>
        <v>45111</v>
      </c>
      <c r="B281" s="48">
        <f>Dataset!E500</f>
        <v>5.9429849520256095E-3</v>
      </c>
      <c r="C281" s="48">
        <f>Dataset!H500</f>
        <v>-1.974658548625996E-3</v>
      </c>
      <c r="D281" s="4">
        <f t="shared" si="0"/>
        <v>-3.6501421416513494E-3</v>
      </c>
      <c r="E281" s="15">
        <f t="shared" si="2"/>
        <v>-0.20859487953252856</v>
      </c>
      <c r="F281" s="16" t="str">
        <f t="shared" si="1"/>
        <v>no</v>
      </c>
      <c r="G281" s="5">
        <f t="shared" si="3"/>
        <v>7.1153514067304524E-2</v>
      </c>
      <c r="I281" s="8"/>
      <c r="M281" s="8"/>
      <c r="Q281" s="8"/>
      <c r="U281" s="8"/>
      <c r="Y281" s="8"/>
    </row>
    <row r="282" spans="1:25" x14ac:dyDescent="0.25">
      <c r="A282" s="49">
        <f>Dataset!A501</f>
        <v>45112</v>
      </c>
      <c r="B282" s="48">
        <f>Dataset!E501</f>
        <v>1.8102396599897208E-3</v>
      </c>
      <c r="C282" s="48">
        <f>Dataset!H501</f>
        <v>2.3907666941467287E-3</v>
      </c>
      <c r="D282" s="4">
        <f>C282-($B$2+$B$3*B282)</f>
        <v>1.210110216279854E-3</v>
      </c>
      <c r="E282" s="15">
        <f>D282/$B$5</f>
        <v>6.9154237010556646E-2</v>
      </c>
      <c r="F282" s="16" t="str">
        <f t="shared" si="1"/>
        <v>no</v>
      </c>
      <c r="G282" s="5">
        <f t="shared" si="3"/>
        <v>7.236362428358438E-2</v>
      </c>
      <c r="I282" s="8"/>
      <c r="M282" s="8"/>
      <c r="Q282" s="8"/>
      <c r="U282" s="8"/>
      <c r="Y282" s="8"/>
    </row>
    <row r="283" spans="1:25" x14ac:dyDescent="0.25">
      <c r="A283" s="22">
        <f>Dataset!A502</f>
        <v>45113</v>
      </c>
      <c r="B283" s="47">
        <f>Dataset!E502</f>
        <v>2.2096083591940374E-3</v>
      </c>
      <c r="C283" s="47">
        <f>Dataset!H502</f>
        <v>1.4803849000739611E-3</v>
      </c>
      <c r="E283" s="8"/>
      <c r="I283" s="8"/>
      <c r="M283" s="8"/>
      <c r="Q283" s="8"/>
      <c r="U283" s="8"/>
      <c r="Y283" s="8"/>
    </row>
    <row r="284" spans="1:25" x14ac:dyDescent="0.25">
      <c r="A284" s="22">
        <f>Dataset!A503</f>
        <v>45114</v>
      </c>
      <c r="B284" s="47">
        <f>Dataset!E503</f>
        <v>5.7715108816007721E-3</v>
      </c>
      <c r="C284" s="47">
        <f>Dataset!H503</f>
        <v>-1.1332840601133265E-2</v>
      </c>
      <c r="E284" s="8"/>
      <c r="I284" s="8"/>
      <c r="M284" s="8"/>
      <c r="Q284" s="8"/>
      <c r="U284" s="8"/>
      <c r="Y284" s="8"/>
    </row>
    <row r="285" spans="1:25" x14ac:dyDescent="0.25">
      <c r="A285" s="22">
        <f>Dataset!A504</f>
        <v>45117</v>
      </c>
      <c r="B285" s="47">
        <f>Dataset!E504</f>
        <v>-8.3883790261296554E-3</v>
      </c>
      <c r="C285" s="47">
        <f>Dataset!H504</f>
        <v>1.3622393886535411E-2</v>
      </c>
      <c r="E285" s="8"/>
      <c r="I285" s="8"/>
      <c r="M285" s="8"/>
      <c r="Q285" s="8"/>
      <c r="U285" s="8"/>
      <c r="Y285" s="8"/>
    </row>
    <row r="286" spans="1:25" x14ac:dyDescent="0.25">
      <c r="A286" s="22">
        <f>Dataset!A505</f>
        <v>45118</v>
      </c>
      <c r="B286" s="47">
        <f>Dataset!E505</f>
        <v>-2.6527544433641026E-4</v>
      </c>
      <c r="C286" s="47">
        <f>Dataset!H505</f>
        <v>-1.8028353683521292E-3</v>
      </c>
      <c r="E286" s="8"/>
      <c r="I286" s="8"/>
      <c r="M286" s="8"/>
      <c r="Q286" s="8"/>
      <c r="U286" s="8"/>
      <c r="Y286" s="8"/>
    </row>
    <row r="287" spans="1:25" x14ac:dyDescent="0.25">
      <c r="A287" s="22">
        <f>Dataset!A506</f>
        <v>45119</v>
      </c>
      <c r="B287" s="47">
        <f>Dataset!E506</f>
        <v>5.4199343514751419E-3</v>
      </c>
      <c r="C287" s="47">
        <f>Dataset!H506</f>
        <v>1.7239963878172837E-3</v>
      </c>
      <c r="E287" s="8"/>
      <c r="I287" s="8"/>
      <c r="M287" s="8"/>
      <c r="Q287" s="8"/>
      <c r="U287" s="8"/>
      <c r="Y287" s="8"/>
    </row>
    <row r="288" spans="1:25" x14ac:dyDescent="0.25">
      <c r="A288" s="22">
        <f>Dataset!A507</f>
        <v>45120</v>
      </c>
      <c r="B288" s="47">
        <f>Dataset!E507</f>
        <v>-1.1680701428563589E-3</v>
      </c>
      <c r="C288" s="47">
        <f>Dataset!H507</f>
        <v>-2.1307982297985584E-3</v>
      </c>
      <c r="E288" s="8"/>
      <c r="I288" s="8"/>
      <c r="M288" s="8"/>
      <c r="Q288" s="8"/>
      <c r="U288" s="8"/>
      <c r="Y288" s="8"/>
    </row>
    <row r="289" spans="1:25" x14ac:dyDescent="0.25">
      <c r="A289" s="22">
        <f>Dataset!A508</f>
        <v>45121</v>
      </c>
      <c r="B289" s="47">
        <f>Dataset!E508</f>
        <v>-6.3609496408512101E-4</v>
      </c>
      <c r="C289" s="47">
        <f>Dataset!H508</f>
        <v>6.3239159001313716E-3</v>
      </c>
      <c r="E289" s="8"/>
      <c r="I289" s="8"/>
      <c r="M289" s="8"/>
      <c r="Q289" s="8"/>
      <c r="U289" s="8"/>
      <c r="Y289" s="8"/>
    </row>
    <row r="290" spans="1:25" x14ac:dyDescent="0.25">
      <c r="A290" s="22">
        <f>Dataset!A509</f>
        <v>45124</v>
      </c>
      <c r="B290" s="47">
        <f>Dataset!E509</f>
        <v>8.2500171365340602E-3</v>
      </c>
      <c r="C290" s="47">
        <f>Dataset!H509</f>
        <v>5.141597976005885E-3</v>
      </c>
      <c r="E290" s="8"/>
      <c r="I290" s="8"/>
      <c r="M290" s="8"/>
      <c r="Q290" s="8"/>
      <c r="U290" s="8"/>
      <c r="Y290" s="8"/>
    </row>
    <row r="291" spans="1:25" x14ac:dyDescent="0.25">
      <c r="A291" s="22">
        <f>Dataset!A510</f>
        <v>45125</v>
      </c>
      <c r="B291" s="47">
        <f>Dataset!E510</f>
        <v>6.2109388278368538E-3</v>
      </c>
      <c r="C291" s="47">
        <f>Dataset!H510</f>
        <v>7.1451770055215302E-3</v>
      </c>
      <c r="E291" s="8"/>
      <c r="I291" s="8"/>
      <c r="M291" s="8"/>
      <c r="Q291" s="8"/>
      <c r="U291" s="8"/>
      <c r="Y291" s="8"/>
    </row>
    <row r="292" spans="1:25" x14ac:dyDescent="0.25">
      <c r="A292" s="22">
        <f>Dataset!A511</f>
        <v>45126</v>
      </c>
      <c r="B292" s="47">
        <f>Dataset!E511</f>
        <v>7.3839560630495349E-4</v>
      </c>
      <c r="C292" s="47">
        <f>Dataset!H511</f>
        <v>-3.5472428248952692E-3</v>
      </c>
      <c r="E292" s="8"/>
      <c r="I292" s="8"/>
      <c r="M292" s="8"/>
      <c r="Q292" s="8"/>
      <c r="U292" s="8"/>
      <c r="Y292" s="8"/>
    </row>
    <row r="293" spans="1:25" x14ac:dyDescent="0.25">
      <c r="A293" s="22">
        <f>Dataset!A512</f>
        <v>45127</v>
      </c>
      <c r="B293" s="47">
        <f>Dataset!E512</f>
        <v>4.6682323892379696E-3</v>
      </c>
      <c r="C293" s="47">
        <f>Dataset!H512</f>
        <v>2.2249190938511409E-2</v>
      </c>
      <c r="E293" s="8"/>
      <c r="I293" s="8"/>
      <c r="M293" s="8"/>
      <c r="Q293" s="8"/>
      <c r="U293" s="8"/>
      <c r="Y293" s="8"/>
    </row>
    <row r="294" spans="1:25" x14ac:dyDescent="0.25">
      <c r="A294" s="22">
        <f>Dataset!A513</f>
        <v>45128</v>
      </c>
      <c r="B294" s="47">
        <f>Dataset!E513</f>
        <v>5.6449716071367284E-3</v>
      </c>
      <c r="C294" s="47">
        <f>Dataset!H513</f>
        <v>1.9786307874951614E-3</v>
      </c>
      <c r="E294" s="8"/>
      <c r="I294" s="8"/>
      <c r="M294" s="8"/>
      <c r="Q294" s="8"/>
      <c r="U294" s="8"/>
      <c r="Y294" s="8"/>
    </row>
    <row r="295" spans="1:25" x14ac:dyDescent="0.25">
      <c r="A295" s="22">
        <f>Dataset!A514</f>
        <v>45131</v>
      </c>
      <c r="B295" s="47">
        <f>Dataset!E514</f>
        <v>-9.5941346901953217E-3</v>
      </c>
      <c r="C295" s="47">
        <f>Dataset!H514</f>
        <v>1.5797788309637184E-3</v>
      </c>
      <c r="E295" s="8"/>
      <c r="I295" s="8"/>
      <c r="M295" s="8"/>
      <c r="Q295" s="8"/>
      <c r="U295" s="8"/>
      <c r="Y295" s="8"/>
    </row>
    <row r="296" spans="1:25" x14ac:dyDescent="0.25">
      <c r="A296" s="22">
        <f>Dataset!A515</f>
        <v>45132</v>
      </c>
      <c r="B296" s="47">
        <f>Dataset!E515</f>
        <v>-2.9446776517760842E-3</v>
      </c>
      <c r="C296" s="47">
        <f>Dataset!H515</f>
        <v>2.3659305993684043E-4</v>
      </c>
      <c r="E296" s="8"/>
      <c r="I296" s="8"/>
      <c r="M296" s="8"/>
      <c r="Q296" s="8"/>
      <c r="U296" s="8"/>
      <c r="Y296" s="8"/>
    </row>
    <row r="297" spans="1:25" x14ac:dyDescent="0.25">
      <c r="A297" s="22">
        <f>Dataset!A516</f>
        <v>45133</v>
      </c>
      <c r="B297" s="47">
        <f>Dataset!E516</f>
        <v>1.7207876954010715E-3</v>
      </c>
      <c r="C297" s="47">
        <f>Dataset!H516</f>
        <v>1.6557596783095541E-3</v>
      </c>
      <c r="E297" s="8"/>
      <c r="I297" s="8"/>
      <c r="M297" s="8"/>
      <c r="Q297" s="8"/>
      <c r="U297" s="8"/>
      <c r="Y297" s="8"/>
    </row>
    <row r="298" spans="1:25" x14ac:dyDescent="0.25">
      <c r="A298" s="22">
        <f>Dataset!A517</f>
        <v>45134</v>
      </c>
      <c r="B298" s="47">
        <f>Dataset!E517</f>
        <v>4.791592275547929E-3</v>
      </c>
      <c r="C298" s="47">
        <f>Dataset!H517</f>
        <v>7.3992443324935042E-3</v>
      </c>
      <c r="E298" s="8"/>
      <c r="I298" s="8"/>
      <c r="M298" s="8"/>
      <c r="Q298" s="8"/>
      <c r="U298" s="8"/>
      <c r="Y298" s="8"/>
    </row>
    <row r="299" spans="1:25" x14ac:dyDescent="0.25">
      <c r="A299" s="22">
        <f>Dataset!A518</f>
        <v>45135</v>
      </c>
      <c r="B299" s="47">
        <f>Dataset!E518</f>
        <v>-3.7842588279362044E-3</v>
      </c>
      <c r="C299" s="47">
        <f>Dataset!H518</f>
        <v>-3.9849976558836708E-3</v>
      </c>
      <c r="E299" s="8"/>
      <c r="I299" s="8"/>
      <c r="M299" s="8"/>
      <c r="Q299" s="8"/>
      <c r="U299" s="8"/>
      <c r="Y299" s="8"/>
    </row>
    <row r="300" spans="1:25" x14ac:dyDescent="0.25">
      <c r="E300" s="8"/>
      <c r="I300" s="8"/>
      <c r="M300" s="8"/>
      <c r="Q300" s="8"/>
      <c r="U300" s="8"/>
      <c r="Y300" s="8"/>
    </row>
    <row r="301" spans="1:25" x14ac:dyDescent="0.25">
      <c r="E301" s="8"/>
      <c r="I301" s="8"/>
      <c r="M301" s="8"/>
      <c r="Q301" s="8"/>
      <c r="U301" s="8"/>
      <c r="Y301" s="8"/>
    </row>
    <row r="302" spans="1:25" x14ac:dyDescent="0.25">
      <c r="E302" s="8"/>
      <c r="I302" s="8"/>
      <c r="M302" s="8"/>
      <c r="Q302" s="8"/>
      <c r="U302" s="8"/>
      <c r="Y302" s="8"/>
    </row>
    <row r="303" spans="1:25" x14ac:dyDescent="0.25">
      <c r="E303" s="8"/>
      <c r="I303" s="8"/>
      <c r="M303" s="8"/>
      <c r="Q303" s="8"/>
      <c r="U303" s="8"/>
      <c r="Y303" s="8"/>
    </row>
    <row r="304" spans="1:25" x14ac:dyDescent="0.25">
      <c r="E304" s="8"/>
      <c r="I304" s="8"/>
      <c r="M304" s="8"/>
      <c r="Q304" s="8"/>
      <c r="U304" s="8"/>
      <c r="Y304" s="8"/>
    </row>
    <row r="305" spans="1:25" x14ac:dyDescent="0.25">
      <c r="E305" s="8"/>
      <c r="I305" s="8"/>
      <c r="M305" s="8"/>
      <c r="Q305" s="8"/>
      <c r="U305" s="8"/>
      <c r="Y305" s="8"/>
    </row>
    <row r="306" spans="1:25" x14ac:dyDescent="0.25">
      <c r="E306" s="8"/>
      <c r="I306" s="8"/>
      <c r="M306" s="8"/>
      <c r="Q306" s="8"/>
      <c r="U306" s="8"/>
      <c r="Y306" s="8"/>
    </row>
    <row r="307" spans="1:25" x14ac:dyDescent="0.25">
      <c r="E307" s="8"/>
      <c r="I307" s="8"/>
      <c r="M307" s="8"/>
      <c r="Q307" s="8"/>
      <c r="U307" s="8"/>
      <c r="Y307" s="8"/>
    </row>
    <row r="308" spans="1:25" x14ac:dyDescent="0.25">
      <c r="E308" s="8"/>
      <c r="I308" s="8"/>
      <c r="M308" s="8"/>
      <c r="Q308" s="8"/>
      <c r="U308" s="8"/>
      <c r="Y308" s="8"/>
    </row>
    <row r="309" spans="1:25" x14ac:dyDescent="0.25">
      <c r="E309" s="8"/>
      <c r="I309" s="8"/>
      <c r="M309" s="8"/>
      <c r="Q309" s="8"/>
      <c r="U309" s="8"/>
      <c r="Y309" s="8"/>
    </row>
    <row r="310" spans="1:25" x14ac:dyDescent="0.25">
      <c r="E310" s="8"/>
      <c r="I310" s="8"/>
      <c r="M310" s="8"/>
      <c r="Q310" s="8"/>
      <c r="U310" s="8"/>
      <c r="Y310" s="8"/>
    </row>
    <row r="311" spans="1:25" x14ac:dyDescent="0.25">
      <c r="E311" s="8"/>
      <c r="I311" s="8"/>
      <c r="M311" s="8"/>
      <c r="Q311" s="8"/>
      <c r="U311" s="8"/>
      <c r="Y311" s="8"/>
    </row>
    <row r="312" spans="1:25" x14ac:dyDescent="0.25">
      <c r="A312" s="21" t="s">
        <v>29</v>
      </c>
      <c r="E312" s="8"/>
      <c r="I312" s="8"/>
      <c r="M312" s="8"/>
      <c r="Q312" s="8"/>
      <c r="U312" s="8"/>
      <c r="Y312" s="8"/>
    </row>
    <row r="313" spans="1:25" x14ac:dyDescent="0.25">
      <c r="A313" s="27" t="s">
        <v>30</v>
      </c>
      <c r="E313" s="8"/>
      <c r="I313" s="8"/>
      <c r="M313" s="8"/>
      <c r="Q313" s="8"/>
      <c r="U313" s="8"/>
      <c r="Y313" s="8"/>
    </row>
    <row r="314" spans="1:25" x14ac:dyDescent="0.25">
      <c r="A314" s="27" t="s">
        <v>31</v>
      </c>
      <c r="E314" s="8"/>
      <c r="I314" s="8"/>
      <c r="M314" s="8"/>
      <c r="Q314" s="8"/>
      <c r="U314" s="8"/>
      <c r="Y314" s="8"/>
    </row>
    <row r="315" spans="1:25" x14ac:dyDescent="0.25">
      <c r="A315" s="27" t="s">
        <v>32</v>
      </c>
      <c r="E315" s="8"/>
      <c r="I315" s="8"/>
      <c r="M315" s="8"/>
      <c r="Q315" s="8"/>
      <c r="U315" s="8"/>
      <c r="Y315" s="8"/>
    </row>
    <row r="316" spans="1:25" x14ac:dyDescent="0.25">
      <c r="A316" s="27" t="s">
        <v>33</v>
      </c>
      <c r="E316" s="8"/>
      <c r="I316" s="8"/>
      <c r="M316" s="8"/>
      <c r="Q316" s="8"/>
      <c r="U316" s="8"/>
      <c r="Y316" s="8"/>
    </row>
    <row r="317" spans="1:25" x14ac:dyDescent="0.25">
      <c r="A317" s="27" t="s">
        <v>34</v>
      </c>
      <c r="E317" s="8"/>
      <c r="I317" s="8"/>
      <c r="M317" s="8"/>
      <c r="Q317" s="8"/>
      <c r="U317" s="8"/>
      <c r="Y317" s="8"/>
    </row>
    <row r="318" spans="1:25" x14ac:dyDescent="0.25">
      <c r="A318" s="27" t="s">
        <v>35</v>
      </c>
      <c r="E318" s="8"/>
      <c r="I318" s="8"/>
      <c r="M318" s="8"/>
      <c r="Q318" s="8"/>
      <c r="U318" s="8"/>
      <c r="Y318" s="8"/>
    </row>
    <row r="319" spans="1:25" x14ac:dyDescent="0.25">
      <c r="E319" s="8"/>
      <c r="I319" s="8"/>
      <c r="M319" s="8"/>
      <c r="Q319" s="8"/>
      <c r="U319" s="8"/>
      <c r="Y319" s="8"/>
    </row>
    <row r="320" spans="1:25" x14ac:dyDescent="0.25">
      <c r="E320" s="8"/>
      <c r="I320" s="8"/>
      <c r="M320" s="8"/>
      <c r="Q320" s="8"/>
      <c r="U320" s="8"/>
      <c r="Y320" s="8"/>
    </row>
    <row r="321" spans="5:25" x14ac:dyDescent="0.25">
      <c r="E321" s="8"/>
      <c r="I321" s="8"/>
      <c r="M321" s="8"/>
      <c r="Q321" s="8"/>
      <c r="U321" s="8"/>
      <c r="Y321" s="8"/>
    </row>
    <row r="322" spans="5:25" x14ac:dyDescent="0.25">
      <c r="E322" s="8"/>
      <c r="I322" s="8"/>
      <c r="M322" s="8"/>
      <c r="Q322" s="8"/>
      <c r="U322" s="8"/>
      <c r="Y322" s="8"/>
    </row>
    <row r="323" spans="5:25" x14ac:dyDescent="0.25">
      <c r="E323" s="8"/>
      <c r="I323" s="8"/>
      <c r="M323" s="8"/>
      <c r="Q323" s="8"/>
      <c r="U323" s="8"/>
      <c r="Y323" s="8"/>
    </row>
    <row r="324" spans="5:25" x14ac:dyDescent="0.25">
      <c r="E324" s="8"/>
      <c r="I324" s="8"/>
      <c r="M324" s="8"/>
      <c r="Q324" s="8"/>
      <c r="U324" s="8"/>
      <c r="Y324" s="8"/>
    </row>
    <row r="325" spans="5:25" x14ac:dyDescent="0.25">
      <c r="E325" s="8"/>
      <c r="I325" s="8"/>
      <c r="M325" s="8"/>
      <c r="Q325" s="8"/>
      <c r="U325" s="8"/>
      <c r="Y325" s="8"/>
    </row>
    <row r="326" spans="5:25" x14ac:dyDescent="0.25">
      <c r="E326" s="8"/>
      <c r="I326" s="8"/>
      <c r="M326" s="8"/>
      <c r="Q326" s="8"/>
      <c r="U326" s="8"/>
      <c r="Y326" s="8"/>
    </row>
    <row r="327" spans="5:25" x14ac:dyDescent="0.25">
      <c r="E327" s="8"/>
      <c r="I327" s="8"/>
      <c r="M327" s="8"/>
      <c r="Q327" s="8"/>
      <c r="U327" s="8"/>
      <c r="Y327" s="8"/>
    </row>
    <row r="328" spans="5:25" x14ac:dyDescent="0.25">
      <c r="E328" s="8"/>
      <c r="I328" s="8"/>
      <c r="M328" s="8"/>
      <c r="Q328" s="8"/>
      <c r="U328" s="8"/>
      <c r="Y328" s="8"/>
    </row>
    <row r="329" spans="5:25" x14ac:dyDescent="0.25">
      <c r="E329" s="8"/>
      <c r="I329" s="8"/>
      <c r="M329" s="8"/>
      <c r="Q329" s="8"/>
      <c r="U329" s="8"/>
      <c r="Y329" s="8"/>
    </row>
    <row r="330" spans="5:25" x14ac:dyDescent="0.25">
      <c r="E330" s="8"/>
      <c r="I330" s="8"/>
      <c r="M330" s="8"/>
      <c r="Q330" s="8"/>
      <c r="U330" s="8"/>
      <c r="Y330" s="8"/>
    </row>
    <row r="331" spans="5:25" x14ac:dyDescent="0.25">
      <c r="E331" s="8"/>
      <c r="I331" s="8"/>
      <c r="M331" s="8"/>
      <c r="Q331" s="8"/>
      <c r="U331" s="8"/>
      <c r="Y331" s="8"/>
    </row>
    <row r="332" spans="5:25" x14ac:dyDescent="0.25">
      <c r="E332" s="8"/>
      <c r="I332" s="8"/>
      <c r="M332" s="8"/>
      <c r="Q332" s="8"/>
      <c r="U332" s="8"/>
      <c r="Y332" s="8"/>
    </row>
    <row r="333" spans="5:25" x14ac:dyDescent="0.25">
      <c r="E333" s="8"/>
      <c r="I333" s="8"/>
      <c r="M333" s="8"/>
      <c r="Q333" s="8"/>
      <c r="U333" s="8"/>
      <c r="Y333" s="8"/>
    </row>
    <row r="334" spans="5:25" x14ac:dyDescent="0.25">
      <c r="E334" s="8"/>
      <c r="I334" s="8"/>
      <c r="M334" s="8"/>
      <c r="Q334" s="8"/>
      <c r="U334" s="8"/>
      <c r="Y334" s="8"/>
    </row>
    <row r="335" spans="5:25" x14ac:dyDescent="0.25">
      <c r="E335" s="8"/>
      <c r="I335" s="8"/>
      <c r="M335" s="8"/>
      <c r="Q335" s="8"/>
      <c r="U335" s="8"/>
      <c r="Y335" s="8"/>
    </row>
    <row r="336" spans="5:25" x14ac:dyDescent="0.25">
      <c r="E336" s="8"/>
      <c r="I336" s="8"/>
      <c r="M336" s="8"/>
      <c r="Q336" s="8"/>
      <c r="U336" s="8"/>
      <c r="Y336" s="8"/>
    </row>
    <row r="337" spans="5:25" x14ac:dyDescent="0.25">
      <c r="E337" s="8"/>
      <c r="I337" s="8"/>
      <c r="M337" s="8"/>
      <c r="Q337" s="8"/>
      <c r="U337" s="8"/>
      <c r="Y337" s="8"/>
    </row>
    <row r="338" spans="5:25" x14ac:dyDescent="0.25">
      <c r="E338" s="8"/>
      <c r="I338" s="8"/>
      <c r="M338" s="8"/>
      <c r="Q338" s="8"/>
      <c r="U338" s="8"/>
      <c r="Y338" s="8"/>
    </row>
    <row r="339" spans="5:25" x14ac:dyDescent="0.25">
      <c r="E339" s="8"/>
      <c r="I339" s="8"/>
      <c r="M339" s="8"/>
      <c r="Q339" s="8"/>
      <c r="U339" s="8"/>
      <c r="Y339" s="8"/>
    </row>
    <row r="340" spans="5:25" x14ac:dyDescent="0.25">
      <c r="E340" s="8"/>
      <c r="I340" s="8"/>
      <c r="M340" s="8"/>
      <c r="Q340" s="8"/>
      <c r="U340" s="8"/>
      <c r="Y340" s="8"/>
    </row>
    <row r="341" spans="5:25" x14ac:dyDescent="0.25">
      <c r="E341" s="8"/>
      <c r="I341" s="8"/>
      <c r="M341" s="8"/>
      <c r="Q341" s="8"/>
      <c r="U341" s="8"/>
      <c r="Y341" s="8"/>
    </row>
    <row r="342" spans="5:25" x14ac:dyDescent="0.25">
      <c r="E342" s="8"/>
      <c r="I342" s="8"/>
      <c r="M342" s="8"/>
      <c r="Q342" s="8"/>
      <c r="U342" s="8"/>
      <c r="Y342" s="8"/>
    </row>
    <row r="343" spans="5:25" x14ac:dyDescent="0.25">
      <c r="E343" s="8"/>
      <c r="I343" s="8"/>
      <c r="M343" s="8"/>
      <c r="Q343" s="8"/>
      <c r="U343" s="8"/>
      <c r="Y343" s="8"/>
    </row>
    <row r="344" spans="5:25" x14ac:dyDescent="0.25">
      <c r="E344" s="8"/>
      <c r="I344" s="8"/>
      <c r="M344" s="8"/>
      <c r="Q344" s="8"/>
      <c r="U344" s="8"/>
      <c r="Y344" s="8"/>
    </row>
    <row r="345" spans="5:25" x14ac:dyDescent="0.25">
      <c r="E345" s="8"/>
      <c r="I345" s="8"/>
      <c r="M345" s="8"/>
      <c r="Q345" s="8"/>
      <c r="U345" s="8"/>
      <c r="Y345" s="8"/>
    </row>
    <row r="346" spans="5:25" x14ac:dyDescent="0.25">
      <c r="E346" s="8"/>
      <c r="I346" s="8"/>
      <c r="M346" s="8"/>
      <c r="Q346" s="8"/>
      <c r="U346" s="8"/>
      <c r="Y346" s="8"/>
    </row>
    <row r="347" spans="5:25" x14ac:dyDescent="0.25">
      <c r="E347" s="8"/>
      <c r="I347" s="8"/>
      <c r="M347" s="8"/>
      <c r="Q347" s="8"/>
      <c r="U347" s="8"/>
      <c r="Y347" s="8"/>
    </row>
    <row r="348" spans="5:25" x14ac:dyDescent="0.25">
      <c r="E348" s="8"/>
      <c r="I348" s="8"/>
      <c r="M348" s="8"/>
      <c r="Q348" s="8"/>
      <c r="U348" s="8"/>
      <c r="Y348" s="8"/>
    </row>
    <row r="349" spans="5:25" x14ac:dyDescent="0.25">
      <c r="E349" s="8"/>
      <c r="I349" s="8"/>
      <c r="M349" s="8"/>
      <c r="Q349" s="8"/>
      <c r="U349" s="8"/>
      <c r="Y349" s="8"/>
    </row>
    <row r="350" spans="5:25" x14ac:dyDescent="0.25">
      <c r="E350" s="8"/>
      <c r="I350" s="8"/>
      <c r="M350" s="8"/>
      <c r="Q350" s="8"/>
      <c r="U350" s="8"/>
      <c r="Y350" s="8"/>
    </row>
    <row r="351" spans="5:25" x14ac:dyDescent="0.25">
      <c r="E351" s="8"/>
      <c r="I351" s="8"/>
      <c r="M351" s="8"/>
      <c r="Q351" s="8"/>
      <c r="U351" s="8"/>
      <c r="Y351" s="8"/>
    </row>
    <row r="352" spans="5:25" x14ac:dyDescent="0.25">
      <c r="E352" s="8"/>
      <c r="I352" s="8"/>
      <c r="M352" s="8"/>
      <c r="Q352" s="8"/>
      <c r="U352" s="8"/>
      <c r="Y352" s="8"/>
    </row>
    <row r="353" spans="5:25" x14ac:dyDescent="0.25">
      <c r="E353" s="8"/>
      <c r="I353" s="8"/>
      <c r="M353" s="8"/>
      <c r="Q353" s="8"/>
      <c r="U353" s="8"/>
      <c r="Y353" s="8"/>
    </row>
    <row r="354" spans="5:25" x14ac:dyDescent="0.25">
      <c r="E354" s="8"/>
      <c r="I354" s="8"/>
      <c r="M354" s="8"/>
      <c r="Q354" s="8"/>
      <c r="U354" s="8"/>
      <c r="Y354" s="8"/>
    </row>
    <row r="355" spans="5:25" x14ac:dyDescent="0.25">
      <c r="E355" s="8"/>
      <c r="I355" s="8"/>
      <c r="M355" s="8"/>
      <c r="Q355" s="8"/>
      <c r="U355" s="8"/>
      <c r="Y355" s="8"/>
    </row>
    <row r="356" spans="5:25" x14ac:dyDescent="0.25">
      <c r="E356" s="8"/>
      <c r="I356" s="8"/>
      <c r="M356" s="8"/>
      <c r="Q356" s="8"/>
      <c r="U356" s="8"/>
      <c r="Y356" s="8"/>
    </row>
    <row r="357" spans="5:25" x14ac:dyDescent="0.25">
      <c r="E357" s="8"/>
      <c r="I357" s="8"/>
      <c r="M357" s="8"/>
      <c r="Q357" s="8"/>
      <c r="U357" s="8"/>
      <c r="Y357" s="8"/>
    </row>
    <row r="358" spans="5:25" x14ac:dyDescent="0.25">
      <c r="E358" s="8"/>
      <c r="I358" s="8"/>
      <c r="M358" s="8"/>
      <c r="Q358" s="8"/>
      <c r="U358" s="8"/>
      <c r="Y358" s="8"/>
    </row>
    <row r="359" spans="5:25" x14ac:dyDescent="0.25">
      <c r="E359" s="8"/>
      <c r="I359" s="8"/>
      <c r="M359" s="8"/>
      <c r="Q359" s="8"/>
      <c r="U359" s="8"/>
      <c r="Y359" s="8"/>
    </row>
    <row r="360" spans="5:25" x14ac:dyDescent="0.25">
      <c r="E360" s="8"/>
      <c r="I360" s="8"/>
      <c r="M360" s="8"/>
      <c r="Q360" s="8"/>
      <c r="U360" s="8"/>
      <c r="Y360" s="8"/>
    </row>
    <row r="361" spans="5:25" x14ac:dyDescent="0.25">
      <c r="E361" s="8"/>
      <c r="I361" s="8"/>
      <c r="M361" s="8"/>
      <c r="Q361" s="8"/>
      <c r="U361" s="8"/>
      <c r="Y361" s="8"/>
    </row>
    <row r="362" spans="5:25" x14ac:dyDescent="0.25">
      <c r="E362" s="8"/>
      <c r="I362" s="8"/>
      <c r="M362" s="8"/>
      <c r="Q362" s="8"/>
      <c r="U362" s="8"/>
      <c r="Y362" s="8"/>
    </row>
    <row r="363" spans="5:25" x14ac:dyDescent="0.25">
      <c r="E363" s="8"/>
      <c r="I363" s="8"/>
      <c r="M363" s="8"/>
      <c r="Q363" s="8"/>
      <c r="U363" s="8"/>
      <c r="Y363" s="8"/>
    </row>
    <row r="364" spans="5:25" x14ac:dyDescent="0.25">
      <c r="E364" s="8"/>
      <c r="I364" s="8"/>
      <c r="M364" s="8"/>
      <c r="Q364" s="8"/>
      <c r="U364" s="8"/>
      <c r="Y364" s="8"/>
    </row>
    <row r="365" spans="5:25" x14ac:dyDescent="0.25">
      <c r="E365" s="8"/>
      <c r="I365" s="8"/>
      <c r="M365" s="8"/>
      <c r="Q365" s="8"/>
      <c r="U365" s="8"/>
      <c r="Y365" s="8"/>
    </row>
    <row r="366" spans="5:25" x14ac:dyDescent="0.25">
      <c r="E366" s="8"/>
      <c r="I366" s="8"/>
      <c r="M366" s="8"/>
      <c r="Q366" s="8"/>
      <c r="U366" s="8"/>
      <c r="Y366" s="8"/>
    </row>
    <row r="367" spans="5:25" x14ac:dyDescent="0.25">
      <c r="E367" s="8"/>
      <c r="I367" s="8"/>
      <c r="M367" s="8"/>
      <c r="Q367" s="8"/>
      <c r="U367" s="8"/>
      <c r="Y367" s="8"/>
    </row>
    <row r="368" spans="5:25" x14ac:dyDescent="0.25">
      <c r="E368" s="8"/>
      <c r="I368" s="8"/>
      <c r="M368" s="8"/>
      <c r="Q368" s="8"/>
      <c r="U368" s="8"/>
      <c r="Y368" s="8"/>
    </row>
    <row r="369" spans="5:25" x14ac:dyDescent="0.25">
      <c r="E369" s="8"/>
      <c r="I369" s="8"/>
      <c r="M369" s="8"/>
      <c r="Q369" s="8"/>
      <c r="U369" s="8"/>
      <c r="Y369" s="8"/>
    </row>
    <row r="370" spans="5:25" x14ac:dyDescent="0.25">
      <c r="E370" s="8"/>
      <c r="I370" s="8"/>
      <c r="M370" s="8"/>
      <c r="Q370" s="8"/>
      <c r="U370" s="8"/>
      <c r="Y370" s="8"/>
    </row>
    <row r="371" spans="5:25" x14ac:dyDescent="0.25">
      <c r="E371" s="8"/>
      <c r="I371" s="8"/>
      <c r="M371" s="8"/>
      <c r="Q371" s="8"/>
      <c r="U371" s="8"/>
      <c r="Y371" s="8"/>
    </row>
    <row r="372" spans="5:25" x14ac:dyDescent="0.25">
      <c r="E372" s="8"/>
      <c r="I372" s="8"/>
      <c r="M372" s="8"/>
      <c r="Q372" s="8"/>
      <c r="U372" s="8"/>
      <c r="Y372" s="8"/>
    </row>
    <row r="373" spans="5:25" x14ac:dyDescent="0.25">
      <c r="E373" s="8"/>
      <c r="I373" s="8"/>
      <c r="M373" s="8"/>
      <c r="Q373" s="8"/>
      <c r="U373" s="8"/>
      <c r="Y373" s="8"/>
    </row>
    <row r="374" spans="5:25" x14ac:dyDescent="0.25">
      <c r="E374" s="8"/>
      <c r="I374" s="8"/>
      <c r="M374" s="8"/>
      <c r="Q374" s="8"/>
      <c r="U374" s="8"/>
      <c r="Y374" s="8"/>
    </row>
    <row r="375" spans="5:25" x14ac:dyDescent="0.25">
      <c r="E375" s="8"/>
      <c r="I375" s="8"/>
      <c r="M375" s="8"/>
      <c r="Q375" s="8"/>
      <c r="U375" s="8"/>
      <c r="Y375" s="8"/>
    </row>
    <row r="376" spans="5:25" x14ac:dyDescent="0.25">
      <c r="E376" s="8"/>
      <c r="I376" s="8"/>
      <c r="M376" s="8"/>
      <c r="Q376" s="8"/>
      <c r="U376" s="8"/>
      <c r="Y376" s="8"/>
    </row>
    <row r="377" spans="5:25" x14ac:dyDescent="0.25">
      <c r="E377" s="8"/>
      <c r="I377" s="8"/>
      <c r="M377" s="8"/>
      <c r="Q377" s="8"/>
      <c r="U377" s="8"/>
      <c r="Y377" s="8"/>
    </row>
    <row r="378" spans="5:25" x14ac:dyDescent="0.25">
      <c r="E378" s="8"/>
      <c r="I378" s="8"/>
      <c r="M378" s="8"/>
      <c r="Q378" s="8"/>
      <c r="U378" s="8"/>
      <c r="Y378" s="8"/>
    </row>
    <row r="379" spans="5:25" x14ac:dyDescent="0.25">
      <c r="E379" s="8"/>
      <c r="I379" s="8"/>
      <c r="M379" s="8"/>
      <c r="Q379" s="8"/>
      <c r="U379" s="8"/>
      <c r="Y379" s="8"/>
    </row>
    <row r="380" spans="5:25" x14ac:dyDescent="0.25">
      <c r="E380" s="8"/>
      <c r="I380" s="8"/>
      <c r="M380" s="8"/>
      <c r="Q380" s="8"/>
      <c r="U380" s="8"/>
      <c r="Y380" s="8"/>
    </row>
    <row r="381" spans="5:25" x14ac:dyDescent="0.25">
      <c r="E381" s="8"/>
      <c r="I381" s="8"/>
      <c r="M381" s="8"/>
      <c r="Q381" s="8"/>
      <c r="U381" s="8"/>
      <c r="Y381" s="8"/>
    </row>
    <row r="382" spans="5:25" x14ac:dyDescent="0.25">
      <c r="E382" s="8"/>
      <c r="I382" s="8"/>
      <c r="M382" s="8"/>
      <c r="Q382" s="8"/>
      <c r="U382" s="8"/>
      <c r="Y382" s="8"/>
    </row>
    <row r="383" spans="5:25" x14ac:dyDescent="0.25">
      <c r="E383" s="8"/>
      <c r="I383" s="8"/>
      <c r="M383" s="8"/>
      <c r="Q383" s="8"/>
      <c r="U383" s="8"/>
      <c r="Y383" s="8"/>
    </row>
    <row r="384" spans="5:25" x14ac:dyDescent="0.25">
      <c r="E384" s="8"/>
      <c r="I384" s="8"/>
      <c r="M384" s="8"/>
      <c r="Q384" s="8"/>
      <c r="U384" s="8"/>
      <c r="Y384" s="8"/>
    </row>
    <row r="385" spans="5:25" x14ac:dyDescent="0.25">
      <c r="E385" s="8"/>
      <c r="I385" s="8"/>
      <c r="M385" s="8"/>
      <c r="Q385" s="8"/>
      <c r="U385" s="8"/>
      <c r="Y385" s="8"/>
    </row>
    <row r="386" spans="5:25" x14ac:dyDescent="0.25">
      <c r="E386" s="8"/>
      <c r="I386" s="8"/>
      <c r="M386" s="8"/>
      <c r="Q386" s="8"/>
      <c r="U386" s="8"/>
      <c r="Y386" s="8"/>
    </row>
    <row r="387" spans="5:25" x14ac:dyDescent="0.25">
      <c r="E387" s="8"/>
      <c r="I387" s="8"/>
      <c r="M387" s="8"/>
      <c r="Q387" s="8"/>
      <c r="U387" s="8"/>
      <c r="Y387" s="8"/>
    </row>
    <row r="388" spans="5:25" x14ac:dyDescent="0.25">
      <c r="E388" s="8"/>
      <c r="I388" s="8"/>
      <c r="M388" s="8"/>
      <c r="Q388" s="8"/>
      <c r="U388" s="8"/>
      <c r="Y388" s="8"/>
    </row>
    <row r="389" spans="5:25" x14ac:dyDescent="0.25">
      <c r="E389" s="8"/>
      <c r="I389" s="8"/>
      <c r="M389" s="8"/>
      <c r="Q389" s="8"/>
      <c r="U389" s="8"/>
      <c r="Y389" s="8"/>
    </row>
    <row r="390" spans="5:25" x14ac:dyDescent="0.25">
      <c r="E390" s="8"/>
      <c r="I390" s="8"/>
      <c r="M390" s="8"/>
      <c r="Q390" s="8"/>
      <c r="U390" s="8"/>
      <c r="Y390" s="8"/>
    </row>
    <row r="391" spans="5:25" x14ac:dyDescent="0.25">
      <c r="E391" s="8"/>
      <c r="I391" s="8"/>
      <c r="M391" s="8"/>
      <c r="Q391" s="8"/>
      <c r="U391" s="8"/>
      <c r="Y391" s="8"/>
    </row>
    <row r="392" spans="5:25" x14ac:dyDescent="0.25">
      <c r="E392" s="8"/>
      <c r="I392" s="8"/>
      <c r="M392" s="8"/>
      <c r="Q392" s="8"/>
      <c r="U392" s="8"/>
      <c r="Y392" s="8"/>
    </row>
    <row r="393" spans="5:25" x14ac:dyDescent="0.25">
      <c r="E393" s="8"/>
      <c r="I393" s="8"/>
      <c r="M393" s="8"/>
      <c r="Q393" s="8"/>
      <c r="U393" s="8"/>
      <c r="Y393" s="8"/>
    </row>
    <row r="394" spans="5:25" x14ac:dyDescent="0.25">
      <c r="E394" s="8"/>
      <c r="I394" s="8"/>
      <c r="M394" s="8"/>
      <c r="Q394" s="8"/>
      <c r="U394" s="8"/>
      <c r="Y394" s="8"/>
    </row>
    <row r="395" spans="5:25" x14ac:dyDescent="0.25">
      <c r="E395" s="8"/>
      <c r="I395" s="8"/>
      <c r="M395" s="8"/>
      <c r="Q395" s="8"/>
      <c r="U395" s="8"/>
      <c r="Y395" s="8"/>
    </row>
    <row r="396" spans="5:25" x14ac:dyDescent="0.25">
      <c r="E396" s="8"/>
      <c r="I396" s="8"/>
      <c r="M396" s="8"/>
      <c r="Q396" s="8"/>
      <c r="U396" s="8"/>
      <c r="Y396" s="8"/>
    </row>
    <row r="397" spans="5:25" x14ac:dyDescent="0.25">
      <c r="E397" s="8"/>
      <c r="I397" s="8"/>
      <c r="M397" s="8"/>
      <c r="Q397" s="8"/>
      <c r="U397" s="8"/>
      <c r="Y397" s="8"/>
    </row>
    <row r="398" spans="5:25" x14ac:dyDescent="0.25">
      <c r="E398" s="8"/>
      <c r="I398" s="8"/>
      <c r="M398" s="8"/>
      <c r="Q398" s="8"/>
      <c r="U398" s="8"/>
      <c r="Y398" s="8"/>
    </row>
    <row r="399" spans="5:25" x14ac:dyDescent="0.25">
      <c r="E399" s="8"/>
      <c r="I399" s="8"/>
      <c r="M399" s="8"/>
      <c r="Q399" s="8"/>
      <c r="U399" s="8"/>
      <c r="Y399" s="8"/>
    </row>
    <row r="400" spans="5:25" x14ac:dyDescent="0.25">
      <c r="E400" s="8"/>
      <c r="I400" s="8"/>
      <c r="M400" s="8"/>
      <c r="Q400" s="8"/>
      <c r="U400" s="8"/>
      <c r="Y400" s="8"/>
    </row>
    <row r="401" spans="5:25" x14ac:dyDescent="0.25">
      <c r="E401" s="8"/>
      <c r="I401" s="8"/>
      <c r="M401" s="8"/>
      <c r="Q401" s="8"/>
      <c r="U401" s="8"/>
      <c r="Y401" s="8"/>
    </row>
    <row r="402" spans="5:25" x14ac:dyDescent="0.25">
      <c r="E402" s="8"/>
      <c r="I402" s="8"/>
      <c r="M402" s="8"/>
      <c r="Q402" s="8"/>
      <c r="U402" s="8"/>
      <c r="Y402" s="8"/>
    </row>
    <row r="403" spans="5:25" x14ac:dyDescent="0.25">
      <c r="E403" s="8"/>
      <c r="I403" s="8"/>
      <c r="M403" s="8"/>
      <c r="Q403" s="8"/>
      <c r="U403" s="8"/>
      <c r="Y403" s="8"/>
    </row>
    <row r="404" spans="5:25" x14ac:dyDescent="0.25">
      <c r="E404" s="8"/>
      <c r="I404" s="8"/>
      <c r="M404" s="8"/>
      <c r="Q404" s="8"/>
      <c r="U404" s="8"/>
      <c r="Y404" s="8"/>
    </row>
    <row r="405" spans="5:25" x14ac:dyDescent="0.25">
      <c r="E405" s="8"/>
      <c r="I405" s="8"/>
      <c r="M405" s="8"/>
      <c r="Q405" s="8"/>
      <c r="U405" s="8"/>
      <c r="Y405" s="8"/>
    </row>
    <row r="406" spans="5:25" x14ac:dyDescent="0.25">
      <c r="E406" s="8"/>
      <c r="I406" s="8"/>
      <c r="M406" s="8"/>
      <c r="Q406" s="8"/>
      <c r="U406" s="8"/>
      <c r="Y406" s="8"/>
    </row>
    <row r="407" spans="5:25" x14ac:dyDescent="0.25">
      <c r="E407" s="8"/>
      <c r="I407" s="8"/>
      <c r="M407" s="8"/>
      <c r="Q407" s="8"/>
      <c r="U407" s="8"/>
      <c r="Y407" s="8"/>
    </row>
    <row r="408" spans="5:25" x14ac:dyDescent="0.25">
      <c r="E408" s="8"/>
      <c r="I408" s="8"/>
      <c r="M408" s="8"/>
      <c r="Q408" s="8"/>
      <c r="U408" s="8"/>
      <c r="Y408" s="8"/>
    </row>
    <row r="409" spans="5:25" x14ac:dyDescent="0.25">
      <c r="E409" s="8"/>
      <c r="I409" s="8"/>
      <c r="M409" s="8"/>
      <c r="Q409" s="8"/>
      <c r="U409" s="8"/>
      <c r="Y409" s="8"/>
    </row>
    <row r="410" spans="5:25" x14ac:dyDescent="0.25">
      <c r="E410" s="8"/>
      <c r="I410" s="8"/>
      <c r="M410" s="8"/>
      <c r="Q410" s="8"/>
      <c r="U410" s="8"/>
      <c r="Y410" s="8"/>
    </row>
    <row r="411" spans="5:25" x14ac:dyDescent="0.25">
      <c r="E411" s="8"/>
      <c r="I411" s="8"/>
      <c r="M411" s="8"/>
      <c r="Q411" s="8"/>
      <c r="U411" s="8"/>
      <c r="Y411" s="8"/>
    </row>
    <row r="412" spans="5:25" x14ac:dyDescent="0.25">
      <c r="E412" s="8"/>
      <c r="I412" s="8"/>
      <c r="M412" s="8"/>
      <c r="Q412" s="8"/>
      <c r="U412" s="8"/>
      <c r="Y412" s="8"/>
    </row>
    <row r="413" spans="5:25" x14ac:dyDescent="0.25">
      <c r="E413" s="8"/>
      <c r="I413" s="8"/>
      <c r="M413" s="8"/>
      <c r="Q413" s="8"/>
      <c r="U413" s="8"/>
      <c r="Y413" s="8"/>
    </row>
    <row r="414" spans="5:25" x14ac:dyDescent="0.25">
      <c r="E414" s="8"/>
      <c r="I414" s="8"/>
      <c r="M414" s="8"/>
      <c r="Q414" s="8"/>
      <c r="U414" s="8"/>
      <c r="Y414" s="8"/>
    </row>
    <row r="415" spans="5:25" x14ac:dyDescent="0.25">
      <c r="E415" s="8"/>
      <c r="I415" s="8"/>
      <c r="M415" s="8"/>
      <c r="Q415" s="8"/>
      <c r="U415" s="8"/>
      <c r="Y415" s="8"/>
    </row>
    <row r="416" spans="5:25" x14ac:dyDescent="0.25">
      <c r="E416" s="8"/>
      <c r="I416" s="8"/>
      <c r="M416" s="8"/>
      <c r="Q416" s="8"/>
      <c r="U416" s="8"/>
      <c r="Y416" s="8"/>
    </row>
    <row r="417" spans="5:25" x14ac:dyDescent="0.25">
      <c r="E417" s="8"/>
      <c r="I417" s="8"/>
      <c r="M417" s="8"/>
      <c r="Q417" s="8"/>
      <c r="U417" s="8"/>
      <c r="Y417" s="8"/>
    </row>
    <row r="418" spans="5:25" x14ac:dyDescent="0.25">
      <c r="E418" s="8"/>
      <c r="I418" s="8"/>
      <c r="M418" s="8"/>
      <c r="Q418" s="8"/>
      <c r="U418" s="8"/>
      <c r="Y418" s="8"/>
    </row>
    <row r="419" spans="5:25" x14ac:dyDescent="0.25">
      <c r="E419" s="8"/>
      <c r="I419" s="8"/>
      <c r="M419" s="8"/>
      <c r="Q419" s="8"/>
      <c r="U419" s="8"/>
      <c r="Y419" s="8"/>
    </row>
    <row r="420" spans="5:25" x14ac:dyDescent="0.25">
      <c r="E420" s="8"/>
      <c r="I420" s="8"/>
      <c r="M420" s="8"/>
      <c r="Q420" s="8"/>
      <c r="U420" s="8"/>
      <c r="Y420" s="8"/>
    </row>
    <row r="421" spans="5:25" x14ac:dyDescent="0.25">
      <c r="E421" s="8"/>
      <c r="I421" s="8"/>
      <c r="M421" s="8"/>
      <c r="Q421" s="8"/>
      <c r="U421" s="8"/>
      <c r="Y421" s="8"/>
    </row>
    <row r="422" spans="5:25" x14ac:dyDescent="0.25">
      <c r="E422" s="8"/>
      <c r="I422" s="8"/>
      <c r="M422" s="8"/>
      <c r="Q422" s="8"/>
      <c r="U422" s="8"/>
      <c r="Y422" s="8"/>
    </row>
    <row r="423" spans="5:25" x14ac:dyDescent="0.25">
      <c r="E423" s="8"/>
      <c r="I423" s="8"/>
      <c r="M423" s="8"/>
      <c r="Q423" s="8"/>
      <c r="U423" s="8"/>
      <c r="Y423" s="8"/>
    </row>
    <row r="424" spans="5:25" x14ac:dyDescent="0.25">
      <c r="E424" s="8"/>
      <c r="I424" s="8"/>
      <c r="M424" s="8"/>
      <c r="Q424" s="8"/>
      <c r="U424" s="8"/>
      <c r="Y424" s="8"/>
    </row>
    <row r="425" spans="5:25" x14ac:dyDescent="0.25">
      <c r="E425" s="8"/>
      <c r="I425" s="8"/>
      <c r="M425" s="8"/>
      <c r="Q425" s="8"/>
      <c r="U425" s="8"/>
      <c r="Y425" s="8"/>
    </row>
    <row r="426" spans="5:25" x14ac:dyDescent="0.25">
      <c r="E426" s="8"/>
      <c r="I426" s="8"/>
      <c r="M426" s="8"/>
      <c r="Q426" s="8"/>
      <c r="U426" s="8"/>
      <c r="Y426" s="8"/>
    </row>
    <row r="427" spans="5:25" x14ac:dyDescent="0.25">
      <c r="E427" s="8"/>
      <c r="I427" s="8"/>
      <c r="M427" s="8"/>
      <c r="Q427" s="8"/>
      <c r="U427" s="8"/>
      <c r="Y427" s="8"/>
    </row>
    <row r="428" spans="5:25" x14ac:dyDescent="0.25">
      <c r="E428" s="8"/>
      <c r="I428" s="8"/>
      <c r="M428" s="8"/>
      <c r="Q428" s="8"/>
      <c r="U428" s="8"/>
      <c r="Y428" s="8"/>
    </row>
    <row r="429" spans="5:25" x14ac:dyDescent="0.25">
      <c r="E429" s="8"/>
      <c r="I429" s="8"/>
      <c r="M429" s="8"/>
      <c r="Q429" s="8"/>
      <c r="U429" s="8"/>
      <c r="Y429" s="8"/>
    </row>
    <row r="430" spans="5:25" x14ac:dyDescent="0.25">
      <c r="E430" s="8"/>
      <c r="I430" s="8"/>
      <c r="M430" s="8"/>
      <c r="Q430" s="8"/>
      <c r="U430" s="8"/>
      <c r="Y430" s="8"/>
    </row>
    <row r="431" spans="5:25" x14ac:dyDescent="0.25">
      <c r="E431" s="8"/>
      <c r="I431" s="8"/>
      <c r="M431" s="8"/>
      <c r="Q431" s="8"/>
      <c r="U431" s="8"/>
      <c r="Y431" s="8"/>
    </row>
    <row r="432" spans="5:25" x14ac:dyDescent="0.25">
      <c r="E432" s="8"/>
      <c r="I432" s="8"/>
      <c r="M432" s="8"/>
      <c r="Q432" s="8"/>
      <c r="U432" s="8"/>
      <c r="Y432" s="8"/>
    </row>
    <row r="433" spans="5:25" x14ac:dyDescent="0.25">
      <c r="E433" s="8"/>
      <c r="I433" s="8"/>
      <c r="M433" s="8"/>
      <c r="Q433" s="8"/>
      <c r="U433" s="8"/>
      <c r="Y433" s="8"/>
    </row>
    <row r="434" spans="5:25" x14ac:dyDescent="0.25">
      <c r="E434" s="8"/>
      <c r="I434" s="8"/>
      <c r="M434" s="8"/>
      <c r="Q434" s="8"/>
      <c r="U434" s="8"/>
      <c r="Y434" s="8"/>
    </row>
    <row r="435" spans="5:25" x14ac:dyDescent="0.25">
      <c r="E435" s="8"/>
      <c r="I435" s="8"/>
      <c r="M435" s="8"/>
      <c r="Q435" s="8"/>
      <c r="U435" s="8"/>
      <c r="Y435" s="8"/>
    </row>
    <row r="436" spans="5:25" x14ac:dyDescent="0.25">
      <c r="E436" s="8"/>
      <c r="I436" s="8"/>
      <c r="M436" s="8"/>
      <c r="Q436" s="8"/>
      <c r="U436" s="8"/>
      <c r="Y436" s="8"/>
    </row>
    <row r="437" spans="5:25" x14ac:dyDescent="0.25">
      <c r="E437" s="8"/>
      <c r="I437" s="8"/>
      <c r="M437" s="8"/>
      <c r="Q437" s="8"/>
      <c r="U437" s="8"/>
      <c r="Y437" s="8"/>
    </row>
    <row r="438" spans="5:25" x14ac:dyDescent="0.25">
      <c r="E438" s="8"/>
      <c r="I438" s="8"/>
      <c r="M438" s="8"/>
      <c r="Q438" s="8"/>
      <c r="U438" s="8"/>
      <c r="Y438" s="8"/>
    </row>
    <row r="439" spans="5:25" x14ac:dyDescent="0.25">
      <c r="E439" s="8"/>
      <c r="I439" s="8"/>
      <c r="M439" s="8"/>
      <c r="Q439" s="8"/>
      <c r="U439" s="8"/>
      <c r="Y439" s="8"/>
    </row>
    <row r="440" spans="5:25" x14ac:dyDescent="0.25">
      <c r="E440" s="8"/>
      <c r="I440" s="8"/>
      <c r="M440" s="8"/>
      <c r="Q440" s="8"/>
      <c r="U440" s="8"/>
      <c r="Y440" s="8"/>
    </row>
    <row r="441" spans="5:25" x14ac:dyDescent="0.25">
      <c r="E441" s="8"/>
      <c r="I441" s="8"/>
      <c r="M441" s="8"/>
      <c r="Q441" s="8"/>
      <c r="U441" s="8"/>
      <c r="Y441" s="8"/>
    </row>
    <row r="442" spans="5:25" x14ac:dyDescent="0.25">
      <c r="E442" s="8"/>
      <c r="I442" s="8"/>
      <c r="M442" s="8"/>
      <c r="Q442" s="8"/>
      <c r="U442" s="8"/>
      <c r="Y442" s="8"/>
    </row>
    <row r="443" spans="5:25" x14ac:dyDescent="0.25">
      <c r="E443" s="8"/>
      <c r="I443" s="8"/>
      <c r="M443" s="8"/>
      <c r="Q443" s="8"/>
      <c r="U443" s="8"/>
      <c r="Y443" s="8"/>
    </row>
    <row r="444" spans="5:25" x14ac:dyDescent="0.25">
      <c r="E444" s="8"/>
      <c r="I444" s="8"/>
      <c r="M444" s="8"/>
      <c r="Q444" s="8"/>
      <c r="U444" s="8"/>
      <c r="Y444" s="8"/>
    </row>
    <row r="445" spans="5:25" x14ac:dyDescent="0.25">
      <c r="E445" s="8"/>
      <c r="I445" s="8"/>
      <c r="M445" s="8"/>
      <c r="Q445" s="8"/>
      <c r="U445" s="8"/>
      <c r="Y445" s="8"/>
    </row>
    <row r="446" spans="5:25" x14ac:dyDescent="0.25">
      <c r="E446" s="8"/>
      <c r="I446" s="8"/>
      <c r="M446" s="8"/>
      <c r="Q446" s="8"/>
      <c r="U446" s="8"/>
      <c r="Y446" s="8"/>
    </row>
    <row r="447" spans="5:25" x14ac:dyDescent="0.25">
      <c r="E447" s="8"/>
      <c r="I447" s="8"/>
      <c r="M447" s="8"/>
      <c r="Q447" s="8"/>
      <c r="U447" s="8"/>
      <c r="Y447" s="8"/>
    </row>
    <row r="448" spans="5:25" x14ac:dyDescent="0.25">
      <c r="E448" s="8"/>
      <c r="I448" s="8"/>
      <c r="M448" s="8"/>
      <c r="Q448" s="8"/>
      <c r="U448" s="8"/>
      <c r="Y448" s="8"/>
    </row>
    <row r="449" spans="5:25" x14ac:dyDescent="0.25">
      <c r="E449" s="8"/>
      <c r="I449" s="8"/>
      <c r="M449" s="8"/>
      <c r="Q449" s="8"/>
      <c r="U449" s="8"/>
      <c r="Y449" s="8"/>
    </row>
    <row r="450" spans="5:25" x14ac:dyDescent="0.25">
      <c r="E450" s="8"/>
      <c r="I450" s="8"/>
      <c r="M450" s="8"/>
      <c r="Q450" s="8"/>
      <c r="U450" s="8"/>
      <c r="Y450" s="8"/>
    </row>
    <row r="451" spans="5:25" x14ac:dyDescent="0.25">
      <c r="E451" s="8"/>
      <c r="I451" s="8"/>
      <c r="M451" s="8"/>
      <c r="Q451" s="8"/>
      <c r="U451" s="8"/>
      <c r="Y451" s="8"/>
    </row>
    <row r="452" spans="5:25" x14ac:dyDescent="0.25">
      <c r="E452" s="8"/>
      <c r="I452" s="8"/>
      <c r="M452" s="8"/>
      <c r="Q452" s="8"/>
      <c r="U452" s="8"/>
      <c r="Y452" s="8"/>
    </row>
    <row r="453" spans="5:25" x14ac:dyDescent="0.25">
      <c r="E453" s="8"/>
      <c r="I453" s="8"/>
      <c r="M453" s="8"/>
      <c r="Q453" s="8"/>
      <c r="U453" s="8"/>
      <c r="Y453" s="8"/>
    </row>
    <row r="454" spans="5:25" x14ac:dyDescent="0.25">
      <c r="E454" s="8"/>
      <c r="I454" s="8"/>
      <c r="M454" s="8"/>
      <c r="Q454" s="8"/>
      <c r="U454" s="8"/>
      <c r="Y454" s="8"/>
    </row>
    <row r="455" spans="5:25" x14ac:dyDescent="0.25">
      <c r="E455" s="8"/>
      <c r="I455" s="8"/>
      <c r="M455" s="8"/>
      <c r="Q455" s="8"/>
      <c r="U455" s="8"/>
      <c r="Y455" s="8"/>
    </row>
    <row r="456" spans="5:25" x14ac:dyDescent="0.25">
      <c r="E456" s="8"/>
      <c r="I456" s="8"/>
      <c r="M456" s="8"/>
      <c r="Q456" s="8"/>
      <c r="U456" s="8"/>
      <c r="Y456" s="8"/>
    </row>
    <row r="457" spans="5:25" x14ac:dyDescent="0.25">
      <c r="E457" s="8"/>
      <c r="I457" s="8"/>
      <c r="M457" s="8"/>
      <c r="Q457" s="8"/>
      <c r="U457" s="8"/>
      <c r="Y457" s="8"/>
    </row>
    <row r="458" spans="5:25" x14ac:dyDescent="0.25">
      <c r="E458" s="8"/>
      <c r="I458" s="8"/>
      <c r="M458" s="8"/>
      <c r="Q458" s="8"/>
      <c r="U458" s="8"/>
      <c r="Y458" s="8"/>
    </row>
    <row r="459" spans="5:25" x14ac:dyDescent="0.25">
      <c r="E459" s="8"/>
      <c r="I459" s="8"/>
      <c r="M459" s="8"/>
      <c r="Q459" s="8"/>
      <c r="U459" s="8"/>
      <c r="Y459" s="8"/>
    </row>
    <row r="460" spans="5:25" x14ac:dyDescent="0.25">
      <c r="E460" s="8"/>
      <c r="I460" s="8"/>
      <c r="M460" s="8"/>
      <c r="Q460" s="8"/>
      <c r="U460" s="8"/>
      <c r="Y460" s="8"/>
    </row>
    <row r="461" spans="5:25" x14ac:dyDescent="0.25">
      <c r="E461" s="8"/>
      <c r="I461" s="8"/>
      <c r="M461" s="8"/>
      <c r="Q461" s="8"/>
      <c r="U461" s="8"/>
      <c r="Y461" s="8"/>
    </row>
    <row r="462" spans="5:25" x14ac:dyDescent="0.25">
      <c r="E462" s="8"/>
      <c r="I462" s="8"/>
      <c r="M462" s="8"/>
      <c r="Q462" s="8"/>
      <c r="U462" s="8"/>
      <c r="Y462" s="8"/>
    </row>
    <row r="463" spans="5:25" x14ac:dyDescent="0.25">
      <c r="E463" s="8"/>
      <c r="I463" s="8"/>
      <c r="M463" s="8"/>
      <c r="Q463" s="8"/>
      <c r="U463" s="8"/>
      <c r="Y463" s="8"/>
    </row>
    <row r="464" spans="5:25" x14ac:dyDescent="0.25">
      <c r="E464" s="8"/>
      <c r="I464" s="8"/>
      <c r="M464" s="8"/>
      <c r="Q464" s="8"/>
      <c r="U464" s="8"/>
      <c r="Y464" s="8"/>
    </row>
    <row r="465" spans="5:25" x14ac:dyDescent="0.25">
      <c r="E465" s="8"/>
      <c r="I465" s="8"/>
      <c r="M465" s="8"/>
      <c r="Q465" s="8"/>
      <c r="U465" s="8"/>
      <c r="Y465" s="8"/>
    </row>
    <row r="466" spans="5:25" x14ac:dyDescent="0.25">
      <c r="E466" s="8"/>
      <c r="I466" s="8"/>
      <c r="M466" s="8"/>
      <c r="Q466" s="8"/>
      <c r="U466" s="8"/>
      <c r="Y466" s="8"/>
    </row>
    <row r="467" spans="5:25" x14ac:dyDescent="0.25">
      <c r="E467" s="8"/>
      <c r="I467" s="8"/>
      <c r="M467" s="8"/>
      <c r="Q467" s="8"/>
      <c r="U467" s="8"/>
      <c r="Y467" s="8"/>
    </row>
    <row r="468" spans="5:25" x14ac:dyDescent="0.25">
      <c r="E468" s="8"/>
      <c r="I468" s="8"/>
      <c r="M468" s="8"/>
      <c r="Q468" s="8"/>
      <c r="U468" s="8"/>
      <c r="Y468" s="8"/>
    </row>
    <row r="469" spans="5:25" x14ac:dyDescent="0.25">
      <c r="E469" s="8"/>
      <c r="I469" s="8"/>
      <c r="M469" s="8"/>
      <c r="Q469" s="8"/>
      <c r="U469" s="8"/>
      <c r="Y469" s="8"/>
    </row>
    <row r="470" spans="5:25" x14ac:dyDescent="0.25">
      <c r="E470" s="8"/>
      <c r="I470" s="8"/>
      <c r="M470" s="8"/>
      <c r="Q470" s="8"/>
      <c r="U470" s="8"/>
      <c r="Y470" s="8"/>
    </row>
    <row r="471" spans="5:25" x14ac:dyDescent="0.25">
      <c r="E471" s="8"/>
      <c r="I471" s="8"/>
      <c r="M471" s="8"/>
      <c r="Q471" s="8"/>
      <c r="U471" s="8"/>
      <c r="Y471" s="8"/>
    </row>
    <row r="472" spans="5:25" x14ac:dyDescent="0.25">
      <c r="E472" s="8"/>
      <c r="I472" s="8"/>
      <c r="M472" s="8"/>
      <c r="Q472" s="8"/>
      <c r="U472" s="8"/>
      <c r="Y472" s="8"/>
    </row>
    <row r="473" spans="5:25" x14ac:dyDescent="0.25">
      <c r="E473" s="8"/>
      <c r="I473" s="8"/>
      <c r="M473" s="8"/>
      <c r="Q473" s="8"/>
      <c r="U473" s="8"/>
      <c r="Y473" s="8"/>
    </row>
    <row r="474" spans="5:25" x14ac:dyDescent="0.25">
      <c r="E474" s="8"/>
      <c r="I474" s="8"/>
      <c r="M474" s="8"/>
      <c r="Q474" s="8"/>
      <c r="U474" s="8"/>
      <c r="Y474" s="8"/>
    </row>
    <row r="475" spans="5:25" x14ac:dyDescent="0.25">
      <c r="E475" s="8"/>
      <c r="I475" s="8"/>
      <c r="M475" s="8"/>
      <c r="Q475" s="8"/>
      <c r="U475" s="8"/>
      <c r="Y475" s="8"/>
    </row>
    <row r="476" spans="5:25" x14ac:dyDescent="0.25">
      <c r="E476" s="8"/>
      <c r="I476" s="8"/>
      <c r="M476" s="8"/>
      <c r="Q476" s="8"/>
      <c r="U476" s="8"/>
      <c r="Y476" s="8"/>
    </row>
    <row r="477" spans="5:25" x14ac:dyDescent="0.25">
      <c r="E477" s="8"/>
      <c r="I477" s="8"/>
      <c r="M477" s="8"/>
      <c r="Q477" s="8"/>
      <c r="U477" s="8"/>
      <c r="Y477" s="8"/>
    </row>
    <row r="478" spans="5:25" x14ac:dyDescent="0.25">
      <c r="E478" s="8"/>
      <c r="I478" s="8"/>
      <c r="M478" s="8"/>
      <c r="Q478" s="8"/>
      <c r="U478" s="8"/>
      <c r="Y478" s="8"/>
    </row>
    <row r="479" spans="5:25" x14ac:dyDescent="0.25">
      <c r="E479" s="8"/>
      <c r="I479" s="8"/>
      <c r="M479" s="8"/>
      <c r="Q479" s="8"/>
      <c r="U479" s="8"/>
      <c r="Y479" s="8"/>
    </row>
    <row r="480" spans="5:25" x14ac:dyDescent="0.25">
      <c r="E480" s="8"/>
      <c r="I480" s="8"/>
      <c r="M480" s="8"/>
      <c r="Q480" s="8"/>
      <c r="U480" s="8"/>
      <c r="Y480" s="8"/>
    </row>
    <row r="481" spans="5:25" x14ac:dyDescent="0.25">
      <c r="E481" s="8"/>
      <c r="I481" s="8"/>
      <c r="M481" s="8"/>
      <c r="Q481" s="8"/>
      <c r="U481" s="8"/>
      <c r="Y481" s="8"/>
    </row>
    <row r="482" spans="5:25" x14ac:dyDescent="0.25">
      <c r="E482" s="8"/>
      <c r="I482" s="8"/>
      <c r="M482" s="8"/>
      <c r="Q482" s="8"/>
      <c r="U482" s="8"/>
      <c r="Y482" s="8"/>
    </row>
    <row r="483" spans="5:25" x14ac:dyDescent="0.25">
      <c r="E483" s="8"/>
      <c r="I483" s="8"/>
      <c r="M483" s="8"/>
      <c r="Q483" s="8"/>
      <c r="U483" s="8"/>
      <c r="Y483" s="8"/>
    </row>
    <row r="484" spans="5:25" x14ac:dyDescent="0.25">
      <c r="E484" s="8"/>
      <c r="I484" s="8"/>
      <c r="M484" s="8"/>
      <c r="Q484" s="8"/>
      <c r="U484" s="8"/>
      <c r="Y484" s="8"/>
    </row>
    <row r="485" spans="5:25" x14ac:dyDescent="0.25">
      <c r="E485" s="8"/>
      <c r="I485" s="8"/>
      <c r="M485" s="8"/>
      <c r="Q485" s="8"/>
      <c r="U485" s="8"/>
      <c r="Y485" s="8"/>
    </row>
    <row r="486" spans="5:25" x14ac:dyDescent="0.25">
      <c r="E486" s="8"/>
      <c r="I486" s="8"/>
      <c r="M486" s="8"/>
      <c r="Q486" s="8"/>
      <c r="U486" s="8"/>
      <c r="Y486" s="8"/>
    </row>
    <row r="487" spans="5:25" x14ac:dyDescent="0.25">
      <c r="E487" s="8"/>
      <c r="I487" s="8"/>
      <c r="M487" s="8"/>
      <c r="Q487" s="8"/>
      <c r="U487" s="8"/>
      <c r="Y487" s="8"/>
    </row>
    <row r="488" spans="5:25" x14ac:dyDescent="0.25">
      <c r="E488" s="8"/>
      <c r="I488" s="8"/>
      <c r="M488" s="8"/>
      <c r="Q488" s="8"/>
      <c r="U488" s="8"/>
      <c r="Y488" s="8"/>
    </row>
    <row r="489" spans="5:25" x14ac:dyDescent="0.25">
      <c r="E489" s="8"/>
      <c r="I489" s="8"/>
      <c r="M489" s="8"/>
      <c r="Q489" s="8"/>
      <c r="U489" s="8"/>
      <c r="Y489" s="8"/>
    </row>
    <row r="490" spans="5:25" x14ac:dyDescent="0.25">
      <c r="E490" s="8"/>
      <c r="I490" s="8"/>
      <c r="M490" s="8"/>
      <c r="Q490" s="8"/>
      <c r="U490" s="8"/>
      <c r="Y490" s="8"/>
    </row>
    <row r="491" spans="5:25" x14ac:dyDescent="0.25">
      <c r="E491" s="8"/>
      <c r="I491" s="8"/>
      <c r="M491" s="8"/>
      <c r="Q491" s="8"/>
      <c r="U491" s="8"/>
      <c r="Y491" s="8"/>
    </row>
    <row r="492" spans="5:25" x14ac:dyDescent="0.25">
      <c r="E492" s="8"/>
      <c r="I492" s="8"/>
      <c r="M492" s="8"/>
      <c r="Q492" s="8"/>
      <c r="U492" s="8"/>
      <c r="Y492" s="8"/>
    </row>
    <row r="493" spans="5:25" x14ac:dyDescent="0.25">
      <c r="E493" s="8"/>
      <c r="I493" s="8"/>
      <c r="M493" s="8"/>
      <c r="Q493" s="8"/>
      <c r="U493" s="8"/>
      <c r="Y493" s="8"/>
    </row>
    <row r="494" spans="5:25" x14ac:dyDescent="0.25">
      <c r="E494" s="8"/>
      <c r="I494" s="8"/>
      <c r="M494" s="8"/>
      <c r="Q494" s="8"/>
      <c r="U494" s="8"/>
      <c r="Y494" s="8"/>
    </row>
    <row r="495" spans="5:25" x14ac:dyDescent="0.25">
      <c r="E495" s="8"/>
      <c r="I495" s="8"/>
      <c r="M495" s="8"/>
      <c r="Q495" s="8"/>
      <c r="U495" s="8"/>
      <c r="Y495" s="8"/>
    </row>
    <row r="496" spans="5:25" x14ac:dyDescent="0.25">
      <c r="E496" s="8"/>
      <c r="I496" s="8"/>
      <c r="M496" s="8"/>
      <c r="Q496" s="8"/>
      <c r="U496" s="8"/>
      <c r="Y496" s="8"/>
    </row>
    <row r="497" spans="5:25" x14ac:dyDescent="0.25">
      <c r="E497" s="8"/>
      <c r="I497" s="8"/>
      <c r="M497" s="8"/>
      <c r="Q497" s="8"/>
      <c r="U497" s="8"/>
      <c r="Y497" s="8"/>
    </row>
    <row r="498" spans="5:25" x14ac:dyDescent="0.25">
      <c r="E498" s="8"/>
      <c r="I498" s="8"/>
      <c r="M498" s="8"/>
      <c r="Q498" s="8"/>
      <c r="U498" s="8"/>
      <c r="Y498" s="8"/>
    </row>
    <row r="499" spans="5:25" x14ac:dyDescent="0.25">
      <c r="E499" s="8"/>
      <c r="I499" s="8"/>
      <c r="M499" s="8"/>
      <c r="Q499" s="8"/>
      <c r="U499" s="8"/>
      <c r="Y499" s="8"/>
    </row>
    <row r="500" spans="5:25" x14ac:dyDescent="0.25">
      <c r="E500" s="8"/>
      <c r="I500" s="8"/>
      <c r="M500" s="8"/>
      <c r="Q500" s="8"/>
      <c r="U500" s="8"/>
      <c r="Y500" s="8"/>
    </row>
    <row r="501" spans="5:25" x14ac:dyDescent="0.25">
      <c r="E501" s="8"/>
      <c r="I501" s="8"/>
      <c r="M501" s="8"/>
      <c r="Q501" s="8"/>
      <c r="U501" s="8"/>
      <c r="Y501" s="8"/>
    </row>
    <row r="502" spans="5:25" x14ac:dyDescent="0.25">
      <c r="E502" s="8"/>
      <c r="I502" s="8"/>
      <c r="M502" s="8"/>
      <c r="Q502" s="8"/>
      <c r="U502" s="8"/>
      <c r="Y502" s="8"/>
    </row>
    <row r="503" spans="5:25" x14ac:dyDescent="0.25">
      <c r="E503" s="8"/>
      <c r="I503" s="8"/>
      <c r="M503" s="8"/>
      <c r="Q503" s="8"/>
      <c r="U503" s="8"/>
      <c r="Y503" s="8"/>
    </row>
    <row r="504" spans="5:25" x14ac:dyDescent="0.25">
      <c r="E504" s="8"/>
      <c r="I504" s="8"/>
      <c r="M504" s="8"/>
      <c r="Q504" s="8"/>
      <c r="U504" s="8"/>
      <c r="Y504" s="8"/>
    </row>
    <row r="505" spans="5:25" x14ac:dyDescent="0.25">
      <c r="E505" s="8"/>
      <c r="I505" s="8"/>
      <c r="M505" s="8"/>
      <c r="Q505" s="8"/>
      <c r="U505" s="8"/>
      <c r="Y505" s="8"/>
    </row>
    <row r="506" spans="5:25" x14ac:dyDescent="0.25">
      <c r="E506" s="8"/>
      <c r="I506" s="8"/>
      <c r="M506" s="8"/>
      <c r="Q506" s="8"/>
      <c r="U506" s="8"/>
      <c r="Y506" s="8"/>
    </row>
    <row r="507" spans="5:25" x14ac:dyDescent="0.25">
      <c r="E507" s="8"/>
      <c r="I507" s="8"/>
      <c r="M507" s="8"/>
      <c r="Q507" s="8"/>
      <c r="U507" s="8"/>
      <c r="Y507" s="8"/>
    </row>
    <row r="508" spans="5:25" x14ac:dyDescent="0.25">
      <c r="E508" s="8"/>
      <c r="I508" s="8"/>
      <c r="M508" s="8"/>
      <c r="Q508" s="8"/>
      <c r="U508" s="8"/>
      <c r="Y508" s="8"/>
    </row>
    <row r="509" spans="5:25" x14ac:dyDescent="0.25">
      <c r="E509" s="8"/>
      <c r="I509" s="8"/>
      <c r="M509" s="8"/>
      <c r="Q509" s="8"/>
      <c r="U509" s="8"/>
      <c r="Y509" s="8"/>
    </row>
    <row r="510" spans="5:25" x14ac:dyDescent="0.25">
      <c r="E510" s="8"/>
      <c r="I510" s="8"/>
      <c r="M510" s="8"/>
      <c r="Q510" s="8"/>
      <c r="U510" s="8"/>
      <c r="Y510" s="8"/>
    </row>
    <row r="511" spans="5:25" x14ac:dyDescent="0.25">
      <c r="E511" s="8"/>
      <c r="I511" s="8"/>
      <c r="M511" s="8"/>
      <c r="Q511" s="8"/>
      <c r="U511" s="8"/>
      <c r="Y511" s="8"/>
    </row>
    <row r="512" spans="5:25" x14ac:dyDescent="0.25">
      <c r="E512" s="8"/>
      <c r="I512" s="8"/>
      <c r="M512" s="8"/>
      <c r="Q512" s="8"/>
      <c r="U512" s="8"/>
      <c r="Y512" s="8"/>
    </row>
    <row r="513" spans="5:25" x14ac:dyDescent="0.25">
      <c r="E513" s="8"/>
      <c r="I513" s="8"/>
      <c r="M513" s="8"/>
      <c r="Q513" s="8"/>
      <c r="U513" s="8"/>
      <c r="Y513" s="8"/>
    </row>
    <row r="514" spans="5:25" x14ac:dyDescent="0.25">
      <c r="E514" s="8"/>
      <c r="I514" s="8"/>
      <c r="M514" s="8"/>
      <c r="Q514" s="8"/>
      <c r="U514" s="8"/>
      <c r="Y514" s="8"/>
    </row>
    <row r="515" spans="5:25" x14ac:dyDescent="0.25">
      <c r="E515" s="8"/>
      <c r="I515" s="8"/>
      <c r="M515" s="8"/>
      <c r="Q515" s="8"/>
      <c r="U515" s="8"/>
      <c r="Y515" s="8"/>
    </row>
    <row r="516" spans="5:25" x14ac:dyDescent="0.25">
      <c r="E516" s="8"/>
      <c r="I516" s="8"/>
      <c r="M516" s="8"/>
      <c r="Q516" s="8"/>
      <c r="U516" s="8"/>
      <c r="Y516" s="8"/>
    </row>
    <row r="517" spans="5:25" x14ac:dyDescent="0.25">
      <c r="E517" s="8"/>
      <c r="I517" s="8"/>
      <c r="M517" s="8"/>
      <c r="Q517" s="8"/>
      <c r="U517" s="8"/>
      <c r="Y517" s="8"/>
    </row>
    <row r="518" spans="5:25" x14ac:dyDescent="0.25">
      <c r="E518" s="8"/>
      <c r="I518" s="8"/>
      <c r="M518" s="8"/>
      <c r="Q518" s="8"/>
      <c r="U518" s="8"/>
      <c r="Y518" s="8"/>
    </row>
    <row r="519" spans="5:25" x14ac:dyDescent="0.25">
      <c r="E519" s="8"/>
      <c r="I519" s="8"/>
      <c r="M519" s="8"/>
      <c r="Q519" s="8"/>
      <c r="U519" s="8"/>
      <c r="Y519" s="8"/>
    </row>
    <row r="520" spans="5:25" x14ac:dyDescent="0.25">
      <c r="E520" s="8"/>
      <c r="I520" s="8"/>
      <c r="M520" s="8"/>
      <c r="Q520" s="8"/>
      <c r="U520" s="8"/>
      <c r="Y520" s="8"/>
    </row>
    <row r="521" spans="5:25" x14ac:dyDescent="0.25">
      <c r="E521" s="8"/>
      <c r="I521" s="8"/>
      <c r="M521" s="8"/>
      <c r="Q521" s="8"/>
      <c r="U521" s="8"/>
      <c r="Y521" s="8"/>
    </row>
    <row r="522" spans="5:25" x14ac:dyDescent="0.25">
      <c r="E522" s="8"/>
      <c r="I522" s="8"/>
      <c r="M522" s="8"/>
      <c r="Q522" s="8"/>
      <c r="U522" s="8"/>
      <c r="Y522" s="8"/>
    </row>
    <row r="523" spans="5:25" x14ac:dyDescent="0.25">
      <c r="E523" s="8"/>
      <c r="I523" s="8"/>
      <c r="M523" s="8"/>
      <c r="Q523" s="8"/>
      <c r="U523" s="8"/>
      <c r="Y523" s="8"/>
    </row>
    <row r="524" spans="5:25" x14ac:dyDescent="0.25">
      <c r="E524" s="8"/>
      <c r="I524" s="8"/>
      <c r="M524" s="8"/>
      <c r="Q524" s="8"/>
      <c r="U524" s="8"/>
      <c r="Y524" s="8"/>
    </row>
    <row r="525" spans="5:25" x14ac:dyDescent="0.25">
      <c r="E525" s="8"/>
      <c r="I525" s="8"/>
      <c r="M525" s="8"/>
      <c r="Q525" s="8"/>
      <c r="U525" s="8"/>
      <c r="Y525" s="8"/>
    </row>
    <row r="526" spans="5:25" x14ac:dyDescent="0.25">
      <c r="E526" s="8"/>
      <c r="I526" s="8"/>
      <c r="M526" s="8"/>
      <c r="Q526" s="8"/>
      <c r="U526" s="8"/>
      <c r="Y526" s="8"/>
    </row>
    <row r="527" spans="5:25" x14ac:dyDescent="0.25">
      <c r="E527" s="8"/>
      <c r="I527" s="8"/>
      <c r="M527" s="8"/>
      <c r="Q527" s="8"/>
      <c r="U527" s="8"/>
      <c r="Y527" s="8"/>
    </row>
    <row r="528" spans="5:25" x14ac:dyDescent="0.25">
      <c r="E528" s="8"/>
      <c r="I528" s="8"/>
      <c r="M528" s="8"/>
      <c r="Q528" s="8"/>
      <c r="U528" s="8"/>
      <c r="Y528" s="8"/>
    </row>
    <row r="529" spans="5:25" x14ac:dyDescent="0.25">
      <c r="E529" s="8"/>
      <c r="I529" s="8"/>
      <c r="M529" s="8"/>
      <c r="Q529" s="8"/>
      <c r="U529" s="8"/>
      <c r="Y529" s="8"/>
    </row>
    <row r="530" spans="5:25" x14ac:dyDescent="0.25">
      <c r="E530" s="8"/>
      <c r="I530" s="8"/>
      <c r="M530" s="8"/>
      <c r="Q530" s="8"/>
      <c r="U530" s="8"/>
      <c r="Y530" s="8"/>
    </row>
    <row r="531" spans="5:25" x14ac:dyDescent="0.25">
      <c r="E531" s="8"/>
      <c r="I531" s="8"/>
      <c r="M531" s="8"/>
      <c r="Q531" s="8"/>
      <c r="U531" s="8"/>
      <c r="Y531" s="8"/>
    </row>
    <row r="532" spans="5:25" x14ac:dyDescent="0.25">
      <c r="E532" s="8"/>
      <c r="I532" s="8"/>
      <c r="M532" s="8"/>
      <c r="Q532" s="8"/>
      <c r="U532" s="8"/>
      <c r="Y532" s="8"/>
    </row>
    <row r="533" spans="5:25" x14ac:dyDescent="0.25">
      <c r="E533" s="8"/>
      <c r="I533" s="8"/>
      <c r="M533" s="8"/>
      <c r="Q533" s="8"/>
      <c r="U533" s="8"/>
      <c r="Y533" s="8"/>
    </row>
    <row r="534" spans="5:25" x14ac:dyDescent="0.25">
      <c r="E534" s="8"/>
      <c r="I534" s="8"/>
      <c r="M534" s="8"/>
      <c r="Q534" s="8"/>
      <c r="U534" s="8"/>
      <c r="Y534" s="8"/>
    </row>
    <row r="535" spans="5:25" x14ac:dyDescent="0.25">
      <c r="E535" s="8"/>
      <c r="I535" s="8"/>
      <c r="M535" s="8"/>
      <c r="Q535" s="8"/>
      <c r="U535" s="8"/>
      <c r="Y535" s="8"/>
    </row>
    <row r="536" spans="5:25" x14ac:dyDescent="0.25">
      <c r="E536" s="8"/>
      <c r="I536" s="8"/>
      <c r="M536" s="8"/>
      <c r="Q536" s="8"/>
      <c r="U536" s="8"/>
      <c r="Y536" s="8"/>
    </row>
    <row r="537" spans="5:25" x14ac:dyDescent="0.25">
      <c r="E537" s="8"/>
      <c r="I537" s="8"/>
      <c r="M537" s="8"/>
      <c r="Q537" s="8"/>
      <c r="U537" s="8"/>
      <c r="Y537" s="8"/>
    </row>
    <row r="538" spans="5:25" x14ac:dyDescent="0.25">
      <c r="E538" s="8"/>
      <c r="I538" s="8"/>
      <c r="M538" s="8"/>
      <c r="Q538" s="8"/>
      <c r="U538" s="8"/>
      <c r="Y538" s="8"/>
    </row>
    <row r="539" spans="5:25" x14ac:dyDescent="0.25">
      <c r="E539" s="8"/>
      <c r="I539" s="8"/>
      <c r="M539" s="8"/>
      <c r="Q539" s="8"/>
      <c r="U539" s="8"/>
      <c r="Y539" s="8"/>
    </row>
    <row r="540" spans="5:25" x14ac:dyDescent="0.25">
      <c r="E540" s="8"/>
      <c r="I540" s="8"/>
      <c r="M540" s="8"/>
      <c r="Q540" s="8"/>
      <c r="U540" s="8"/>
      <c r="Y540" s="8"/>
    </row>
    <row r="541" spans="5:25" x14ac:dyDescent="0.25">
      <c r="E541" s="8"/>
      <c r="I541" s="8"/>
      <c r="M541" s="8"/>
      <c r="Q541" s="8"/>
      <c r="U541" s="8"/>
      <c r="Y541" s="8"/>
    </row>
    <row r="542" spans="5:25" x14ac:dyDescent="0.25">
      <c r="E542" s="8"/>
      <c r="I542" s="8"/>
      <c r="M542" s="8"/>
      <c r="Q542" s="8"/>
      <c r="U542" s="8"/>
      <c r="Y542" s="8"/>
    </row>
    <row r="543" spans="5:25" x14ac:dyDescent="0.25">
      <c r="E543" s="8"/>
      <c r="I543" s="8"/>
      <c r="M543" s="8"/>
      <c r="Q543" s="8"/>
      <c r="U543" s="8"/>
      <c r="Y543" s="8"/>
    </row>
    <row r="544" spans="5:25" x14ac:dyDescent="0.25">
      <c r="E544" s="8"/>
      <c r="I544" s="8"/>
      <c r="M544" s="8"/>
      <c r="Q544" s="8"/>
      <c r="U544" s="8"/>
      <c r="Y544" s="8"/>
    </row>
    <row r="545" spans="5:25" x14ac:dyDescent="0.25">
      <c r="E545" s="8"/>
      <c r="I545" s="8"/>
      <c r="M545" s="8"/>
      <c r="Q545" s="8"/>
      <c r="U545" s="8"/>
      <c r="Y545" s="8"/>
    </row>
    <row r="546" spans="5:25" x14ac:dyDescent="0.25">
      <c r="E546" s="8"/>
      <c r="I546" s="8"/>
      <c r="M546" s="8"/>
      <c r="Q546" s="8"/>
      <c r="U546" s="8"/>
      <c r="Y546" s="8"/>
    </row>
    <row r="547" spans="5:25" x14ac:dyDescent="0.25">
      <c r="E547" s="8"/>
      <c r="I547" s="8"/>
      <c r="M547" s="8"/>
      <c r="Q547" s="8"/>
      <c r="U547" s="8"/>
      <c r="Y547" s="8"/>
    </row>
    <row r="548" spans="5:25" x14ac:dyDescent="0.25">
      <c r="E548" s="8"/>
      <c r="I548" s="8"/>
      <c r="M548" s="8"/>
      <c r="Q548" s="8"/>
      <c r="U548" s="8"/>
      <c r="Y548" s="8"/>
    </row>
    <row r="549" spans="5:25" x14ac:dyDescent="0.25">
      <c r="E549" s="8"/>
      <c r="I549" s="8"/>
      <c r="M549" s="8"/>
      <c r="Q549" s="8"/>
      <c r="U549" s="8"/>
      <c r="Y549" s="8"/>
    </row>
    <row r="550" spans="5:25" x14ac:dyDescent="0.25">
      <c r="E550" s="8"/>
      <c r="I550" s="8"/>
      <c r="M550" s="8"/>
      <c r="Q550" s="8"/>
      <c r="U550" s="8"/>
      <c r="Y550" s="8"/>
    </row>
    <row r="551" spans="5:25" x14ac:dyDescent="0.25">
      <c r="E551" s="8"/>
      <c r="I551" s="8"/>
      <c r="M551" s="8"/>
      <c r="Q551" s="8"/>
      <c r="U551" s="8"/>
      <c r="Y551" s="8"/>
    </row>
    <row r="552" spans="5:25" x14ac:dyDescent="0.25">
      <c r="E552" s="8"/>
      <c r="I552" s="8"/>
      <c r="M552" s="8"/>
      <c r="Q552" s="8"/>
      <c r="U552" s="8"/>
      <c r="Y552" s="8"/>
    </row>
    <row r="553" spans="5:25" x14ac:dyDescent="0.25">
      <c r="E553" s="8"/>
      <c r="I553" s="8"/>
      <c r="M553" s="8"/>
      <c r="Q553" s="8"/>
      <c r="U553" s="8"/>
      <c r="Y553" s="8"/>
    </row>
    <row r="554" spans="5:25" x14ac:dyDescent="0.25">
      <c r="E554" s="8"/>
      <c r="I554" s="8"/>
      <c r="M554" s="8"/>
      <c r="Q554" s="8"/>
      <c r="U554" s="8"/>
      <c r="Y554" s="8"/>
    </row>
    <row r="555" spans="5:25" x14ac:dyDescent="0.25">
      <c r="E555" s="8"/>
      <c r="I555" s="8"/>
      <c r="M555" s="8"/>
      <c r="Q555" s="8"/>
      <c r="U555" s="8"/>
      <c r="Y555" s="8"/>
    </row>
    <row r="556" spans="5:25" x14ac:dyDescent="0.25">
      <c r="E556" s="8"/>
      <c r="I556" s="8"/>
      <c r="M556" s="8"/>
      <c r="Q556" s="8"/>
      <c r="U556" s="8"/>
      <c r="Y556" s="8"/>
    </row>
    <row r="557" spans="5:25" x14ac:dyDescent="0.25">
      <c r="E557" s="8"/>
      <c r="I557" s="8"/>
      <c r="M557" s="8"/>
      <c r="Q557" s="8"/>
      <c r="U557" s="8"/>
      <c r="Y557" s="8"/>
    </row>
    <row r="558" spans="5:25" x14ac:dyDescent="0.25">
      <c r="E558" s="8"/>
      <c r="I558" s="8"/>
      <c r="M558" s="8"/>
      <c r="Q558" s="8"/>
      <c r="U558" s="8"/>
      <c r="Y558" s="8"/>
    </row>
    <row r="559" spans="5:25" x14ac:dyDescent="0.25">
      <c r="E559" s="8"/>
      <c r="I559" s="8"/>
      <c r="M559" s="8"/>
      <c r="Q559" s="8"/>
      <c r="U559" s="8"/>
      <c r="Y559" s="8"/>
    </row>
    <row r="560" spans="5:25" x14ac:dyDescent="0.25">
      <c r="E560" s="8"/>
      <c r="I560" s="8"/>
      <c r="M560" s="8"/>
      <c r="Q560" s="8"/>
      <c r="U560" s="8"/>
      <c r="Y560" s="8"/>
    </row>
    <row r="561" spans="5:25" x14ac:dyDescent="0.25">
      <c r="E561" s="8"/>
      <c r="I561" s="8"/>
      <c r="M561" s="8"/>
      <c r="Q561" s="8"/>
      <c r="U561" s="8"/>
      <c r="Y561" s="8"/>
    </row>
    <row r="562" spans="5:25" x14ac:dyDescent="0.25">
      <c r="E562" s="8"/>
      <c r="I562" s="8"/>
      <c r="M562" s="8"/>
      <c r="Q562" s="8"/>
      <c r="U562" s="8"/>
      <c r="Y562" s="8"/>
    </row>
    <row r="563" spans="5:25" x14ac:dyDescent="0.25">
      <c r="E563" s="8"/>
      <c r="I563" s="8"/>
      <c r="M563" s="8"/>
      <c r="Q563" s="8"/>
      <c r="U563" s="8"/>
      <c r="Y563" s="8"/>
    </row>
    <row r="564" spans="5:25" x14ac:dyDescent="0.25">
      <c r="E564" s="8"/>
      <c r="I564" s="8"/>
      <c r="M564" s="8"/>
      <c r="Q564" s="8"/>
      <c r="U564" s="8"/>
      <c r="Y564" s="8"/>
    </row>
    <row r="565" spans="5:25" x14ac:dyDescent="0.25">
      <c r="E565" s="8"/>
      <c r="I565" s="8"/>
      <c r="M565" s="8"/>
      <c r="Q565" s="8"/>
      <c r="U565" s="8"/>
      <c r="Y565" s="8"/>
    </row>
    <row r="566" spans="5:25" x14ac:dyDescent="0.25">
      <c r="E566" s="8"/>
      <c r="I566" s="8"/>
      <c r="M566" s="8"/>
      <c r="Q566" s="8"/>
      <c r="U566" s="8"/>
      <c r="Y566" s="8"/>
    </row>
    <row r="567" spans="5:25" x14ac:dyDescent="0.25">
      <c r="E567" s="8"/>
      <c r="I567" s="8"/>
      <c r="M567" s="8"/>
      <c r="Q567" s="8"/>
      <c r="U567" s="8"/>
      <c r="Y567" s="8"/>
    </row>
    <row r="568" spans="5:25" x14ac:dyDescent="0.25">
      <c r="E568" s="8"/>
      <c r="I568" s="8"/>
      <c r="M568" s="8"/>
      <c r="Q568" s="8"/>
      <c r="U568" s="8"/>
      <c r="Y568" s="8"/>
    </row>
    <row r="569" spans="5:25" x14ac:dyDescent="0.25">
      <c r="E569" s="8"/>
      <c r="I569" s="8"/>
      <c r="M569" s="8"/>
      <c r="Q569" s="8"/>
      <c r="U569" s="8"/>
      <c r="Y569" s="8"/>
    </row>
    <row r="570" spans="5:25" x14ac:dyDescent="0.25">
      <c r="E570" s="8"/>
      <c r="I570" s="8"/>
      <c r="M570" s="8"/>
      <c r="Q570" s="8"/>
      <c r="U570" s="8"/>
      <c r="Y570" s="8"/>
    </row>
    <row r="571" spans="5:25" x14ac:dyDescent="0.25">
      <c r="E571" s="8"/>
      <c r="I571" s="8"/>
      <c r="M571" s="8"/>
      <c r="Q571" s="8"/>
      <c r="U571" s="8"/>
      <c r="Y571" s="8"/>
    </row>
    <row r="572" spans="5:25" x14ac:dyDescent="0.25">
      <c r="E572" s="8"/>
      <c r="I572" s="8"/>
      <c r="M572" s="8"/>
      <c r="Q572" s="8"/>
      <c r="U572" s="8"/>
      <c r="Y572" s="8"/>
    </row>
    <row r="573" spans="5:25" x14ac:dyDescent="0.25">
      <c r="E573" s="8"/>
      <c r="I573" s="8"/>
      <c r="M573" s="8"/>
      <c r="Q573" s="8"/>
      <c r="U573" s="8"/>
      <c r="Y573" s="8"/>
    </row>
    <row r="574" spans="5:25" x14ac:dyDescent="0.25">
      <c r="E574" s="8"/>
      <c r="I574" s="8"/>
      <c r="M574" s="8"/>
      <c r="Q574" s="8"/>
      <c r="U574" s="8"/>
      <c r="Y574" s="8"/>
    </row>
    <row r="575" spans="5:25" x14ac:dyDescent="0.25">
      <c r="E575" s="8"/>
      <c r="I575" s="8"/>
      <c r="M575" s="8"/>
      <c r="Q575" s="8"/>
      <c r="U575" s="8"/>
      <c r="Y575" s="8"/>
    </row>
    <row r="576" spans="5:25" x14ac:dyDescent="0.25">
      <c r="E576" s="8"/>
      <c r="I576" s="8"/>
      <c r="M576" s="8"/>
      <c r="Q576" s="8"/>
      <c r="U576" s="8"/>
      <c r="Y576" s="8"/>
    </row>
    <row r="577" spans="5:25" x14ac:dyDescent="0.25">
      <c r="E577" s="8"/>
      <c r="I577" s="8"/>
      <c r="M577" s="8"/>
      <c r="Q577" s="8"/>
      <c r="U577" s="8"/>
      <c r="Y577" s="8"/>
    </row>
    <row r="578" spans="5:25" x14ac:dyDescent="0.25">
      <c r="E578" s="8"/>
      <c r="I578" s="8"/>
      <c r="M578" s="8"/>
      <c r="Q578" s="8"/>
      <c r="U578" s="8"/>
      <c r="Y578" s="8"/>
    </row>
    <row r="579" spans="5:25" x14ac:dyDescent="0.25">
      <c r="E579" s="8"/>
      <c r="I579" s="8"/>
      <c r="M579" s="8"/>
      <c r="Q579" s="8"/>
      <c r="U579" s="8"/>
      <c r="Y579" s="8"/>
    </row>
    <row r="580" spans="5:25" x14ac:dyDescent="0.25">
      <c r="E580" s="8"/>
      <c r="I580" s="8"/>
      <c r="M580" s="8"/>
      <c r="Q580" s="8"/>
      <c r="U580" s="8"/>
      <c r="Y580" s="8"/>
    </row>
    <row r="581" spans="5:25" x14ac:dyDescent="0.25">
      <c r="E581" s="8"/>
      <c r="I581" s="8"/>
      <c r="M581" s="8"/>
      <c r="Q581" s="8"/>
      <c r="U581" s="8"/>
      <c r="Y581" s="8"/>
    </row>
    <row r="582" spans="5:25" x14ac:dyDescent="0.25">
      <c r="E582" s="8"/>
      <c r="I582" s="8"/>
      <c r="M582" s="8"/>
      <c r="Q582" s="8"/>
      <c r="U582" s="8"/>
      <c r="Y582" s="8"/>
    </row>
    <row r="583" spans="5:25" x14ac:dyDescent="0.25">
      <c r="E583" s="8"/>
      <c r="I583" s="8"/>
      <c r="M583" s="8"/>
      <c r="Q583" s="8"/>
      <c r="U583" s="8"/>
      <c r="Y583" s="8"/>
    </row>
    <row r="584" spans="5:25" x14ac:dyDescent="0.25">
      <c r="E584" s="8"/>
      <c r="I584" s="8"/>
      <c r="M584" s="8"/>
      <c r="Q584" s="8"/>
      <c r="U584" s="8"/>
      <c r="Y584" s="8"/>
    </row>
    <row r="585" spans="5:25" x14ac:dyDescent="0.25">
      <c r="E585" s="8"/>
      <c r="I585" s="8"/>
      <c r="M585" s="8"/>
      <c r="Q585" s="8"/>
      <c r="U585" s="8"/>
      <c r="Y585" s="8"/>
    </row>
    <row r="586" spans="5:25" x14ac:dyDescent="0.25">
      <c r="E586" s="8"/>
      <c r="I586" s="8"/>
      <c r="M586" s="8"/>
      <c r="Q586" s="8"/>
      <c r="U586" s="8"/>
      <c r="Y586" s="8"/>
    </row>
    <row r="587" spans="5:25" x14ac:dyDescent="0.25">
      <c r="E587" s="8"/>
      <c r="I587" s="8"/>
      <c r="M587" s="8"/>
      <c r="Q587" s="8"/>
      <c r="U587" s="8"/>
      <c r="Y587" s="8"/>
    </row>
    <row r="588" spans="5:25" x14ac:dyDescent="0.25">
      <c r="E588" s="8"/>
      <c r="I588" s="8"/>
      <c r="M588" s="8"/>
      <c r="Q588" s="8"/>
      <c r="U588" s="8"/>
      <c r="Y588" s="8"/>
    </row>
    <row r="589" spans="5:25" x14ac:dyDescent="0.25">
      <c r="E589" s="8"/>
      <c r="I589" s="8"/>
      <c r="M589" s="8"/>
      <c r="Q589" s="8"/>
      <c r="U589" s="8"/>
      <c r="Y589" s="8"/>
    </row>
    <row r="590" spans="5:25" x14ac:dyDescent="0.25">
      <c r="E590" s="8"/>
      <c r="I590" s="8"/>
      <c r="M590" s="8"/>
      <c r="Q590" s="8"/>
      <c r="U590" s="8"/>
      <c r="Y590" s="8"/>
    </row>
    <row r="591" spans="5:25" x14ac:dyDescent="0.25">
      <c r="E591" s="8"/>
      <c r="I591" s="8"/>
      <c r="M591" s="8"/>
      <c r="Q591" s="8"/>
      <c r="U591" s="8"/>
      <c r="Y591" s="8"/>
    </row>
    <row r="592" spans="5:25" x14ac:dyDescent="0.25">
      <c r="E592" s="8"/>
      <c r="I592" s="8"/>
      <c r="M592" s="8"/>
      <c r="Q592" s="8"/>
      <c r="U592" s="8"/>
      <c r="Y592" s="8"/>
    </row>
    <row r="593" spans="5:25" x14ac:dyDescent="0.25">
      <c r="E593" s="8"/>
      <c r="I593" s="8"/>
      <c r="M593" s="8"/>
      <c r="Q593" s="8"/>
      <c r="U593" s="8"/>
      <c r="Y593" s="8"/>
    </row>
    <row r="594" spans="5:25" x14ac:dyDescent="0.25">
      <c r="E594" s="8"/>
      <c r="I594" s="8"/>
      <c r="M594" s="8"/>
      <c r="Q594" s="8"/>
      <c r="U594" s="8"/>
      <c r="Y594" s="8"/>
    </row>
    <row r="595" spans="5:25" x14ac:dyDescent="0.25">
      <c r="E595" s="8"/>
      <c r="I595" s="8"/>
      <c r="M595" s="8"/>
      <c r="Q595" s="8"/>
      <c r="U595" s="8"/>
      <c r="Y595" s="8"/>
    </row>
    <row r="596" spans="5:25" x14ac:dyDescent="0.25">
      <c r="E596" s="8"/>
      <c r="I596" s="8"/>
      <c r="M596" s="8"/>
      <c r="Q596" s="8"/>
      <c r="U596" s="8"/>
      <c r="Y596" s="8"/>
    </row>
    <row r="597" spans="5:25" x14ac:dyDescent="0.25">
      <c r="E597" s="8"/>
      <c r="I597" s="8"/>
      <c r="M597" s="8"/>
      <c r="Q597" s="8"/>
      <c r="U597" s="8"/>
      <c r="Y597" s="8"/>
    </row>
    <row r="598" spans="5:25" x14ac:dyDescent="0.25">
      <c r="E598" s="8"/>
      <c r="I598" s="8"/>
      <c r="M598" s="8"/>
      <c r="Q598" s="8"/>
      <c r="U598" s="8"/>
      <c r="Y598" s="8"/>
    </row>
    <row r="599" spans="5:25" x14ac:dyDescent="0.25">
      <c r="E599" s="8"/>
      <c r="I599" s="8"/>
      <c r="M599" s="8"/>
      <c r="Q599" s="8"/>
      <c r="U599" s="8"/>
      <c r="Y599" s="8"/>
    </row>
    <row r="600" spans="5:25" x14ac:dyDescent="0.25">
      <c r="E600" s="8"/>
      <c r="I600" s="8"/>
      <c r="M600" s="8"/>
      <c r="Q600" s="8"/>
      <c r="U600" s="8"/>
      <c r="Y600" s="8"/>
    </row>
    <row r="601" spans="5:25" x14ac:dyDescent="0.25">
      <c r="E601" s="8"/>
      <c r="I601" s="8"/>
      <c r="M601" s="8"/>
      <c r="Q601" s="8"/>
      <c r="U601" s="8"/>
      <c r="Y601" s="8"/>
    </row>
    <row r="602" spans="5:25" x14ac:dyDescent="0.25">
      <c r="E602" s="8"/>
      <c r="I602" s="8"/>
      <c r="M602" s="8"/>
      <c r="Q602" s="8"/>
      <c r="U602" s="8"/>
      <c r="Y602" s="8"/>
    </row>
    <row r="603" spans="5:25" x14ac:dyDescent="0.25">
      <c r="E603" s="8"/>
      <c r="I603" s="8"/>
      <c r="M603" s="8"/>
      <c r="Q603" s="8"/>
      <c r="U603" s="8"/>
      <c r="Y603" s="8"/>
    </row>
    <row r="604" spans="5:25" x14ac:dyDescent="0.25">
      <c r="E604" s="8"/>
      <c r="I604" s="8"/>
      <c r="M604" s="8"/>
      <c r="Q604" s="8"/>
      <c r="U604" s="8"/>
      <c r="Y604" s="8"/>
    </row>
    <row r="605" spans="5:25" x14ac:dyDescent="0.25">
      <c r="E605" s="8"/>
      <c r="I605" s="8"/>
      <c r="M605" s="8"/>
      <c r="Q605" s="8"/>
      <c r="U605" s="8"/>
      <c r="Y605" s="8"/>
    </row>
    <row r="606" spans="5:25" x14ac:dyDescent="0.25">
      <c r="E606" s="8"/>
      <c r="I606" s="8"/>
      <c r="M606" s="8"/>
      <c r="Q606" s="8"/>
      <c r="U606" s="8"/>
      <c r="Y606" s="8"/>
    </row>
    <row r="607" spans="5:25" x14ac:dyDescent="0.25">
      <c r="E607" s="8"/>
      <c r="I607" s="8"/>
      <c r="M607" s="8"/>
      <c r="Q607" s="8"/>
      <c r="U607" s="8"/>
      <c r="Y607" s="8"/>
    </row>
    <row r="608" spans="5:25" x14ac:dyDescent="0.25">
      <c r="E608" s="8"/>
      <c r="I608" s="8"/>
      <c r="M608" s="8"/>
      <c r="Q608" s="8"/>
      <c r="U608" s="8"/>
      <c r="Y608" s="8"/>
    </row>
    <row r="609" spans="5:25" x14ac:dyDescent="0.25">
      <c r="E609" s="8"/>
      <c r="I609" s="8"/>
      <c r="M609" s="8"/>
      <c r="Q609" s="8"/>
      <c r="U609" s="8"/>
      <c r="Y609" s="8"/>
    </row>
    <row r="610" spans="5:25" x14ac:dyDescent="0.25">
      <c r="E610" s="8"/>
      <c r="I610" s="8"/>
      <c r="M610" s="8"/>
      <c r="Q610" s="8"/>
      <c r="U610" s="8"/>
      <c r="Y610" s="8"/>
    </row>
    <row r="611" spans="5:25" x14ac:dyDescent="0.25">
      <c r="E611" s="8"/>
      <c r="I611" s="8"/>
      <c r="M611" s="8"/>
      <c r="Q611" s="8"/>
      <c r="U611" s="8"/>
      <c r="Y611" s="8"/>
    </row>
    <row r="612" spans="5:25" x14ac:dyDescent="0.25">
      <c r="E612" s="8"/>
      <c r="I612" s="8"/>
      <c r="M612" s="8"/>
      <c r="Q612" s="8"/>
      <c r="U612" s="8"/>
      <c r="Y612" s="8"/>
    </row>
    <row r="613" spans="5:25" x14ac:dyDescent="0.25">
      <c r="E613" s="8"/>
      <c r="I613" s="8"/>
      <c r="M613" s="8"/>
      <c r="Q613" s="8"/>
      <c r="U613" s="8"/>
      <c r="Y613" s="8"/>
    </row>
    <row r="614" spans="5:25" x14ac:dyDescent="0.25">
      <c r="E614" s="8"/>
      <c r="I614" s="8"/>
      <c r="M614" s="8"/>
      <c r="Q614" s="8"/>
      <c r="U614" s="8"/>
      <c r="Y614" s="8"/>
    </row>
    <row r="615" spans="5:25" x14ac:dyDescent="0.25">
      <c r="E615" s="8"/>
      <c r="I615" s="8"/>
      <c r="M615" s="8"/>
      <c r="Q615" s="8"/>
      <c r="U615" s="8"/>
      <c r="Y615" s="8"/>
    </row>
    <row r="616" spans="5:25" x14ac:dyDescent="0.25">
      <c r="E616" s="8"/>
      <c r="I616" s="8"/>
      <c r="M616" s="8"/>
      <c r="Q616" s="8"/>
      <c r="U616" s="8"/>
      <c r="Y616" s="8"/>
    </row>
    <row r="617" spans="5:25" x14ac:dyDescent="0.25">
      <c r="E617" s="8"/>
      <c r="I617" s="8"/>
      <c r="M617" s="8"/>
      <c r="Q617" s="8"/>
      <c r="U617" s="8"/>
      <c r="Y617" s="8"/>
    </row>
    <row r="618" spans="5:25" x14ac:dyDescent="0.25">
      <c r="E618" s="8"/>
      <c r="I618" s="8"/>
      <c r="M618" s="8"/>
      <c r="Q618" s="8"/>
      <c r="U618" s="8"/>
      <c r="Y618" s="8"/>
    </row>
    <row r="619" spans="5:25" x14ac:dyDescent="0.25">
      <c r="E619" s="8"/>
      <c r="I619" s="8"/>
      <c r="M619" s="8"/>
      <c r="Q619" s="8"/>
      <c r="U619" s="8"/>
      <c r="Y619" s="8"/>
    </row>
    <row r="620" spans="5:25" x14ac:dyDescent="0.25">
      <c r="E620" s="8"/>
      <c r="I620" s="8"/>
      <c r="M620" s="8"/>
      <c r="Q620" s="8"/>
      <c r="U620" s="8"/>
      <c r="Y620" s="8"/>
    </row>
    <row r="621" spans="5:25" x14ac:dyDescent="0.25">
      <c r="E621" s="8"/>
      <c r="I621" s="8"/>
      <c r="M621" s="8"/>
      <c r="Q621" s="8"/>
      <c r="U621" s="8"/>
      <c r="Y621" s="8"/>
    </row>
    <row r="622" spans="5:25" x14ac:dyDescent="0.25">
      <c r="E622" s="8"/>
      <c r="I622" s="8"/>
      <c r="M622" s="8"/>
      <c r="Q622" s="8"/>
      <c r="U622" s="8"/>
      <c r="Y622" s="8"/>
    </row>
    <row r="623" spans="5:25" x14ac:dyDescent="0.25">
      <c r="E623" s="8"/>
      <c r="I623" s="8"/>
      <c r="M623" s="8"/>
      <c r="Q623" s="8"/>
      <c r="U623" s="8"/>
      <c r="Y623" s="8"/>
    </row>
    <row r="624" spans="5:25" x14ac:dyDescent="0.25">
      <c r="E624" s="8"/>
      <c r="I624" s="8"/>
      <c r="M624" s="8"/>
      <c r="Q624" s="8"/>
      <c r="U624" s="8"/>
      <c r="Y624" s="8"/>
    </row>
    <row r="625" spans="5:25" x14ac:dyDescent="0.25">
      <c r="E625" s="8"/>
      <c r="I625" s="8"/>
      <c r="M625" s="8"/>
      <c r="Q625" s="8"/>
      <c r="U625" s="8"/>
      <c r="Y625" s="8"/>
    </row>
    <row r="626" spans="5:25" x14ac:dyDescent="0.25">
      <c r="E626" s="8"/>
      <c r="I626" s="8"/>
      <c r="M626" s="8"/>
      <c r="Q626" s="8"/>
      <c r="U626" s="8"/>
      <c r="Y626" s="8"/>
    </row>
    <row r="627" spans="5:25" x14ac:dyDescent="0.25">
      <c r="E627" s="8"/>
      <c r="I627" s="8"/>
      <c r="M627" s="8"/>
      <c r="Q627" s="8"/>
      <c r="U627" s="8"/>
      <c r="Y627" s="8"/>
    </row>
    <row r="628" spans="5:25" x14ac:dyDescent="0.25">
      <c r="E628" s="8"/>
      <c r="I628" s="8"/>
      <c r="M628" s="8"/>
      <c r="Q628" s="8"/>
      <c r="U628" s="8"/>
      <c r="Y628" s="8"/>
    </row>
    <row r="629" spans="5:25" x14ac:dyDescent="0.25">
      <c r="E629" s="8"/>
      <c r="I629" s="8"/>
      <c r="M629" s="8"/>
      <c r="Q629" s="8"/>
      <c r="U629" s="8"/>
      <c r="Y629" s="8"/>
    </row>
    <row r="630" spans="5:25" x14ac:dyDescent="0.25">
      <c r="E630" s="8"/>
      <c r="I630" s="8"/>
      <c r="M630" s="8"/>
      <c r="Q630" s="8"/>
      <c r="U630" s="8"/>
      <c r="Y630" s="8"/>
    </row>
    <row r="631" spans="5:25" x14ac:dyDescent="0.25">
      <c r="E631" s="8"/>
      <c r="I631" s="8"/>
      <c r="M631" s="8"/>
      <c r="Q631" s="8"/>
      <c r="U631" s="8"/>
      <c r="Y631" s="8"/>
    </row>
    <row r="632" spans="5:25" x14ac:dyDescent="0.25">
      <c r="E632" s="8"/>
      <c r="I632" s="8"/>
      <c r="M632" s="8"/>
      <c r="Q632" s="8"/>
      <c r="U632" s="8"/>
      <c r="Y632" s="8"/>
    </row>
    <row r="633" spans="5:25" x14ac:dyDescent="0.25">
      <c r="E633" s="8"/>
      <c r="I633" s="8"/>
      <c r="M633" s="8"/>
      <c r="Q633" s="8"/>
      <c r="U633" s="8"/>
      <c r="Y633" s="8"/>
    </row>
    <row r="634" spans="5:25" x14ac:dyDescent="0.25">
      <c r="E634" s="8"/>
      <c r="I634" s="8"/>
      <c r="M634" s="8"/>
      <c r="Q634" s="8"/>
      <c r="U634" s="8"/>
      <c r="Y634" s="8"/>
    </row>
    <row r="635" spans="5:25" x14ac:dyDescent="0.25">
      <c r="E635" s="8"/>
      <c r="I635" s="8"/>
      <c r="M635" s="8"/>
      <c r="Q635" s="8"/>
      <c r="U635" s="8"/>
      <c r="Y635" s="8"/>
    </row>
    <row r="636" spans="5:25" x14ac:dyDescent="0.25">
      <c r="E636" s="8"/>
      <c r="I636" s="8"/>
      <c r="M636" s="8"/>
      <c r="Q636" s="8"/>
      <c r="U636" s="8"/>
      <c r="Y636" s="8"/>
    </row>
    <row r="637" spans="5:25" x14ac:dyDescent="0.25">
      <c r="E637" s="8"/>
      <c r="I637" s="8"/>
      <c r="M637" s="8"/>
      <c r="Q637" s="8"/>
      <c r="U637" s="8"/>
      <c r="Y637" s="8"/>
    </row>
    <row r="638" spans="5:25" x14ac:dyDescent="0.25">
      <c r="E638" s="8"/>
      <c r="I638" s="8"/>
      <c r="M638" s="8"/>
      <c r="Q638" s="8"/>
      <c r="U638" s="8"/>
      <c r="Y638" s="8"/>
    </row>
    <row r="639" spans="5:25" x14ac:dyDescent="0.25">
      <c r="E639" s="8"/>
      <c r="I639" s="8"/>
      <c r="M639" s="8"/>
      <c r="Q639" s="8"/>
      <c r="U639" s="8"/>
      <c r="Y639" s="8"/>
    </row>
    <row r="640" spans="5:25" x14ac:dyDescent="0.25">
      <c r="E640" s="8"/>
      <c r="I640" s="8"/>
      <c r="M640" s="8"/>
      <c r="Q640" s="8"/>
      <c r="U640" s="8"/>
      <c r="Y640" s="8"/>
    </row>
    <row r="641" spans="5:25" x14ac:dyDescent="0.25">
      <c r="E641" s="8"/>
      <c r="I641" s="8"/>
      <c r="M641" s="8"/>
      <c r="Q641" s="8"/>
      <c r="U641" s="8"/>
      <c r="Y641" s="8"/>
    </row>
    <row r="642" spans="5:25" x14ac:dyDescent="0.25">
      <c r="E642" s="8"/>
      <c r="I642" s="8"/>
      <c r="M642" s="8"/>
      <c r="Q642" s="8"/>
      <c r="U642" s="8"/>
      <c r="Y642" s="8"/>
    </row>
    <row r="643" spans="5:25" x14ac:dyDescent="0.25">
      <c r="E643" s="8"/>
      <c r="I643" s="8"/>
      <c r="M643" s="8"/>
      <c r="Q643" s="8"/>
      <c r="U643" s="8"/>
      <c r="Y643" s="8"/>
    </row>
    <row r="644" spans="5:25" x14ac:dyDescent="0.25">
      <c r="E644" s="8"/>
      <c r="I644" s="8"/>
      <c r="M644" s="8"/>
      <c r="Q644" s="8"/>
      <c r="U644" s="8"/>
      <c r="Y644" s="8"/>
    </row>
    <row r="645" spans="5:25" x14ac:dyDescent="0.25">
      <c r="E645" s="8"/>
      <c r="I645" s="8"/>
      <c r="M645" s="8"/>
      <c r="Q645" s="8"/>
      <c r="U645" s="8"/>
      <c r="Y645" s="8"/>
    </row>
    <row r="646" spans="5:25" x14ac:dyDescent="0.25">
      <c r="E646" s="8"/>
      <c r="I646" s="8"/>
      <c r="M646" s="8"/>
      <c r="Q646" s="8"/>
      <c r="U646" s="8"/>
      <c r="Y646" s="8"/>
    </row>
    <row r="647" spans="5:25" x14ac:dyDescent="0.25">
      <c r="E647" s="8"/>
      <c r="I647" s="8"/>
      <c r="M647" s="8"/>
      <c r="Q647" s="8"/>
      <c r="U647" s="8"/>
      <c r="Y647" s="8"/>
    </row>
    <row r="648" spans="5:25" x14ac:dyDescent="0.25">
      <c r="E648" s="8"/>
      <c r="I648" s="8"/>
      <c r="M648" s="8"/>
      <c r="Q648" s="8"/>
      <c r="U648" s="8"/>
      <c r="Y648" s="8"/>
    </row>
    <row r="649" spans="5:25" x14ac:dyDescent="0.25">
      <c r="E649" s="8"/>
      <c r="I649" s="8"/>
      <c r="M649" s="8"/>
      <c r="Q649" s="8"/>
      <c r="U649" s="8"/>
      <c r="Y649" s="8"/>
    </row>
    <row r="650" spans="5:25" x14ac:dyDescent="0.25">
      <c r="E650" s="8"/>
      <c r="I650" s="8"/>
      <c r="M650" s="8"/>
      <c r="Q650" s="8"/>
      <c r="U650" s="8"/>
      <c r="Y650" s="8"/>
    </row>
    <row r="651" spans="5:25" x14ac:dyDescent="0.25">
      <c r="E651" s="8"/>
      <c r="I651" s="8"/>
      <c r="M651" s="8"/>
      <c r="Q651" s="8"/>
      <c r="U651" s="8"/>
      <c r="Y651" s="8"/>
    </row>
    <row r="652" spans="5:25" x14ac:dyDescent="0.25">
      <c r="E652" s="8"/>
      <c r="I652" s="8"/>
      <c r="M652" s="8"/>
      <c r="Q652" s="8"/>
      <c r="U652" s="8"/>
      <c r="Y652" s="8"/>
    </row>
    <row r="653" spans="5:25" x14ac:dyDescent="0.25">
      <c r="E653" s="8"/>
      <c r="I653" s="8"/>
      <c r="M653" s="8"/>
      <c r="Q653" s="8"/>
      <c r="U653" s="8"/>
      <c r="Y653" s="8"/>
    </row>
    <row r="654" spans="5:25" x14ac:dyDescent="0.25">
      <c r="E654" s="8"/>
      <c r="I654" s="8"/>
      <c r="M654" s="8"/>
      <c r="Q654" s="8"/>
      <c r="U654" s="8"/>
      <c r="Y654" s="8"/>
    </row>
    <row r="655" spans="5:25" x14ac:dyDescent="0.25">
      <c r="E655" s="8"/>
      <c r="I655" s="8"/>
      <c r="M655" s="8"/>
      <c r="Q655" s="8"/>
      <c r="U655" s="8"/>
      <c r="Y655" s="8"/>
    </row>
    <row r="656" spans="5:25" x14ac:dyDescent="0.25">
      <c r="E656" s="8"/>
      <c r="I656" s="8"/>
      <c r="M656" s="8"/>
      <c r="Q656" s="8"/>
      <c r="U656" s="8"/>
      <c r="Y656" s="8"/>
    </row>
    <row r="657" spans="5:25" x14ac:dyDescent="0.25">
      <c r="E657" s="8"/>
      <c r="I657" s="8"/>
      <c r="M657" s="8"/>
      <c r="Q657" s="8"/>
      <c r="U657" s="8"/>
      <c r="Y657" s="8"/>
    </row>
    <row r="658" spans="5:25" x14ac:dyDescent="0.25">
      <c r="E658" s="8"/>
      <c r="I658" s="8"/>
      <c r="M658" s="8"/>
      <c r="Q658" s="8"/>
      <c r="U658" s="8"/>
      <c r="Y658" s="8"/>
    </row>
    <row r="659" spans="5:25" x14ac:dyDescent="0.25">
      <c r="E659" s="8"/>
      <c r="I659" s="8"/>
      <c r="M659" s="8"/>
      <c r="Q659" s="8"/>
      <c r="U659" s="8"/>
      <c r="Y659" s="8"/>
    </row>
    <row r="660" spans="5:25" x14ac:dyDescent="0.25">
      <c r="E660" s="8"/>
      <c r="I660" s="8"/>
      <c r="M660" s="8"/>
      <c r="Q660" s="8"/>
      <c r="U660" s="8"/>
      <c r="Y660" s="8"/>
    </row>
    <row r="661" spans="5:25" x14ac:dyDescent="0.25">
      <c r="E661" s="8"/>
      <c r="I661" s="8"/>
      <c r="M661" s="8"/>
      <c r="Q661" s="8"/>
      <c r="U661" s="8"/>
      <c r="Y661" s="8"/>
    </row>
    <row r="662" spans="5:25" x14ac:dyDescent="0.25">
      <c r="E662" s="8"/>
      <c r="I662" s="8"/>
      <c r="M662" s="8"/>
      <c r="Q662" s="8"/>
      <c r="U662" s="8"/>
      <c r="Y662" s="8"/>
    </row>
    <row r="663" spans="5:25" x14ac:dyDescent="0.25">
      <c r="E663" s="8"/>
      <c r="I663" s="8"/>
      <c r="M663" s="8"/>
      <c r="Q663" s="8"/>
      <c r="U663" s="8"/>
      <c r="Y663" s="8"/>
    </row>
    <row r="664" spans="5:25" x14ac:dyDescent="0.25">
      <c r="E664" s="8"/>
      <c r="I664" s="8"/>
      <c r="M664" s="8"/>
      <c r="Q664" s="8"/>
      <c r="U664" s="8"/>
      <c r="Y664" s="8"/>
    </row>
    <row r="665" spans="5:25" x14ac:dyDescent="0.25">
      <c r="E665" s="8"/>
      <c r="I665" s="8"/>
      <c r="M665" s="8"/>
      <c r="Q665" s="8"/>
      <c r="U665" s="8"/>
      <c r="Y665" s="8"/>
    </row>
    <row r="666" spans="5:25" x14ac:dyDescent="0.25">
      <c r="E666" s="8"/>
      <c r="I666" s="8"/>
      <c r="M666" s="8"/>
      <c r="Q666" s="8"/>
      <c r="U666" s="8"/>
      <c r="Y666" s="8"/>
    </row>
    <row r="667" spans="5:25" x14ac:dyDescent="0.25">
      <c r="E667" s="8"/>
      <c r="I667" s="8"/>
      <c r="M667" s="8"/>
      <c r="Q667" s="8"/>
      <c r="U667" s="8"/>
      <c r="Y667" s="8"/>
    </row>
    <row r="668" spans="5:25" x14ac:dyDescent="0.25">
      <c r="E668" s="8"/>
      <c r="I668" s="8"/>
      <c r="M668" s="8"/>
      <c r="Q668" s="8"/>
      <c r="U668" s="8"/>
      <c r="Y668" s="8"/>
    </row>
    <row r="669" spans="5:25" x14ac:dyDescent="0.25">
      <c r="E669" s="8"/>
      <c r="I669" s="8"/>
      <c r="M669" s="8"/>
      <c r="Q669" s="8"/>
      <c r="U669" s="8"/>
      <c r="Y669" s="8"/>
    </row>
    <row r="670" spans="5:25" x14ac:dyDescent="0.25">
      <c r="E670" s="8"/>
      <c r="I670" s="8"/>
      <c r="M670" s="8"/>
      <c r="Q670" s="8"/>
      <c r="U670" s="8"/>
      <c r="Y670" s="8"/>
    </row>
    <row r="671" spans="5:25" x14ac:dyDescent="0.25">
      <c r="E671" s="8"/>
      <c r="I671" s="8"/>
      <c r="M671" s="8"/>
      <c r="Q671" s="8"/>
      <c r="U671" s="8"/>
      <c r="Y671" s="8"/>
    </row>
    <row r="672" spans="5:25" x14ac:dyDescent="0.25">
      <c r="E672" s="8"/>
      <c r="I672" s="8"/>
      <c r="M672" s="8"/>
      <c r="Q672" s="8"/>
      <c r="U672" s="8"/>
      <c r="Y672" s="8"/>
    </row>
    <row r="673" spans="5:25" x14ac:dyDescent="0.25">
      <c r="E673" s="8"/>
      <c r="I673" s="8"/>
      <c r="M673" s="8"/>
      <c r="Q673" s="8"/>
      <c r="U673" s="8"/>
      <c r="Y673" s="8"/>
    </row>
    <row r="674" spans="5:25" x14ac:dyDescent="0.25">
      <c r="E674" s="8"/>
      <c r="I674" s="8"/>
      <c r="M674" s="8"/>
      <c r="Q674" s="8"/>
      <c r="U674" s="8"/>
      <c r="Y674" s="8"/>
    </row>
    <row r="675" spans="5:25" x14ac:dyDescent="0.25">
      <c r="E675" s="8"/>
      <c r="I675" s="8"/>
      <c r="M675" s="8"/>
      <c r="Q675" s="8"/>
      <c r="U675" s="8"/>
      <c r="Y675" s="8"/>
    </row>
    <row r="676" spans="5:25" x14ac:dyDescent="0.25">
      <c r="E676" s="8"/>
      <c r="I676" s="8"/>
      <c r="M676" s="8"/>
      <c r="Q676" s="8"/>
      <c r="U676" s="8"/>
      <c r="Y676" s="8"/>
    </row>
    <row r="677" spans="5:25" x14ac:dyDescent="0.25">
      <c r="E677" s="8"/>
      <c r="I677" s="8"/>
      <c r="M677" s="8"/>
      <c r="Q677" s="8"/>
      <c r="U677" s="8"/>
      <c r="Y677" s="8"/>
    </row>
    <row r="678" spans="5:25" x14ac:dyDescent="0.25">
      <c r="E678" s="8"/>
      <c r="I678" s="8"/>
      <c r="M678" s="8"/>
      <c r="Q678" s="8"/>
      <c r="U678" s="8"/>
      <c r="Y678" s="8"/>
    </row>
    <row r="679" spans="5:25" x14ac:dyDescent="0.25">
      <c r="E679" s="8"/>
      <c r="I679" s="8"/>
      <c r="M679" s="8"/>
      <c r="Q679" s="8"/>
      <c r="Y679" s="8"/>
    </row>
    <row r="680" spans="5:25" x14ac:dyDescent="0.25">
      <c r="E680" s="8"/>
      <c r="I680" s="8"/>
      <c r="M680" s="8"/>
      <c r="Q680" s="8"/>
      <c r="Y680" s="8"/>
    </row>
    <row r="681" spans="5:25" x14ac:dyDescent="0.25">
      <c r="E681" s="8"/>
      <c r="I681" s="8"/>
      <c r="M681" s="8"/>
      <c r="Q681" s="8"/>
      <c r="Y681" s="8"/>
    </row>
    <row r="682" spans="5:25" x14ac:dyDescent="0.25">
      <c r="E682" s="8"/>
      <c r="I682" s="8"/>
      <c r="M682" s="8"/>
      <c r="Q682" s="8"/>
      <c r="Y682" s="8"/>
    </row>
    <row r="683" spans="5:25" x14ac:dyDescent="0.25">
      <c r="E683" s="8"/>
      <c r="I683" s="8"/>
      <c r="M683" s="8"/>
      <c r="Q683" s="8"/>
      <c r="Y683" s="8"/>
    </row>
    <row r="684" spans="5:25" x14ac:dyDescent="0.25">
      <c r="E684" s="8"/>
      <c r="I684" s="8"/>
      <c r="M684" s="8"/>
      <c r="Q684" s="8"/>
      <c r="Y684" s="8"/>
    </row>
    <row r="685" spans="5:25" x14ac:dyDescent="0.25">
      <c r="E685" s="8"/>
      <c r="I685" s="8"/>
      <c r="M685" s="8"/>
      <c r="Q685" s="8"/>
      <c r="Y685" s="8"/>
    </row>
    <row r="686" spans="5:25" x14ac:dyDescent="0.25">
      <c r="E686" s="8"/>
      <c r="I686" s="8"/>
      <c r="M686" s="8"/>
      <c r="Q686" s="8"/>
      <c r="Y686" s="8"/>
    </row>
    <row r="687" spans="5:25" x14ac:dyDescent="0.25">
      <c r="E687" s="8"/>
      <c r="I687" s="8"/>
      <c r="M687" s="8"/>
      <c r="Q687" s="8"/>
      <c r="Y687" s="8"/>
    </row>
    <row r="688" spans="5:25" x14ac:dyDescent="0.25">
      <c r="E688" s="8"/>
      <c r="I688" s="8"/>
      <c r="M688" s="8"/>
      <c r="Q688" s="8"/>
      <c r="Y688" s="8"/>
    </row>
    <row r="689" spans="5:25" x14ac:dyDescent="0.25">
      <c r="E689" s="8"/>
      <c r="I689" s="8"/>
      <c r="M689" s="8"/>
      <c r="Q689" s="8"/>
      <c r="Y689" s="8"/>
    </row>
    <row r="690" spans="5:25" x14ac:dyDescent="0.25">
      <c r="E690" s="8"/>
      <c r="I690" s="8"/>
      <c r="M690" s="8"/>
      <c r="Q690" s="8"/>
      <c r="Y690" s="8"/>
    </row>
    <row r="691" spans="5:25" x14ac:dyDescent="0.25">
      <c r="E691" s="8"/>
      <c r="I691" s="8"/>
      <c r="M691" s="8"/>
      <c r="Q691" s="8"/>
      <c r="Y691" s="8"/>
    </row>
    <row r="692" spans="5:25" x14ac:dyDescent="0.25">
      <c r="E692" s="8"/>
      <c r="I692" s="8"/>
      <c r="M692" s="8"/>
      <c r="Q692" s="8"/>
      <c r="Y692" s="8"/>
    </row>
    <row r="693" spans="5:25" x14ac:dyDescent="0.25">
      <c r="E693" s="8"/>
      <c r="I693" s="8"/>
      <c r="M693" s="8"/>
      <c r="Q693" s="8"/>
      <c r="Y693" s="8"/>
    </row>
    <row r="694" spans="5:25" x14ac:dyDescent="0.25">
      <c r="E694" s="8"/>
      <c r="I694" s="8"/>
      <c r="M694" s="8"/>
      <c r="Q694" s="8"/>
      <c r="Y694" s="8"/>
    </row>
    <row r="695" spans="5:25" x14ac:dyDescent="0.25">
      <c r="E695" s="8"/>
      <c r="I695" s="8"/>
      <c r="M695" s="8"/>
      <c r="Q695" s="8"/>
      <c r="Y695" s="8"/>
    </row>
    <row r="696" spans="5:25" x14ac:dyDescent="0.25">
      <c r="E696" s="8"/>
      <c r="I696" s="8"/>
      <c r="M696" s="8"/>
      <c r="Q696" s="8"/>
      <c r="Y696" s="8"/>
    </row>
    <row r="697" spans="5:25" x14ac:dyDescent="0.25">
      <c r="E697" s="8"/>
      <c r="I697" s="8"/>
      <c r="M697" s="8"/>
      <c r="Q697" s="8"/>
      <c r="Y697" s="8"/>
    </row>
    <row r="698" spans="5:25" x14ac:dyDescent="0.25">
      <c r="E698" s="8"/>
      <c r="I698" s="8"/>
      <c r="M698" s="8"/>
      <c r="Q698" s="8"/>
      <c r="Y698" s="8"/>
    </row>
    <row r="699" spans="5:25" x14ac:dyDescent="0.25">
      <c r="E699" s="8"/>
      <c r="I699" s="8"/>
      <c r="M699" s="8"/>
      <c r="Q699" s="8"/>
      <c r="Y699" s="8"/>
    </row>
    <row r="700" spans="5:25" x14ac:dyDescent="0.25">
      <c r="E700" s="8"/>
      <c r="I700" s="8"/>
      <c r="M700" s="8"/>
      <c r="Q700" s="8"/>
      <c r="Y700" s="8"/>
    </row>
    <row r="701" spans="5:25" x14ac:dyDescent="0.25">
      <c r="E701" s="8"/>
      <c r="I701" s="8"/>
      <c r="M701" s="8"/>
      <c r="Q701" s="8"/>
      <c r="Y701" s="8"/>
    </row>
    <row r="702" spans="5:25" x14ac:dyDescent="0.25">
      <c r="E702" s="8"/>
      <c r="I702" s="8"/>
      <c r="M702" s="8"/>
      <c r="Q702" s="8"/>
      <c r="Y702" s="8"/>
    </row>
    <row r="703" spans="5:25" x14ac:dyDescent="0.25">
      <c r="E703" s="8"/>
      <c r="I703" s="8"/>
      <c r="M703" s="8"/>
      <c r="Q703" s="8"/>
      <c r="Y703" s="8"/>
    </row>
    <row r="704" spans="5:25" x14ac:dyDescent="0.25">
      <c r="E704" s="8"/>
      <c r="I704" s="8"/>
      <c r="M704" s="8"/>
      <c r="Q704" s="8"/>
      <c r="Y704" s="8"/>
    </row>
    <row r="705" spans="5:25" x14ac:dyDescent="0.25">
      <c r="E705" s="8"/>
      <c r="I705" s="8"/>
      <c r="M705" s="8"/>
      <c r="Q705" s="8"/>
      <c r="Y705" s="8"/>
    </row>
    <row r="706" spans="5:25" x14ac:dyDescent="0.25">
      <c r="E706" s="8"/>
      <c r="I706" s="8"/>
      <c r="M706" s="8"/>
      <c r="Q706" s="8"/>
      <c r="Y706" s="8"/>
    </row>
    <row r="707" spans="5:25" x14ac:dyDescent="0.25">
      <c r="E707" s="8"/>
      <c r="I707" s="8"/>
      <c r="M707" s="8"/>
      <c r="Q707" s="8"/>
      <c r="Y707" s="8"/>
    </row>
    <row r="708" spans="5:25" x14ac:dyDescent="0.25">
      <c r="E708" s="8"/>
      <c r="I708" s="8"/>
      <c r="M708" s="8"/>
      <c r="Q708" s="8"/>
      <c r="Y708" s="8"/>
    </row>
    <row r="709" spans="5:25" x14ac:dyDescent="0.25">
      <c r="E709" s="8"/>
      <c r="I709" s="8"/>
      <c r="M709" s="8"/>
      <c r="Q709" s="8"/>
      <c r="Y709" s="8"/>
    </row>
    <row r="710" spans="5:25" x14ac:dyDescent="0.25">
      <c r="E710" s="8"/>
      <c r="I710" s="8"/>
      <c r="M710" s="8"/>
      <c r="Q710" s="8"/>
      <c r="Y710" s="8"/>
    </row>
    <row r="711" spans="5:25" x14ac:dyDescent="0.25">
      <c r="E711" s="8"/>
      <c r="I711" s="8"/>
      <c r="M711" s="8"/>
      <c r="Q711" s="8"/>
      <c r="Y711" s="8"/>
    </row>
    <row r="712" spans="5:25" x14ac:dyDescent="0.25">
      <c r="E712" s="8"/>
      <c r="I712" s="8"/>
      <c r="M712" s="8"/>
      <c r="Q712" s="8"/>
      <c r="Y712" s="8"/>
    </row>
    <row r="713" spans="5:25" x14ac:dyDescent="0.25">
      <c r="E713" s="8"/>
      <c r="I713" s="8"/>
      <c r="M713" s="8"/>
      <c r="Q713" s="8"/>
      <c r="Y713" s="8"/>
    </row>
    <row r="714" spans="5:25" x14ac:dyDescent="0.25">
      <c r="E714" s="8"/>
      <c r="I714" s="8"/>
      <c r="M714" s="8"/>
      <c r="Q714" s="8"/>
      <c r="Y714" s="8"/>
    </row>
    <row r="715" spans="5:25" x14ac:dyDescent="0.25">
      <c r="E715" s="8"/>
      <c r="I715" s="8"/>
      <c r="M715" s="8"/>
      <c r="Q715" s="8"/>
      <c r="Y715" s="8"/>
    </row>
    <row r="716" spans="5:25" x14ac:dyDescent="0.25">
      <c r="E716" s="8"/>
      <c r="I716" s="8"/>
      <c r="M716" s="8"/>
      <c r="Q716" s="8"/>
      <c r="Y716" s="8"/>
    </row>
    <row r="717" spans="5:25" x14ac:dyDescent="0.25">
      <c r="E717" s="8"/>
      <c r="I717" s="8"/>
      <c r="M717" s="8"/>
      <c r="Q717" s="8"/>
      <c r="Y717" s="8"/>
    </row>
    <row r="718" spans="5:25" x14ac:dyDescent="0.25">
      <c r="E718" s="8"/>
      <c r="I718" s="8"/>
      <c r="M718" s="8"/>
      <c r="Q718" s="8"/>
      <c r="Y718" s="8"/>
    </row>
    <row r="719" spans="5:25" x14ac:dyDescent="0.25">
      <c r="E719" s="8"/>
      <c r="I719" s="8"/>
      <c r="M719" s="8"/>
      <c r="Q719" s="8"/>
      <c r="Y719" s="8"/>
    </row>
    <row r="720" spans="5:25" x14ac:dyDescent="0.25">
      <c r="E720" s="8"/>
      <c r="I720" s="8"/>
      <c r="M720" s="8"/>
      <c r="Q720" s="8"/>
      <c r="Y720" s="8"/>
    </row>
    <row r="721" spans="5:25" x14ac:dyDescent="0.25">
      <c r="E721" s="8"/>
      <c r="I721" s="8"/>
      <c r="M721" s="8"/>
      <c r="Q721" s="8"/>
      <c r="Y721" s="8"/>
    </row>
    <row r="722" spans="5:25" x14ac:dyDescent="0.25">
      <c r="E722" s="8"/>
      <c r="I722" s="8"/>
      <c r="M722" s="8"/>
      <c r="Q722" s="8"/>
      <c r="Y722" s="8"/>
    </row>
    <row r="723" spans="5:25" x14ac:dyDescent="0.25">
      <c r="E723" s="8"/>
      <c r="I723" s="8"/>
      <c r="M723" s="8"/>
      <c r="Q723" s="8"/>
      <c r="Y723" s="8"/>
    </row>
    <row r="724" spans="5:25" x14ac:dyDescent="0.25">
      <c r="E724" s="8"/>
      <c r="I724" s="8"/>
      <c r="M724" s="8"/>
      <c r="Q724" s="8"/>
      <c r="Y724" s="8"/>
    </row>
    <row r="725" spans="5:25" x14ac:dyDescent="0.25">
      <c r="E725" s="8"/>
      <c r="I725" s="8"/>
      <c r="M725" s="8"/>
      <c r="Q725" s="8"/>
      <c r="Y725" s="8"/>
    </row>
    <row r="726" spans="5:25" x14ac:dyDescent="0.25">
      <c r="E726" s="8"/>
      <c r="I726" s="8"/>
      <c r="M726" s="8"/>
      <c r="Q726" s="8"/>
      <c r="Y726" s="8"/>
    </row>
    <row r="727" spans="5:25" x14ac:dyDescent="0.25">
      <c r="E727" s="8"/>
      <c r="I727" s="8"/>
      <c r="M727" s="8"/>
      <c r="Q727" s="8"/>
      <c r="Y727" s="8"/>
    </row>
    <row r="728" spans="5:25" x14ac:dyDescent="0.25">
      <c r="E728" s="8"/>
      <c r="I728" s="8"/>
      <c r="M728" s="8"/>
      <c r="Q728" s="8"/>
      <c r="Y728" s="8"/>
    </row>
    <row r="729" spans="5:25" x14ac:dyDescent="0.25">
      <c r="E729" s="8"/>
      <c r="I729" s="8"/>
      <c r="M729" s="8"/>
      <c r="Q729" s="8"/>
      <c r="Y729" s="8"/>
    </row>
    <row r="730" spans="5:25" x14ac:dyDescent="0.25">
      <c r="E730" s="8"/>
      <c r="I730" s="8"/>
      <c r="M730" s="8"/>
      <c r="Q730" s="8"/>
      <c r="Y730" s="8"/>
    </row>
    <row r="731" spans="5:25" x14ac:dyDescent="0.25">
      <c r="E731" s="8"/>
      <c r="I731" s="8"/>
      <c r="M731" s="8"/>
      <c r="Q731" s="8"/>
      <c r="Y731" s="8"/>
    </row>
    <row r="732" spans="5:25" x14ac:dyDescent="0.25">
      <c r="E732" s="8"/>
      <c r="I732" s="8"/>
      <c r="M732" s="8"/>
      <c r="Q732" s="8"/>
      <c r="Y732" s="8"/>
    </row>
    <row r="733" spans="5:25" x14ac:dyDescent="0.25">
      <c r="E733" s="8"/>
      <c r="I733" s="8"/>
      <c r="M733" s="8"/>
      <c r="Q733" s="8"/>
      <c r="Y733" s="8"/>
    </row>
    <row r="734" spans="5:25" x14ac:dyDescent="0.25">
      <c r="E734" s="8"/>
      <c r="I734" s="8"/>
      <c r="M734" s="8"/>
      <c r="Q734" s="8"/>
      <c r="Y734" s="8"/>
    </row>
    <row r="735" spans="5:25" x14ac:dyDescent="0.25">
      <c r="E735" s="8"/>
      <c r="I735" s="8"/>
      <c r="M735" s="8"/>
      <c r="Q735" s="8"/>
      <c r="Y735" s="8"/>
    </row>
    <row r="736" spans="5:25" x14ac:dyDescent="0.25">
      <c r="E736" s="8"/>
      <c r="I736" s="8"/>
      <c r="M736" s="8"/>
      <c r="Q736" s="8"/>
      <c r="Y736" s="8"/>
    </row>
    <row r="737" spans="5:25" x14ac:dyDescent="0.25">
      <c r="E737" s="8"/>
      <c r="I737" s="8"/>
      <c r="M737" s="8"/>
      <c r="Q737" s="8"/>
      <c r="Y737" s="8"/>
    </row>
    <row r="738" spans="5:25" x14ac:dyDescent="0.25">
      <c r="E738" s="8"/>
      <c r="I738" s="8"/>
      <c r="M738" s="8"/>
      <c r="Q738" s="8"/>
      <c r="Y738" s="8"/>
    </row>
    <row r="739" spans="5:25" x14ac:dyDescent="0.25">
      <c r="E739" s="8"/>
      <c r="I739" s="8"/>
      <c r="M739" s="8"/>
      <c r="Q739" s="8"/>
      <c r="Y739" s="8"/>
    </row>
    <row r="740" spans="5:25" x14ac:dyDescent="0.25">
      <c r="E740" s="8"/>
      <c r="I740" s="8"/>
      <c r="M740" s="8"/>
      <c r="Q740" s="8"/>
      <c r="Y740" s="8"/>
    </row>
    <row r="741" spans="5:25" x14ac:dyDescent="0.25">
      <c r="E741" s="8"/>
      <c r="I741" s="8"/>
      <c r="M741" s="8"/>
      <c r="Q741" s="8"/>
      <c r="Y741" s="8"/>
    </row>
    <row r="742" spans="5:25" x14ac:dyDescent="0.25">
      <c r="E742" s="8"/>
      <c r="I742" s="8"/>
      <c r="M742" s="8"/>
      <c r="Q742" s="8"/>
      <c r="Y742" s="8"/>
    </row>
    <row r="743" spans="5:25" x14ac:dyDescent="0.25">
      <c r="E743" s="8"/>
      <c r="I743" s="8"/>
      <c r="M743" s="8"/>
      <c r="Q743" s="8"/>
      <c r="Y743" s="8"/>
    </row>
    <row r="744" spans="5:25" x14ac:dyDescent="0.25">
      <c r="E744" s="8"/>
      <c r="I744" s="8"/>
      <c r="M744" s="8"/>
      <c r="Q744" s="8"/>
      <c r="Y744" s="8"/>
    </row>
    <row r="745" spans="5:25" x14ac:dyDescent="0.25">
      <c r="E745" s="8"/>
      <c r="I745" s="8"/>
      <c r="M745" s="8"/>
      <c r="Q745" s="8"/>
      <c r="Y745" s="8"/>
    </row>
    <row r="746" spans="5:25" x14ac:dyDescent="0.25">
      <c r="E746" s="8"/>
      <c r="I746" s="8"/>
      <c r="M746" s="8"/>
      <c r="Q746" s="8"/>
      <c r="Y746" s="8"/>
    </row>
    <row r="747" spans="5:25" x14ac:dyDescent="0.25">
      <c r="E747" s="8"/>
      <c r="I747" s="8"/>
      <c r="M747" s="8"/>
      <c r="Q747" s="8"/>
      <c r="Y747" s="8"/>
    </row>
    <row r="748" spans="5:25" x14ac:dyDescent="0.25">
      <c r="E748" s="8"/>
      <c r="I748" s="8"/>
      <c r="M748" s="8"/>
      <c r="Q748" s="8"/>
      <c r="Y748" s="8"/>
    </row>
    <row r="749" spans="5:25" x14ac:dyDescent="0.25">
      <c r="E749" s="8"/>
      <c r="I749" s="8"/>
      <c r="M749" s="8"/>
      <c r="Q749" s="8"/>
      <c r="Y749" s="8"/>
    </row>
    <row r="750" spans="5:25" x14ac:dyDescent="0.25">
      <c r="E750" s="8"/>
      <c r="I750" s="8"/>
      <c r="M750" s="8"/>
      <c r="Q750" s="8"/>
      <c r="Y750" s="8"/>
    </row>
    <row r="751" spans="5:25" x14ac:dyDescent="0.25">
      <c r="E751" s="8"/>
      <c r="I751" s="8"/>
      <c r="M751" s="8"/>
      <c r="Q751" s="8"/>
      <c r="Y751" s="8"/>
    </row>
    <row r="752" spans="5:25" x14ac:dyDescent="0.25">
      <c r="E752" s="8"/>
      <c r="I752" s="8"/>
      <c r="M752" s="8"/>
      <c r="Q752" s="8"/>
      <c r="Y752" s="8"/>
    </row>
    <row r="753" spans="5:25" x14ac:dyDescent="0.25">
      <c r="E753" s="8"/>
      <c r="I753" s="8"/>
      <c r="M753" s="8"/>
      <c r="Q753" s="8"/>
      <c r="Y753" s="8"/>
    </row>
    <row r="754" spans="5:25" x14ac:dyDescent="0.25">
      <c r="E754" s="8"/>
      <c r="I754" s="8"/>
      <c r="M754" s="8"/>
      <c r="Q754" s="8"/>
      <c r="Y754" s="8"/>
    </row>
    <row r="755" spans="5:25" x14ac:dyDescent="0.25">
      <c r="E755" s="8"/>
      <c r="I755" s="8"/>
      <c r="M755" s="8"/>
      <c r="Q755" s="8"/>
      <c r="Y755" s="8"/>
    </row>
    <row r="756" spans="5:25" x14ac:dyDescent="0.25">
      <c r="E756" s="8"/>
      <c r="I756" s="8"/>
      <c r="M756" s="8"/>
      <c r="Q756" s="8"/>
      <c r="Y756" s="8"/>
    </row>
    <row r="757" spans="5:25" x14ac:dyDescent="0.25">
      <c r="E757" s="8"/>
      <c r="I757" s="8"/>
      <c r="M757" s="8"/>
      <c r="Q757" s="8"/>
      <c r="Y757" s="8"/>
    </row>
    <row r="758" spans="5:25" x14ac:dyDescent="0.25">
      <c r="E758" s="8"/>
      <c r="I758" s="8"/>
      <c r="M758" s="8"/>
      <c r="Q758" s="8"/>
      <c r="Y758" s="8"/>
    </row>
    <row r="759" spans="5:25" x14ac:dyDescent="0.25">
      <c r="E759" s="8"/>
      <c r="I759" s="8"/>
      <c r="M759" s="8"/>
      <c r="Q759" s="8"/>
      <c r="Y759" s="8"/>
    </row>
    <row r="760" spans="5:25" x14ac:dyDescent="0.25">
      <c r="E760" s="8"/>
      <c r="I760" s="8"/>
      <c r="M760" s="8"/>
      <c r="Q760" s="8"/>
      <c r="Y760" s="8"/>
    </row>
    <row r="761" spans="5:25" x14ac:dyDescent="0.25">
      <c r="E761" s="8"/>
      <c r="I761" s="8"/>
      <c r="M761" s="8"/>
      <c r="Q761" s="8"/>
      <c r="Y761" s="8"/>
    </row>
    <row r="762" spans="5:25" x14ac:dyDescent="0.25">
      <c r="E762" s="8"/>
      <c r="I762" s="8"/>
      <c r="M762" s="8"/>
      <c r="Q762" s="8"/>
      <c r="Y762" s="8"/>
    </row>
    <row r="763" spans="5:25" x14ac:dyDescent="0.25">
      <c r="E763" s="8"/>
      <c r="I763" s="8"/>
      <c r="M763" s="8"/>
      <c r="Q763" s="8"/>
      <c r="Y763" s="8"/>
    </row>
    <row r="764" spans="5:25" x14ac:dyDescent="0.25">
      <c r="E764" s="8"/>
      <c r="I764" s="8"/>
      <c r="M764" s="8"/>
      <c r="Q764" s="8"/>
      <c r="Y764" s="8"/>
    </row>
    <row r="765" spans="5:25" x14ac:dyDescent="0.25">
      <c r="E765" s="8"/>
      <c r="I765" s="8"/>
      <c r="M765" s="8"/>
      <c r="Q765" s="8"/>
      <c r="Y765" s="8"/>
    </row>
    <row r="766" spans="5:25" x14ac:dyDescent="0.25">
      <c r="E766" s="8"/>
      <c r="I766" s="8"/>
      <c r="M766" s="8"/>
      <c r="Q766" s="8"/>
      <c r="Y766" s="8"/>
    </row>
    <row r="767" spans="5:25" x14ac:dyDescent="0.25">
      <c r="E767" s="8"/>
      <c r="I767" s="8"/>
      <c r="M767" s="8"/>
      <c r="Q767" s="8"/>
      <c r="Y767" s="8"/>
    </row>
    <row r="768" spans="5:25" x14ac:dyDescent="0.25">
      <c r="E768" s="8"/>
      <c r="I768" s="8"/>
      <c r="M768" s="8"/>
      <c r="Q768" s="8"/>
      <c r="Y768" s="8"/>
    </row>
    <row r="769" spans="5:25" x14ac:dyDescent="0.25">
      <c r="E769" s="8"/>
      <c r="I769" s="8"/>
      <c r="M769" s="8"/>
      <c r="Q769" s="8"/>
      <c r="Y769" s="8"/>
    </row>
    <row r="770" spans="5:25" x14ac:dyDescent="0.25">
      <c r="E770" s="8"/>
      <c r="I770" s="8"/>
      <c r="M770" s="8"/>
      <c r="Q770" s="8"/>
      <c r="Y770" s="8"/>
    </row>
    <row r="771" spans="5:25" x14ac:dyDescent="0.25">
      <c r="E771" s="8"/>
      <c r="I771" s="8"/>
      <c r="M771" s="8"/>
      <c r="Q771" s="8"/>
      <c r="Y771" s="8"/>
    </row>
    <row r="772" spans="5:25" x14ac:dyDescent="0.25">
      <c r="E772" s="8"/>
      <c r="I772" s="8"/>
      <c r="M772" s="8"/>
      <c r="Q772" s="8"/>
      <c r="Y772" s="8"/>
    </row>
    <row r="773" spans="5:25" x14ac:dyDescent="0.25">
      <c r="E773" s="8"/>
      <c r="I773" s="8"/>
      <c r="M773" s="8"/>
      <c r="Q773" s="8"/>
      <c r="Y773" s="8"/>
    </row>
    <row r="774" spans="5:25" x14ac:dyDescent="0.25">
      <c r="E774" s="8"/>
      <c r="I774" s="8"/>
      <c r="M774" s="8"/>
      <c r="Q774" s="8"/>
      <c r="Y774" s="8"/>
    </row>
    <row r="775" spans="5:25" x14ac:dyDescent="0.25">
      <c r="E775" s="8"/>
      <c r="I775" s="8"/>
      <c r="M775" s="8"/>
      <c r="Q775" s="8"/>
      <c r="Y775" s="8"/>
    </row>
    <row r="776" spans="5:25" x14ac:dyDescent="0.25">
      <c r="E776" s="8"/>
      <c r="I776" s="8"/>
      <c r="M776" s="8"/>
      <c r="Q776" s="8"/>
      <c r="Y776" s="8"/>
    </row>
    <row r="777" spans="5:25" x14ac:dyDescent="0.25">
      <c r="E777" s="8"/>
      <c r="I777" s="8"/>
      <c r="M777" s="8"/>
      <c r="Q777" s="8"/>
      <c r="Y777" s="8"/>
    </row>
    <row r="778" spans="5:25" x14ac:dyDescent="0.25">
      <c r="E778" s="8"/>
      <c r="I778" s="8"/>
      <c r="M778" s="8"/>
      <c r="Q778" s="8"/>
      <c r="Y778" s="8"/>
    </row>
    <row r="779" spans="5:25" x14ac:dyDescent="0.25">
      <c r="E779" s="8"/>
      <c r="I779" s="8"/>
      <c r="M779" s="8"/>
      <c r="Q779" s="8"/>
      <c r="Y779" s="8"/>
    </row>
    <row r="780" spans="5:25" x14ac:dyDescent="0.25">
      <c r="E780" s="8"/>
      <c r="I780" s="8"/>
      <c r="M780" s="8"/>
      <c r="Q780" s="8"/>
      <c r="Y780" s="8"/>
    </row>
    <row r="781" spans="5:25" x14ac:dyDescent="0.25">
      <c r="E781" s="8"/>
      <c r="I781" s="8"/>
      <c r="M781" s="8"/>
      <c r="Q781" s="8"/>
      <c r="Y781" s="8"/>
    </row>
    <row r="782" spans="5:25" x14ac:dyDescent="0.25">
      <c r="E782" s="8"/>
      <c r="I782" s="8"/>
      <c r="M782" s="8"/>
      <c r="Q782" s="8"/>
      <c r="Y782" s="8"/>
    </row>
    <row r="783" spans="5:25" x14ac:dyDescent="0.25">
      <c r="E783" s="8"/>
      <c r="I783" s="8"/>
      <c r="M783" s="8"/>
      <c r="Q783" s="8"/>
      <c r="Y783" s="8"/>
    </row>
    <row r="784" spans="5:25" x14ac:dyDescent="0.25">
      <c r="E784" s="8"/>
      <c r="I784" s="8"/>
      <c r="M784" s="8"/>
      <c r="Q784" s="8"/>
      <c r="Y784" s="8"/>
    </row>
    <row r="785" spans="5:25" x14ac:dyDescent="0.25">
      <c r="E785" s="8"/>
      <c r="I785" s="8"/>
      <c r="M785" s="8"/>
      <c r="Q785" s="8"/>
      <c r="Y785" s="8"/>
    </row>
    <row r="786" spans="5:25" x14ac:dyDescent="0.25">
      <c r="E786" s="8"/>
      <c r="I786" s="8"/>
      <c r="M786" s="8"/>
      <c r="Q786" s="8"/>
      <c r="Y786" s="8"/>
    </row>
    <row r="787" spans="5:25" x14ac:dyDescent="0.25">
      <c r="E787" s="8"/>
      <c r="I787" s="8"/>
      <c r="M787" s="8"/>
      <c r="Q787" s="8"/>
      <c r="Y787" s="8"/>
    </row>
    <row r="788" spans="5:25" x14ac:dyDescent="0.25">
      <c r="E788" s="8"/>
      <c r="I788" s="8"/>
      <c r="M788" s="8"/>
      <c r="Q788" s="8"/>
      <c r="Y788" s="8"/>
    </row>
    <row r="789" spans="5:25" x14ac:dyDescent="0.25">
      <c r="E789" s="8"/>
      <c r="I789" s="8"/>
      <c r="M789" s="8"/>
      <c r="Q789" s="8"/>
      <c r="Y789" s="8"/>
    </row>
    <row r="790" spans="5:25" x14ac:dyDescent="0.25">
      <c r="E790" s="8"/>
      <c r="I790" s="8"/>
      <c r="M790" s="8"/>
      <c r="Q790" s="8"/>
      <c r="Y790" s="8"/>
    </row>
    <row r="791" spans="5:25" x14ac:dyDescent="0.25">
      <c r="E791" s="8"/>
      <c r="I791" s="8"/>
      <c r="M791" s="8"/>
      <c r="Q791" s="8"/>
      <c r="Y791" s="8"/>
    </row>
    <row r="792" spans="5:25" x14ac:dyDescent="0.25">
      <c r="E792" s="8"/>
      <c r="I792" s="8"/>
      <c r="M792" s="8"/>
      <c r="Q792" s="8"/>
      <c r="Y792" s="8"/>
    </row>
    <row r="793" spans="5:25" x14ac:dyDescent="0.25">
      <c r="E793" s="8"/>
      <c r="I793" s="8"/>
      <c r="M793" s="8"/>
      <c r="Q793" s="8"/>
      <c r="Y793" s="8"/>
    </row>
    <row r="794" spans="5:25" x14ac:dyDescent="0.25">
      <c r="E794" s="8"/>
      <c r="I794" s="8"/>
      <c r="M794" s="8"/>
      <c r="Q794" s="8"/>
      <c r="Y794" s="8"/>
    </row>
    <row r="795" spans="5:25" x14ac:dyDescent="0.25">
      <c r="E795" s="8"/>
      <c r="I795" s="8"/>
      <c r="M795" s="8"/>
      <c r="Q795" s="8"/>
      <c r="Y795" s="8"/>
    </row>
    <row r="796" spans="5:25" x14ac:dyDescent="0.25">
      <c r="E796" s="8"/>
      <c r="I796" s="8"/>
      <c r="M796" s="8"/>
      <c r="Q796" s="8"/>
      <c r="Y796" s="8"/>
    </row>
    <row r="797" spans="5:25" x14ac:dyDescent="0.25">
      <c r="E797" s="8"/>
      <c r="I797" s="8"/>
      <c r="M797" s="8"/>
      <c r="Q797" s="8"/>
      <c r="Y797" s="8"/>
    </row>
    <row r="798" spans="5:25" x14ac:dyDescent="0.25">
      <c r="E798" s="8"/>
      <c r="I798" s="8"/>
      <c r="M798" s="8"/>
      <c r="Q798" s="8"/>
      <c r="Y798" s="8"/>
    </row>
    <row r="799" spans="5:25" x14ac:dyDescent="0.25">
      <c r="E799" s="8"/>
      <c r="I799" s="8"/>
      <c r="M799" s="8"/>
      <c r="Q799" s="8"/>
      <c r="Y799" s="8"/>
    </row>
    <row r="800" spans="5:25" x14ac:dyDescent="0.25">
      <c r="E800" s="8"/>
      <c r="I800" s="8"/>
      <c r="M800" s="8"/>
      <c r="Q800" s="8"/>
      <c r="Y800" s="8"/>
    </row>
    <row r="801" spans="5:25" x14ac:dyDescent="0.25">
      <c r="E801" s="8"/>
      <c r="I801" s="8"/>
      <c r="M801" s="8"/>
      <c r="Q801" s="8"/>
      <c r="Y801" s="8"/>
    </row>
    <row r="802" spans="5:25" x14ac:dyDescent="0.25">
      <c r="E802" s="8"/>
      <c r="I802" s="8"/>
      <c r="M802" s="8"/>
      <c r="Q802" s="8"/>
      <c r="Y802" s="8"/>
    </row>
    <row r="803" spans="5:25" x14ac:dyDescent="0.25">
      <c r="E803" s="8"/>
      <c r="I803" s="8"/>
      <c r="M803" s="8"/>
      <c r="Q803" s="8"/>
      <c r="Y803" s="8"/>
    </row>
    <row r="804" spans="5:25" x14ac:dyDescent="0.25">
      <c r="E804" s="8"/>
      <c r="I804" s="8"/>
      <c r="M804" s="8"/>
      <c r="Q804" s="8"/>
      <c r="Y804" s="8"/>
    </row>
    <row r="805" spans="5:25" x14ac:dyDescent="0.25">
      <c r="E805" s="8"/>
      <c r="I805" s="8"/>
      <c r="M805" s="8"/>
      <c r="Q805" s="8"/>
      <c r="Y805" s="8"/>
    </row>
    <row r="806" spans="5:25" x14ac:dyDescent="0.25">
      <c r="E806" s="8"/>
      <c r="I806" s="8"/>
      <c r="M806" s="8"/>
      <c r="Q806" s="8"/>
      <c r="Y806" s="8"/>
    </row>
    <row r="807" spans="5:25" x14ac:dyDescent="0.25">
      <c r="E807" s="8"/>
      <c r="I807" s="8"/>
      <c r="M807" s="8"/>
      <c r="Q807" s="8"/>
      <c r="Y807" s="8"/>
    </row>
    <row r="808" spans="5:25" x14ac:dyDescent="0.25">
      <c r="E808" s="8"/>
      <c r="I808" s="8"/>
      <c r="M808" s="8"/>
      <c r="Q808" s="8"/>
      <c r="Y808" s="8"/>
    </row>
    <row r="809" spans="5:25" x14ac:dyDescent="0.25">
      <c r="E809" s="8"/>
      <c r="I809" s="8"/>
      <c r="M809" s="8"/>
      <c r="Q809" s="8"/>
      <c r="Y809" s="8"/>
    </row>
    <row r="810" spans="5:25" x14ac:dyDescent="0.25">
      <c r="E810" s="8"/>
      <c r="I810" s="8"/>
      <c r="M810" s="8"/>
      <c r="Q810" s="8"/>
      <c r="Y810" s="8"/>
    </row>
    <row r="811" spans="5:25" x14ac:dyDescent="0.25">
      <c r="E811" s="8"/>
      <c r="I811" s="8"/>
      <c r="M811" s="8"/>
      <c r="Q811" s="8"/>
      <c r="Y811" s="8"/>
    </row>
    <row r="812" spans="5:25" x14ac:dyDescent="0.25">
      <c r="E812" s="8"/>
      <c r="I812" s="8"/>
      <c r="M812" s="8"/>
      <c r="Q812" s="8"/>
      <c r="Y812" s="8"/>
    </row>
    <row r="813" spans="5:25" x14ac:dyDescent="0.25">
      <c r="E813" s="8"/>
      <c r="I813" s="8"/>
      <c r="M813" s="8"/>
      <c r="Q813" s="8"/>
      <c r="Y813" s="8"/>
    </row>
    <row r="814" spans="5:25" x14ac:dyDescent="0.25">
      <c r="E814" s="8"/>
      <c r="I814" s="8"/>
      <c r="M814" s="8"/>
      <c r="Q814" s="8"/>
      <c r="Y814" s="8"/>
    </row>
    <row r="815" spans="5:25" x14ac:dyDescent="0.25">
      <c r="E815" s="8"/>
      <c r="I815" s="8"/>
      <c r="M815" s="8"/>
      <c r="Q815" s="8"/>
      <c r="Y815" s="8"/>
    </row>
    <row r="816" spans="5:25" x14ac:dyDescent="0.25">
      <c r="E816" s="8"/>
      <c r="I816" s="8"/>
      <c r="M816" s="8"/>
      <c r="Q816" s="8"/>
      <c r="Y816" s="8"/>
    </row>
    <row r="817" spans="5:25" x14ac:dyDescent="0.25">
      <c r="E817" s="8"/>
      <c r="I817" s="8"/>
      <c r="M817" s="8"/>
      <c r="Q817" s="8"/>
      <c r="Y817" s="8"/>
    </row>
    <row r="818" spans="5:25" x14ac:dyDescent="0.25">
      <c r="E818" s="8"/>
      <c r="I818" s="8"/>
      <c r="M818" s="8"/>
      <c r="Y818" s="8"/>
    </row>
    <row r="819" spans="5:25" x14ac:dyDescent="0.25">
      <c r="E819" s="8"/>
      <c r="I819" s="8"/>
      <c r="M819" s="8"/>
      <c r="Y819" s="8"/>
    </row>
    <row r="820" spans="5:25" x14ac:dyDescent="0.25">
      <c r="E820" s="8"/>
      <c r="I820" s="8"/>
      <c r="M820" s="8"/>
      <c r="Y820" s="8"/>
    </row>
    <row r="821" spans="5:25" x14ac:dyDescent="0.25">
      <c r="E821" s="8"/>
      <c r="I821" s="8"/>
      <c r="M821" s="8"/>
      <c r="Y821" s="8"/>
    </row>
    <row r="822" spans="5:25" x14ac:dyDescent="0.25">
      <c r="E822" s="8"/>
      <c r="I822" s="8"/>
      <c r="M822" s="8"/>
      <c r="Y822" s="8"/>
    </row>
    <row r="823" spans="5:25" x14ac:dyDescent="0.25">
      <c r="E823" s="8"/>
      <c r="I823" s="8"/>
      <c r="M823" s="8"/>
      <c r="Y823" s="8"/>
    </row>
    <row r="824" spans="5:25" x14ac:dyDescent="0.25">
      <c r="E824" s="8"/>
      <c r="I824" s="8"/>
      <c r="M824" s="8"/>
      <c r="Y824" s="8"/>
    </row>
    <row r="825" spans="5:25" x14ac:dyDescent="0.25">
      <c r="E825" s="8"/>
      <c r="I825" s="8"/>
      <c r="M825" s="8"/>
      <c r="Y825" s="8"/>
    </row>
    <row r="826" spans="5:25" x14ac:dyDescent="0.25">
      <c r="E826" s="8"/>
      <c r="I826" s="8"/>
      <c r="M826" s="8"/>
      <c r="Y826" s="8"/>
    </row>
    <row r="827" spans="5:25" x14ac:dyDescent="0.25">
      <c r="E827" s="8"/>
      <c r="I827" s="8"/>
      <c r="M827" s="8"/>
      <c r="Y827" s="8"/>
    </row>
    <row r="828" spans="5:25" x14ac:dyDescent="0.25">
      <c r="E828" s="8"/>
      <c r="I828" s="8"/>
      <c r="M828" s="8"/>
      <c r="Y828" s="8"/>
    </row>
    <row r="829" spans="5:25" x14ac:dyDescent="0.25">
      <c r="E829" s="8"/>
      <c r="I829" s="8"/>
      <c r="M829" s="8"/>
      <c r="Y829" s="8"/>
    </row>
    <row r="830" spans="5:25" x14ac:dyDescent="0.25">
      <c r="E830" s="8"/>
      <c r="I830" s="8"/>
      <c r="M830" s="8"/>
      <c r="Y830" s="8"/>
    </row>
    <row r="831" spans="5:25" x14ac:dyDescent="0.25">
      <c r="E831" s="8"/>
      <c r="I831" s="8"/>
      <c r="M831" s="8"/>
      <c r="Y831" s="8"/>
    </row>
    <row r="832" spans="5:25" x14ac:dyDescent="0.25">
      <c r="E832" s="8"/>
      <c r="I832" s="8"/>
      <c r="M832" s="8"/>
      <c r="Y832" s="8"/>
    </row>
    <row r="833" spans="5:25" x14ac:dyDescent="0.25">
      <c r="E833" s="8"/>
      <c r="I833" s="8"/>
      <c r="M833" s="8"/>
      <c r="Y833" s="8"/>
    </row>
    <row r="834" spans="5:25" x14ac:dyDescent="0.25">
      <c r="E834" s="8"/>
      <c r="I834" s="8"/>
      <c r="M834" s="8"/>
      <c r="Y834" s="8"/>
    </row>
    <row r="835" spans="5:25" x14ac:dyDescent="0.25">
      <c r="E835" s="8"/>
      <c r="I835" s="8"/>
      <c r="M835" s="8"/>
      <c r="Y835" s="8"/>
    </row>
    <row r="836" spans="5:25" x14ac:dyDescent="0.25">
      <c r="E836" s="8"/>
      <c r="I836" s="8"/>
      <c r="M836" s="8"/>
      <c r="Y836" s="8"/>
    </row>
    <row r="837" spans="5:25" x14ac:dyDescent="0.25">
      <c r="E837" s="8"/>
      <c r="I837" s="8"/>
      <c r="M837" s="8"/>
      <c r="Y837" s="8"/>
    </row>
    <row r="838" spans="5:25" x14ac:dyDescent="0.25">
      <c r="E838" s="8"/>
      <c r="I838" s="8"/>
      <c r="M838" s="8"/>
      <c r="Y838" s="8"/>
    </row>
    <row r="839" spans="5:25" x14ac:dyDescent="0.25">
      <c r="E839" s="8"/>
      <c r="I839" s="8"/>
      <c r="M839" s="8"/>
      <c r="Y839" s="8"/>
    </row>
    <row r="840" spans="5:25" x14ac:dyDescent="0.25">
      <c r="E840" s="8"/>
      <c r="I840" s="8"/>
      <c r="M840" s="8"/>
      <c r="Y840" s="8"/>
    </row>
    <row r="841" spans="5:25" x14ac:dyDescent="0.25">
      <c r="E841" s="8"/>
      <c r="I841" s="8"/>
      <c r="M841" s="8"/>
      <c r="Y841" s="8"/>
    </row>
    <row r="842" spans="5:25" x14ac:dyDescent="0.25">
      <c r="E842" s="8"/>
      <c r="I842" s="8"/>
      <c r="M842" s="8"/>
      <c r="Y842" s="8"/>
    </row>
    <row r="843" spans="5:25" x14ac:dyDescent="0.25">
      <c r="E843" s="8"/>
      <c r="I843" s="8"/>
      <c r="M843" s="8"/>
      <c r="Y843" s="8"/>
    </row>
    <row r="844" spans="5:25" x14ac:dyDescent="0.25">
      <c r="E844" s="8"/>
      <c r="I844" s="8"/>
      <c r="M844" s="8"/>
      <c r="Y844" s="8"/>
    </row>
    <row r="845" spans="5:25" x14ac:dyDescent="0.25">
      <c r="E845" s="8"/>
      <c r="I845" s="8"/>
      <c r="M845" s="8"/>
      <c r="Y845" s="8"/>
    </row>
    <row r="846" spans="5:25" x14ac:dyDescent="0.25">
      <c r="E846" s="8"/>
      <c r="I846" s="8"/>
      <c r="M846" s="8"/>
      <c r="Y846" s="8"/>
    </row>
    <row r="847" spans="5:25" x14ac:dyDescent="0.25">
      <c r="E847" s="8"/>
      <c r="I847" s="8"/>
      <c r="M847" s="8"/>
      <c r="Y847" s="8"/>
    </row>
    <row r="848" spans="5:25" x14ac:dyDescent="0.25">
      <c r="E848" s="8"/>
      <c r="I848" s="8"/>
      <c r="M848" s="8"/>
      <c r="Y848" s="8"/>
    </row>
    <row r="849" spans="5:25" x14ac:dyDescent="0.25">
      <c r="E849" s="8"/>
      <c r="I849" s="8"/>
      <c r="M849" s="8"/>
      <c r="Y849" s="8"/>
    </row>
    <row r="850" spans="5:25" x14ac:dyDescent="0.25">
      <c r="E850" s="8"/>
      <c r="I850" s="8"/>
      <c r="M850" s="8"/>
      <c r="Y850" s="8"/>
    </row>
    <row r="851" spans="5:25" x14ac:dyDescent="0.25">
      <c r="E851" s="8"/>
      <c r="I851" s="8"/>
      <c r="M851" s="8"/>
      <c r="Y851" s="8"/>
    </row>
    <row r="852" spans="5:25" x14ac:dyDescent="0.25">
      <c r="E852" s="8"/>
      <c r="I852" s="8"/>
      <c r="M852" s="8"/>
      <c r="Y852" s="8"/>
    </row>
    <row r="853" spans="5:25" x14ac:dyDescent="0.25">
      <c r="E853" s="8"/>
      <c r="I853" s="8"/>
      <c r="M853" s="8"/>
      <c r="Y853" s="8"/>
    </row>
    <row r="854" spans="5:25" x14ac:dyDescent="0.25">
      <c r="E854" s="8"/>
      <c r="I854" s="8"/>
      <c r="M854" s="8"/>
      <c r="Y854" s="8"/>
    </row>
    <row r="855" spans="5:25" x14ac:dyDescent="0.25">
      <c r="E855" s="8"/>
      <c r="I855" s="8"/>
      <c r="M855" s="8"/>
      <c r="Y855" s="8"/>
    </row>
    <row r="856" spans="5:25" x14ac:dyDescent="0.25">
      <c r="E856" s="8"/>
      <c r="I856" s="8"/>
      <c r="M856" s="8"/>
      <c r="Y856" s="8"/>
    </row>
    <row r="857" spans="5:25" x14ac:dyDescent="0.25">
      <c r="E857" s="8"/>
      <c r="I857" s="8"/>
      <c r="M857" s="8"/>
      <c r="Y857" s="8"/>
    </row>
    <row r="858" spans="5:25" x14ac:dyDescent="0.25">
      <c r="E858" s="8"/>
      <c r="I858" s="8"/>
      <c r="M858" s="8"/>
      <c r="Y858" s="8"/>
    </row>
    <row r="859" spans="5:25" x14ac:dyDescent="0.25">
      <c r="E859" s="8"/>
      <c r="I859" s="8"/>
      <c r="M859" s="8"/>
      <c r="Y859" s="8"/>
    </row>
    <row r="860" spans="5:25" x14ac:dyDescent="0.25">
      <c r="E860" s="8"/>
      <c r="I860" s="8"/>
      <c r="M860" s="8"/>
      <c r="Y860" s="8"/>
    </row>
    <row r="861" spans="5:25" x14ac:dyDescent="0.25">
      <c r="E861" s="8"/>
      <c r="I861" s="8"/>
      <c r="M861" s="8"/>
      <c r="Y861" s="8"/>
    </row>
    <row r="862" spans="5:25" x14ac:dyDescent="0.25">
      <c r="E862" s="8"/>
      <c r="I862" s="8"/>
      <c r="M862" s="8"/>
      <c r="Y862" s="8"/>
    </row>
    <row r="863" spans="5:25" x14ac:dyDescent="0.25">
      <c r="E863" s="8"/>
      <c r="I863" s="8"/>
      <c r="M863" s="8"/>
      <c r="Y863" s="8"/>
    </row>
    <row r="864" spans="5:25" x14ac:dyDescent="0.25">
      <c r="E864" s="8"/>
      <c r="I864" s="8"/>
      <c r="M864" s="8"/>
      <c r="Y864" s="8"/>
    </row>
    <row r="865" spans="5:25" x14ac:dyDescent="0.25">
      <c r="E865" s="8"/>
      <c r="I865" s="8"/>
      <c r="M865" s="8"/>
      <c r="Y865" s="8"/>
    </row>
    <row r="866" spans="5:25" x14ac:dyDescent="0.25">
      <c r="E866" s="8"/>
      <c r="I866" s="8"/>
      <c r="M866" s="8"/>
      <c r="Y866" s="8"/>
    </row>
    <row r="867" spans="5:25" x14ac:dyDescent="0.25">
      <c r="E867" s="8"/>
      <c r="I867" s="8"/>
      <c r="M867" s="8"/>
      <c r="Y867" s="8"/>
    </row>
    <row r="868" spans="5:25" x14ac:dyDescent="0.25">
      <c r="E868" s="8"/>
      <c r="I868" s="8"/>
      <c r="M868" s="8"/>
      <c r="Y868" s="8"/>
    </row>
    <row r="869" spans="5:25" x14ac:dyDescent="0.25">
      <c r="E869" s="8"/>
      <c r="I869" s="8"/>
      <c r="M869" s="8"/>
      <c r="Y869" s="8"/>
    </row>
    <row r="870" spans="5:25" x14ac:dyDescent="0.25">
      <c r="E870" s="8"/>
      <c r="I870" s="8"/>
      <c r="M870" s="8"/>
      <c r="Y870" s="8"/>
    </row>
    <row r="871" spans="5:25" x14ac:dyDescent="0.25">
      <c r="E871" s="8"/>
      <c r="I871" s="8"/>
      <c r="M871" s="8"/>
      <c r="Y871" s="8"/>
    </row>
    <row r="872" spans="5:25" x14ac:dyDescent="0.25">
      <c r="E872" s="8"/>
      <c r="I872" s="8"/>
      <c r="M872" s="8"/>
      <c r="Y872" s="8"/>
    </row>
    <row r="873" spans="5:25" x14ac:dyDescent="0.25">
      <c r="E873" s="8"/>
      <c r="I873" s="8"/>
      <c r="M873" s="8"/>
      <c r="Y873" s="8"/>
    </row>
    <row r="874" spans="5:25" x14ac:dyDescent="0.25">
      <c r="E874" s="8"/>
      <c r="I874" s="8"/>
      <c r="M874" s="8"/>
      <c r="Y874" s="8"/>
    </row>
    <row r="875" spans="5:25" x14ac:dyDescent="0.25">
      <c r="E875" s="8"/>
      <c r="I875" s="8"/>
      <c r="M875" s="8"/>
      <c r="Y875" s="8"/>
    </row>
    <row r="876" spans="5:25" x14ac:dyDescent="0.25">
      <c r="E876" s="8"/>
      <c r="I876" s="8"/>
      <c r="M876" s="8"/>
      <c r="Y876" s="8"/>
    </row>
    <row r="877" spans="5:25" x14ac:dyDescent="0.25">
      <c r="E877" s="8"/>
      <c r="I877" s="8"/>
      <c r="M877" s="8"/>
      <c r="Y877" s="8"/>
    </row>
    <row r="878" spans="5:25" x14ac:dyDescent="0.25">
      <c r="E878" s="8"/>
      <c r="I878" s="8"/>
      <c r="M878" s="8"/>
      <c r="Y878" s="8"/>
    </row>
    <row r="879" spans="5:25" x14ac:dyDescent="0.25">
      <c r="E879" s="8"/>
      <c r="I879" s="8"/>
      <c r="M879" s="8"/>
      <c r="Y879" s="8"/>
    </row>
    <row r="880" spans="5:25" x14ac:dyDescent="0.25">
      <c r="E880" s="8"/>
      <c r="I880" s="8"/>
      <c r="M880" s="8"/>
      <c r="Y880" s="8"/>
    </row>
    <row r="881" spans="5:25" x14ac:dyDescent="0.25">
      <c r="E881" s="8"/>
      <c r="I881" s="8"/>
      <c r="M881" s="8"/>
      <c r="Y881" s="8"/>
    </row>
    <row r="882" spans="5:25" x14ac:dyDescent="0.25">
      <c r="E882" s="8"/>
      <c r="I882" s="8"/>
      <c r="M882" s="8"/>
      <c r="Y882" s="8"/>
    </row>
    <row r="883" spans="5:25" x14ac:dyDescent="0.25">
      <c r="E883" s="8"/>
      <c r="I883" s="8"/>
      <c r="M883" s="8"/>
      <c r="Y883" s="8"/>
    </row>
    <row r="884" spans="5:25" x14ac:dyDescent="0.25">
      <c r="E884" s="8"/>
      <c r="I884" s="8"/>
      <c r="M884" s="8"/>
      <c r="Y884" s="8"/>
    </row>
    <row r="885" spans="5:25" x14ac:dyDescent="0.25">
      <c r="E885" s="8"/>
      <c r="I885" s="8"/>
      <c r="M885" s="8"/>
      <c r="Y885" s="8"/>
    </row>
    <row r="886" spans="5:25" x14ac:dyDescent="0.25">
      <c r="E886" s="8"/>
      <c r="I886" s="8"/>
      <c r="M886" s="8"/>
      <c r="Y886" s="8"/>
    </row>
    <row r="887" spans="5:25" x14ac:dyDescent="0.25">
      <c r="E887" s="8"/>
      <c r="I887" s="8"/>
      <c r="M887" s="8"/>
      <c r="Y887" s="8"/>
    </row>
    <row r="888" spans="5:25" x14ac:dyDescent="0.25">
      <c r="E888" s="8"/>
      <c r="I888" s="8"/>
      <c r="M888" s="8"/>
      <c r="Y888" s="8"/>
    </row>
    <row r="889" spans="5:25" x14ac:dyDescent="0.25">
      <c r="E889" s="8"/>
      <c r="I889" s="8"/>
      <c r="M889" s="8"/>
      <c r="Y889" s="8"/>
    </row>
    <row r="890" spans="5:25" x14ac:dyDescent="0.25">
      <c r="E890" s="8"/>
      <c r="I890" s="8"/>
      <c r="M890" s="8"/>
      <c r="Y890" s="8"/>
    </row>
    <row r="891" spans="5:25" x14ac:dyDescent="0.25">
      <c r="E891" s="8"/>
      <c r="I891" s="8"/>
      <c r="M891" s="8"/>
      <c r="Y891" s="8"/>
    </row>
    <row r="892" spans="5:25" x14ac:dyDescent="0.25">
      <c r="E892" s="8"/>
      <c r="I892" s="8"/>
      <c r="M892" s="8"/>
      <c r="Y892" s="8"/>
    </row>
    <row r="893" spans="5:25" x14ac:dyDescent="0.25">
      <c r="E893" s="8"/>
      <c r="I893" s="8"/>
      <c r="M893" s="8"/>
      <c r="Y893" s="8"/>
    </row>
    <row r="894" spans="5:25" x14ac:dyDescent="0.25">
      <c r="E894" s="8"/>
      <c r="I894" s="8"/>
      <c r="M894" s="8"/>
      <c r="Y894" s="8"/>
    </row>
    <row r="895" spans="5:25" x14ac:dyDescent="0.25">
      <c r="E895" s="8"/>
      <c r="I895" s="8"/>
      <c r="M895" s="8"/>
      <c r="Y895" s="8"/>
    </row>
    <row r="896" spans="5:25" x14ac:dyDescent="0.25">
      <c r="E896" s="8"/>
      <c r="I896" s="8"/>
      <c r="M896" s="8"/>
      <c r="Y896" s="8"/>
    </row>
    <row r="897" spans="5:25" x14ac:dyDescent="0.25">
      <c r="E897" s="8"/>
      <c r="I897" s="8"/>
      <c r="M897" s="8"/>
      <c r="Y897" s="8"/>
    </row>
    <row r="898" spans="5:25" x14ac:dyDescent="0.25">
      <c r="E898" s="8"/>
      <c r="I898" s="8"/>
      <c r="M898" s="8"/>
      <c r="Y898" s="8"/>
    </row>
    <row r="899" spans="5:25" x14ac:dyDescent="0.25">
      <c r="E899" s="8"/>
      <c r="I899" s="8"/>
      <c r="M899" s="8"/>
      <c r="Y899" s="8"/>
    </row>
    <row r="900" spans="5:25" x14ac:dyDescent="0.25">
      <c r="E900" s="8"/>
      <c r="I900" s="8"/>
      <c r="M900" s="8"/>
      <c r="Y900" s="8"/>
    </row>
    <row r="901" spans="5:25" x14ac:dyDescent="0.25">
      <c r="E901" s="8"/>
      <c r="I901" s="8"/>
      <c r="M901" s="8"/>
      <c r="Y901" s="8"/>
    </row>
    <row r="902" spans="5:25" x14ac:dyDescent="0.25">
      <c r="E902" s="8"/>
      <c r="I902" s="8"/>
      <c r="M902" s="8"/>
      <c r="Y902" s="8"/>
    </row>
    <row r="903" spans="5:25" x14ac:dyDescent="0.25">
      <c r="E903" s="8"/>
      <c r="I903" s="8"/>
      <c r="M903" s="8"/>
      <c r="Y903" s="8"/>
    </row>
    <row r="904" spans="5:25" x14ac:dyDescent="0.25">
      <c r="E904" s="8"/>
      <c r="I904" s="8"/>
      <c r="M904" s="8"/>
      <c r="Y904" s="8"/>
    </row>
    <row r="905" spans="5:25" x14ac:dyDescent="0.25">
      <c r="E905" s="8"/>
      <c r="I905" s="8"/>
      <c r="M905" s="8"/>
      <c r="Y905" s="8"/>
    </row>
    <row r="906" spans="5:25" x14ac:dyDescent="0.25">
      <c r="E906" s="8"/>
      <c r="I906" s="8"/>
      <c r="M906" s="8"/>
      <c r="Y906" s="8"/>
    </row>
    <row r="907" spans="5:25" x14ac:dyDescent="0.25">
      <c r="E907" s="8"/>
      <c r="I907" s="8"/>
      <c r="M907" s="8"/>
      <c r="Y907" s="8"/>
    </row>
    <row r="908" spans="5:25" x14ac:dyDescent="0.25">
      <c r="E908" s="8"/>
      <c r="I908" s="8"/>
      <c r="M908" s="8"/>
      <c r="Y908" s="8"/>
    </row>
    <row r="909" spans="5:25" x14ac:dyDescent="0.25">
      <c r="E909" s="8"/>
      <c r="I909" s="8"/>
      <c r="M909" s="8"/>
      <c r="Y909" s="8"/>
    </row>
    <row r="910" spans="5:25" x14ac:dyDescent="0.25">
      <c r="E910" s="8"/>
      <c r="I910" s="8"/>
      <c r="M910" s="8"/>
      <c r="Y910" s="8"/>
    </row>
    <row r="911" spans="5:25" x14ac:dyDescent="0.25">
      <c r="E911" s="8"/>
      <c r="I911" s="8"/>
      <c r="M911" s="8"/>
      <c r="Y911" s="8"/>
    </row>
    <row r="912" spans="5:25" x14ac:dyDescent="0.25">
      <c r="E912" s="8"/>
      <c r="I912" s="8"/>
      <c r="M912" s="8"/>
      <c r="Y912" s="8"/>
    </row>
    <row r="913" spans="5:25" x14ac:dyDescent="0.25">
      <c r="E913" s="8"/>
      <c r="I913" s="8"/>
      <c r="M913" s="8"/>
      <c r="Y913" s="8"/>
    </row>
    <row r="914" spans="5:25" x14ac:dyDescent="0.25">
      <c r="E914" s="8"/>
      <c r="I914" s="8"/>
      <c r="M914" s="8"/>
      <c r="Y914" s="8"/>
    </row>
    <row r="915" spans="5:25" x14ac:dyDescent="0.25">
      <c r="E915" s="8"/>
      <c r="I915" s="8"/>
      <c r="M915" s="8"/>
      <c r="Y915" s="8"/>
    </row>
    <row r="916" spans="5:25" x14ac:dyDescent="0.25">
      <c r="E916" s="8"/>
      <c r="I916" s="8"/>
      <c r="M916" s="8"/>
      <c r="Y916" s="8"/>
    </row>
    <row r="917" spans="5:25" x14ac:dyDescent="0.25">
      <c r="E917" s="8"/>
      <c r="I917" s="8"/>
      <c r="M917" s="8"/>
      <c r="Y917" s="8"/>
    </row>
    <row r="918" spans="5:25" x14ac:dyDescent="0.25">
      <c r="E918" s="8"/>
      <c r="I918" s="8"/>
      <c r="M918" s="8"/>
      <c r="Y918" s="8"/>
    </row>
    <row r="919" spans="5:25" x14ac:dyDescent="0.25">
      <c r="E919" s="8"/>
      <c r="I919" s="8"/>
      <c r="M919" s="8"/>
      <c r="Y919" s="8"/>
    </row>
    <row r="920" spans="5:25" x14ac:dyDescent="0.25">
      <c r="E920" s="8"/>
      <c r="I920" s="8"/>
      <c r="M920" s="8"/>
      <c r="Y920" s="8"/>
    </row>
    <row r="921" spans="5:25" x14ac:dyDescent="0.25">
      <c r="E921" s="8"/>
      <c r="I921" s="8"/>
      <c r="M921" s="8"/>
      <c r="Y921" s="8"/>
    </row>
    <row r="922" spans="5:25" x14ac:dyDescent="0.25">
      <c r="E922" s="8"/>
      <c r="I922" s="8"/>
      <c r="M922" s="8"/>
      <c r="Y922" s="8"/>
    </row>
    <row r="923" spans="5:25" x14ac:dyDescent="0.25">
      <c r="E923" s="8"/>
      <c r="I923" s="8"/>
      <c r="M923" s="8"/>
      <c r="Y923" s="8"/>
    </row>
    <row r="924" spans="5:25" x14ac:dyDescent="0.25">
      <c r="E924" s="8"/>
      <c r="I924" s="8"/>
      <c r="M924" s="8"/>
      <c r="Y924" s="8"/>
    </row>
    <row r="925" spans="5:25" x14ac:dyDescent="0.25">
      <c r="E925" s="8"/>
      <c r="I925" s="8"/>
      <c r="M925" s="8"/>
      <c r="Y925" s="8"/>
    </row>
    <row r="926" spans="5:25" x14ac:dyDescent="0.25">
      <c r="E926" s="8"/>
      <c r="I926" s="8"/>
      <c r="M926" s="8"/>
      <c r="Y926" s="8"/>
    </row>
    <row r="927" spans="5:25" x14ac:dyDescent="0.25">
      <c r="E927" s="8"/>
      <c r="I927" s="8"/>
      <c r="M927" s="8"/>
      <c r="Y927" s="8"/>
    </row>
    <row r="928" spans="5:25" x14ac:dyDescent="0.25">
      <c r="E928" s="8"/>
      <c r="I928" s="8"/>
      <c r="M928" s="8"/>
      <c r="Y928" s="8"/>
    </row>
    <row r="929" spans="5:25" x14ac:dyDescent="0.25">
      <c r="E929" s="8"/>
      <c r="I929" s="8"/>
      <c r="M929" s="8"/>
      <c r="Y929" s="8"/>
    </row>
    <row r="930" spans="5:25" x14ac:dyDescent="0.25">
      <c r="E930" s="8"/>
      <c r="I930" s="8"/>
      <c r="M930" s="8"/>
      <c r="Y930" s="8"/>
    </row>
    <row r="931" spans="5:25" x14ac:dyDescent="0.25">
      <c r="E931" s="8"/>
      <c r="I931" s="8"/>
      <c r="M931" s="8"/>
      <c r="Y931" s="8"/>
    </row>
    <row r="932" spans="5:25" x14ac:dyDescent="0.25">
      <c r="E932" s="8"/>
      <c r="I932" s="8"/>
      <c r="M932" s="8"/>
      <c r="Y932" s="8"/>
    </row>
    <row r="933" spans="5:25" x14ac:dyDescent="0.25">
      <c r="E933" s="8"/>
      <c r="I933" s="8"/>
      <c r="M933" s="8"/>
      <c r="Y933" s="8"/>
    </row>
    <row r="934" spans="5:25" x14ac:dyDescent="0.25">
      <c r="E934" s="8"/>
      <c r="I934" s="8"/>
      <c r="M934" s="8"/>
      <c r="Y934" s="8"/>
    </row>
    <row r="935" spans="5:25" x14ac:dyDescent="0.25">
      <c r="E935" s="8"/>
      <c r="I935" s="8"/>
      <c r="M935" s="8"/>
      <c r="Y935" s="8"/>
    </row>
    <row r="936" spans="5:25" x14ac:dyDescent="0.25">
      <c r="E936" s="8"/>
      <c r="I936" s="8"/>
      <c r="M936" s="8"/>
      <c r="Y936" s="8"/>
    </row>
    <row r="937" spans="5:25" x14ac:dyDescent="0.25">
      <c r="E937" s="8"/>
      <c r="I937" s="8"/>
      <c r="M937" s="8"/>
      <c r="Y937" s="8"/>
    </row>
    <row r="938" spans="5:25" x14ac:dyDescent="0.25">
      <c r="E938" s="8"/>
      <c r="I938" s="8"/>
      <c r="M938" s="8"/>
      <c r="Y938" s="8"/>
    </row>
    <row r="939" spans="5:25" x14ac:dyDescent="0.25">
      <c r="E939" s="8"/>
      <c r="I939" s="8"/>
      <c r="M939" s="8"/>
      <c r="Y939" s="8"/>
    </row>
    <row r="940" spans="5:25" x14ac:dyDescent="0.25">
      <c r="E940" s="8"/>
      <c r="I940" s="8"/>
      <c r="M940" s="8"/>
      <c r="Y940" s="8"/>
    </row>
    <row r="941" spans="5:25" x14ac:dyDescent="0.25">
      <c r="E941" s="8"/>
      <c r="I941" s="8"/>
      <c r="M941" s="8"/>
      <c r="Y941" s="8"/>
    </row>
    <row r="942" spans="5:25" x14ac:dyDescent="0.25">
      <c r="E942" s="8"/>
      <c r="I942" s="8"/>
      <c r="M942" s="8"/>
      <c r="Y942" s="8"/>
    </row>
    <row r="943" spans="5:25" x14ac:dyDescent="0.25">
      <c r="E943" s="8"/>
      <c r="I943" s="8"/>
      <c r="M943" s="8"/>
      <c r="Y943" s="8"/>
    </row>
    <row r="944" spans="5:25" x14ac:dyDescent="0.25">
      <c r="E944" s="8"/>
      <c r="I944" s="8"/>
      <c r="M944" s="8"/>
      <c r="Y944" s="8"/>
    </row>
    <row r="945" spans="5:25" x14ac:dyDescent="0.25">
      <c r="E945" s="8"/>
      <c r="I945" s="8"/>
      <c r="M945" s="8"/>
      <c r="Y945" s="8"/>
    </row>
    <row r="946" spans="5:25" x14ac:dyDescent="0.25">
      <c r="E946" s="8"/>
      <c r="I946" s="8"/>
      <c r="M946" s="8"/>
      <c r="Y946" s="8"/>
    </row>
    <row r="947" spans="5:25" x14ac:dyDescent="0.25">
      <c r="E947" s="8"/>
      <c r="I947" s="8"/>
      <c r="M947" s="8"/>
      <c r="Y947" s="8"/>
    </row>
    <row r="948" spans="5:25" x14ac:dyDescent="0.25">
      <c r="E948" s="8"/>
      <c r="I948" s="8"/>
      <c r="M948" s="8"/>
      <c r="Y948" s="8"/>
    </row>
    <row r="949" spans="5:25" x14ac:dyDescent="0.25">
      <c r="E949" s="8"/>
      <c r="I949" s="8"/>
      <c r="M949" s="8"/>
      <c r="Y949" s="8"/>
    </row>
    <row r="950" spans="5:25" x14ac:dyDescent="0.25">
      <c r="E950" s="8"/>
      <c r="I950" s="8"/>
      <c r="M950" s="8"/>
      <c r="Y950" s="8"/>
    </row>
    <row r="951" spans="5:25" x14ac:dyDescent="0.25">
      <c r="E951" s="8"/>
      <c r="I951" s="8"/>
      <c r="M951" s="8"/>
      <c r="Y951" s="8"/>
    </row>
    <row r="952" spans="5:25" x14ac:dyDescent="0.25">
      <c r="E952" s="8"/>
      <c r="I952" s="8"/>
      <c r="M952" s="8"/>
      <c r="Y952" s="8"/>
    </row>
    <row r="953" spans="5:25" x14ac:dyDescent="0.25">
      <c r="E953" s="8"/>
      <c r="I953" s="8"/>
      <c r="M953" s="8"/>
      <c r="Y953" s="8"/>
    </row>
    <row r="954" spans="5:25" x14ac:dyDescent="0.25">
      <c r="E954" s="8"/>
      <c r="I954" s="8"/>
      <c r="M954" s="8"/>
      <c r="Y954" s="8"/>
    </row>
    <row r="955" spans="5:25" x14ac:dyDescent="0.25">
      <c r="E955" s="8"/>
      <c r="I955" s="8"/>
      <c r="M955" s="8"/>
      <c r="Y955" s="8"/>
    </row>
    <row r="956" spans="5:25" x14ac:dyDescent="0.25">
      <c r="E956" s="8"/>
      <c r="I956" s="8"/>
      <c r="M956" s="8"/>
      <c r="Y956" s="8"/>
    </row>
    <row r="957" spans="5:25" x14ac:dyDescent="0.25">
      <c r="E957" s="8"/>
      <c r="I957" s="8"/>
      <c r="M957" s="8"/>
      <c r="Y957" s="8"/>
    </row>
    <row r="958" spans="5:25" x14ac:dyDescent="0.25">
      <c r="E958" s="8"/>
      <c r="I958" s="8"/>
      <c r="M958" s="8"/>
      <c r="Y958" s="8"/>
    </row>
    <row r="959" spans="5:25" x14ac:dyDescent="0.25">
      <c r="E959" s="8"/>
      <c r="I959" s="8"/>
      <c r="M959" s="8"/>
      <c r="Y959" s="8"/>
    </row>
    <row r="960" spans="5:25" x14ac:dyDescent="0.25">
      <c r="E960" s="8"/>
      <c r="I960" s="8"/>
      <c r="M960" s="8"/>
      <c r="Y960" s="8"/>
    </row>
    <row r="961" spans="5:25" x14ac:dyDescent="0.25">
      <c r="E961" s="8"/>
      <c r="I961" s="8"/>
      <c r="M961" s="8"/>
      <c r="Y961" s="8"/>
    </row>
    <row r="962" spans="5:25" x14ac:dyDescent="0.25">
      <c r="E962" s="8"/>
      <c r="I962" s="8"/>
      <c r="M962" s="8"/>
      <c r="Y962" s="8"/>
    </row>
    <row r="963" spans="5:25" x14ac:dyDescent="0.25">
      <c r="E963" s="8"/>
      <c r="I963" s="8"/>
      <c r="M963" s="8"/>
      <c r="Y963" s="8"/>
    </row>
    <row r="964" spans="5:25" x14ac:dyDescent="0.25">
      <c r="E964" s="8"/>
      <c r="I964" s="8"/>
      <c r="M964" s="8"/>
      <c r="Y964" s="8"/>
    </row>
    <row r="965" spans="5:25" x14ac:dyDescent="0.25">
      <c r="E965" s="8"/>
      <c r="I965" s="8"/>
      <c r="M965" s="8"/>
      <c r="Y965" s="8"/>
    </row>
    <row r="966" spans="5:25" x14ac:dyDescent="0.25">
      <c r="E966" s="8"/>
      <c r="I966" s="8"/>
      <c r="M966" s="8"/>
      <c r="Y966" s="8"/>
    </row>
    <row r="967" spans="5:25" x14ac:dyDescent="0.25">
      <c r="E967" s="8"/>
      <c r="I967" s="8"/>
      <c r="M967" s="8"/>
      <c r="Y967" s="8"/>
    </row>
    <row r="968" spans="5:25" x14ac:dyDescent="0.25">
      <c r="E968" s="8"/>
      <c r="I968" s="8"/>
      <c r="M968" s="8"/>
      <c r="Y968" s="8"/>
    </row>
    <row r="969" spans="5:25" x14ac:dyDescent="0.25">
      <c r="E969" s="8"/>
      <c r="I969" s="8"/>
      <c r="M969" s="8"/>
      <c r="Y969" s="8"/>
    </row>
    <row r="970" spans="5:25" x14ac:dyDescent="0.25">
      <c r="E970" s="8"/>
      <c r="I970" s="8"/>
      <c r="M970" s="8"/>
      <c r="Y970" s="8"/>
    </row>
    <row r="971" spans="5:25" x14ac:dyDescent="0.25">
      <c r="E971" s="8"/>
      <c r="I971" s="8"/>
      <c r="M971" s="8"/>
      <c r="Y971" s="8"/>
    </row>
    <row r="972" spans="5:25" x14ac:dyDescent="0.25">
      <c r="E972" s="8"/>
      <c r="I972" s="8"/>
      <c r="M972" s="8"/>
      <c r="Y972" s="8"/>
    </row>
    <row r="973" spans="5:25" x14ac:dyDescent="0.25">
      <c r="E973" s="8"/>
      <c r="I973" s="8"/>
      <c r="M973" s="8"/>
      <c r="Y973" s="8"/>
    </row>
    <row r="974" spans="5:25" x14ac:dyDescent="0.25">
      <c r="E974" s="8"/>
      <c r="I974" s="8"/>
      <c r="M974" s="8"/>
      <c r="Y974" s="8"/>
    </row>
    <row r="975" spans="5:25" x14ac:dyDescent="0.25">
      <c r="E975" s="8"/>
      <c r="I975" s="8"/>
      <c r="M975" s="8"/>
      <c r="Y975" s="8"/>
    </row>
    <row r="976" spans="5:25" x14ac:dyDescent="0.25">
      <c r="E976" s="8"/>
      <c r="I976" s="8"/>
      <c r="M976" s="8"/>
      <c r="Y976" s="8"/>
    </row>
    <row r="977" spans="5:25" x14ac:dyDescent="0.25">
      <c r="E977" s="8"/>
      <c r="I977" s="8"/>
      <c r="M977" s="8"/>
      <c r="Y977" s="8"/>
    </row>
    <row r="978" spans="5:25" x14ac:dyDescent="0.25">
      <c r="E978" s="8"/>
      <c r="I978" s="8"/>
      <c r="M978" s="8"/>
      <c r="Y978" s="8"/>
    </row>
    <row r="979" spans="5:25" x14ac:dyDescent="0.25">
      <c r="E979" s="8"/>
      <c r="I979" s="8"/>
      <c r="M979" s="8"/>
      <c r="Y979" s="8"/>
    </row>
    <row r="980" spans="5:25" x14ac:dyDescent="0.25">
      <c r="E980" s="8"/>
      <c r="I980" s="8"/>
      <c r="M980" s="8"/>
      <c r="Y980" s="8"/>
    </row>
    <row r="981" spans="5:25" x14ac:dyDescent="0.25">
      <c r="E981" s="8"/>
      <c r="I981" s="8"/>
      <c r="M981" s="8"/>
      <c r="Y981" s="8"/>
    </row>
    <row r="982" spans="5:25" x14ac:dyDescent="0.25">
      <c r="E982" s="8"/>
      <c r="I982" s="8"/>
      <c r="M982" s="8"/>
      <c r="Y982" s="8"/>
    </row>
    <row r="983" spans="5:25" x14ac:dyDescent="0.25">
      <c r="E983" s="8"/>
      <c r="I983" s="8"/>
      <c r="M983" s="8"/>
      <c r="Y983" s="8"/>
    </row>
    <row r="984" spans="5:25" x14ac:dyDescent="0.25">
      <c r="E984" s="8"/>
      <c r="I984" s="8"/>
      <c r="M984" s="8"/>
      <c r="Y984" s="8"/>
    </row>
    <row r="985" spans="5:25" x14ac:dyDescent="0.25">
      <c r="E985" s="8"/>
      <c r="I985" s="8"/>
      <c r="M985" s="8"/>
      <c r="Y985" s="8"/>
    </row>
    <row r="986" spans="5:25" x14ac:dyDescent="0.25">
      <c r="E986" s="8"/>
      <c r="I986" s="8"/>
      <c r="M986" s="8"/>
      <c r="Y986" s="8"/>
    </row>
    <row r="987" spans="5:25" x14ac:dyDescent="0.25">
      <c r="E987" s="8"/>
      <c r="I987" s="8"/>
      <c r="M987" s="8"/>
      <c r="Y987" s="8"/>
    </row>
    <row r="988" spans="5:25" x14ac:dyDescent="0.25">
      <c r="E988" s="8"/>
      <c r="I988" s="8"/>
      <c r="M988" s="8"/>
      <c r="Y988" s="8"/>
    </row>
    <row r="989" spans="5:25" x14ac:dyDescent="0.25">
      <c r="E989" s="8"/>
      <c r="I989" s="8"/>
      <c r="M989" s="8"/>
      <c r="Y989" s="8"/>
    </row>
    <row r="990" spans="5:25" x14ac:dyDescent="0.25">
      <c r="E990" s="8"/>
      <c r="I990" s="8"/>
      <c r="M990" s="8"/>
      <c r="Y990" s="8"/>
    </row>
    <row r="991" spans="5:25" x14ac:dyDescent="0.25">
      <c r="E991" s="8"/>
      <c r="I991" s="8"/>
      <c r="M991" s="8"/>
      <c r="Y991" s="8"/>
    </row>
    <row r="992" spans="5:25" x14ac:dyDescent="0.25">
      <c r="E992" s="8"/>
      <c r="I992" s="8"/>
      <c r="M992" s="8"/>
      <c r="Y992" s="8"/>
    </row>
    <row r="993" spans="5:25" x14ac:dyDescent="0.25">
      <c r="E993" s="8"/>
      <c r="I993" s="8"/>
      <c r="M993" s="8"/>
      <c r="Y993" s="8"/>
    </row>
    <row r="994" spans="5:25" x14ac:dyDescent="0.25">
      <c r="E994" s="8"/>
      <c r="I994" s="8"/>
      <c r="M994" s="8"/>
      <c r="Y994" s="8"/>
    </row>
    <row r="995" spans="5:25" x14ac:dyDescent="0.25">
      <c r="E995" s="8"/>
      <c r="I995" s="8"/>
      <c r="M995" s="8"/>
      <c r="Y995" s="8"/>
    </row>
    <row r="996" spans="5:25" x14ac:dyDescent="0.25">
      <c r="E996" s="8"/>
      <c r="I996" s="8"/>
      <c r="M996" s="8"/>
      <c r="Y996" s="8"/>
    </row>
    <row r="997" spans="5:25" x14ac:dyDescent="0.25">
      <c r="E997" s="8"/>
      <c r="I997" s="8"/>
      <c r="M997" s="8"/>
      <c r="Y997" s="8"/>
    </row>
    <row r="998" spans="5:25" x14ac:dyDescent="0.25">
      <c r="E998" s="8"/>
      <c r="I998" s="8"/>
      <c r="M998" s="8"/>
      <c r="Y998" s="8"/>
    </row>
    <row r="999" spans="5:25" x14ac:dyDescent="0.25">
      <c r="E999" s="8"/>
      <c r="I999" s="8"/>
      <c r="M999" s="8"/>
      <c r="Y999" s="8"/>
    </row>
    <row r="1000" spans="5:25" x14ac:dyDescent="0.25">
      <c r="E1000" s="8"/>
      <c r="I1000" s="8"/>
      <c r="M1000" s="8"/>
      <c r="Y1000" s="8"/>
    </row>
    <row r="1001" spans="5:25" x14ac:dyDescent="0.25">
      <c r="E1001" s="8"/>
      <c r="I1001" s="8"/>
      <c r="M1001" s="8"/>
      <c r="Y1001" s="8"/>
    </row>
    <row r="1002" spans="5:25" x14ac:dyDescent="0.25">
      <c r="E1002" s="8"/>
      <c r="I1002" s="8"/>
      <c r="M1002" s="8"/>
      <c r="Y1002" s="8"/>
    </row>
    <row r="1003" spans="5:25" x14ac:dyDescent="0.25">
      <c r="E1003" s="8"/>
      <c r="I1003" s="8"/>
      <c r="M1003" s="8"/>
      <c r="Y1003" s="8"/>
    </row>
    <row r="1004" spans="5:25" x14ac:dyDescent="0.25">
      <c r="E1004" s="8"/>
      <c r="I1004" s="8"/>
      <c r="M1004" s="8"/>
      <c r="Y1004" s="8"/>
    </row>
    <row r="1005" spans="5:25" x14ac:dyDescent="0.25">
      <c r="E1005" s="8"/>
      <c r="I1005" s="8"/>
      <c r="M1005" s="8"/>
      <c r="Y1005" s="8"/>
    </row>
    <row r="1006" spans="5:25" x14ac:dyDescent="0.25">
      <c r="E1006" s="8"/>
      <c r="I1006" s="8"/>
      <c r="M1006" s="8"/>
      <c r="Y1006" s="8"/>
    </row>
    <row r="1007" spans="5:25" x14ac:dyDescent="0.25">
      <c r="E1007" s="8"/>
      <c r="I1007" s="8"/>
      <c r="M1007" s="8"/>
      <c r="Y1007" s="8"/>
    </row>
    <row r="1008" spans="5:25" x14ac:dyDescent="0.25">
      <c r="E1008" s="8"/>
      <c r="I1008" s="8"/>
      <c r="M1008" s="8"/>
      <c r="Y1008" s="8"/>
    </row>
    <row r="1009" spans="5:25" x14ac:dyDescent="0.25">
      <c r="E1009" s="8"/>
      <c r="I1009" s="8"/>
      <c r="M1009" s="8"/>
      <c r="Y1009" s="8"/>
    </row>
    <row r="1010" spans="5:25" x14ac:dyDescent="0.25">
      <c r="E1010" s="8"/>
      <c r="I1010" s="8"/>
      <c r="M1010" s="8"/>
      <c r="Y1010" s="8"/>
    </row>
    <row r="1011" spans="5:25" x14ac:dyDescent="0.25">
      <c r="E1011" s="8"/>
      <c r="I1011" s="8"/>
      <c r="M1011" s="8"/>
      <c r="Y1011" s="8"/>
    </row>
    <row r="1012" spans="5:25" x14ac:dyDescent="0.25">
      <c r="E1012" s="8"/>
      <c r="I1012" s="8"/>
      <c r="M1012" s="8"/>
      <c r="Y1012" s="8"/>
    </row>
    <row r="1013" spans="5:25" x14ac:dyDescent="0.25">
      <c r="E1013" s="8"/>
      <c r="I1013" s="8"/>
      <c r="M1013" s="8"/>
      <c r="Y1013" s="8"/>
    </row>
    <row r="1014" spans="5:25" x14ac:dyDescent="0.25">
      <c r="E1014" s="8"/>
      <c r="I1014" s="8"/>
    </row>
  </sheetData>
  <mergeCells count="2">
    <mergeCell ref="A1:F1"/>
    <mergeCell ref="D9:G9"/>
  </mergeCells>
  <phoneticPr fontId="5" type="noConversion"/>
  <printOptions headings="1" gridLines="1"/>
  <pageMargins left="0.75" right="0.75" top="1" bottom="1" header="0.5" footer="0.5"/>
  <pageSetup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CDA5-BBFC-4EB1-B78E-59BDD794905B}">
  <sheetPr codeName="Sheet5"/>
  <dimension ref="A1:X1014"/>
  <sheetViews>
    <sheetView tabSelected="1" topLeftCell="A7" zoomScale="88" workbookViewId="0">
      <selection activeCell="C2" sqref="C2:C7"/>
    </sheetView>
  </sheetViews>
  <sheetFormatPr defaultRowHeight="13.2" x14ac:dyDescent="0.25"/>
  <cols>
    <col min="1" max="1" width="18" style="21" customWidth="1"/>
    <col min="2" max="2" width="14.33203125" style="5" customWidth="1"/>
    <col min="3" max="3" width="16.88671875" style="5" bestFit="1" customWidth="1"/>
    <col min="4" max="4" width="12.88671875" customWidth="1"/>
    <col min="5" max="5" width="10.88671875" customWidth="1"/>
    <col min="6" max="6" width="13.5546875" customWidth="1"/>
    <col min="7" max="7" width="13.6640625" customWidth="1"/>
    <col min="8" max="8" width="17.33203125" customWidth="1"/>
    <col min="9" max="9" width="11" bestFit="1" customWidth="1"/>
  </cols>
  <sheetData>
    <row r="1" spans="1:24" ht="42" customHeight="1" x14ac:dyDescent="0.25">
      <c r="A1" s="72" t="s">
        <v>1102</v>
      </c>
      <c r="B1" s="72"/>
      <c r="C1" s="72"/>
      <c r="D1" s="72"/>
      <c r="E1" s="72"/>
      <c r="F1" s="72"/>
      <c r="G1" s="72"/>
      <c r="H1" s="72"/>
    </row>
    <row r="2" spans="1:24" x14ac:dyDescent="0.25">
      <c r="A2" s="21" t="s">
        <v>23</v>
      </c>
      <c r="B2" s="11">
        <f>INTERCEPT($C$11:$C$275,$B$11:$B$275)</f>
        <v>7.8651747985893701E-4</v>
      </c>
      <c r="E2" s="8"/>
      <c r="L2" s="8"/>
      <c r="P2" s="8"/>
      <c r="T2" s="8"/>
      <c r="X2" s="8"/>
    </row>
    <row r="3" spans="1:24" x14ac:dyDescent="0.25">
      <c r="A3" s="21" t="s">
        <v>24</v>
      </c>
      <c r="B3" s="11">
        <f>SLOPE($C$11:$C$275,$B$11:$B$275)</f>
        <v>0.10446401669535876</v>
      </c>
      <c r="E3" s="8"/>
      <c r="L3" s="8"/>
      <c r="P3" s="8"/>
      <c r="T3" s="8"/>
      <c r="X3" s="8"/>
    </row>
    <row r="4" spans="1:24" x14ac:dyDescent="0.25">
      <c r="A4" s="21" t="s">
        <v>15</v>
      </c>
      <c r="B4" s="11">
        <f>RSQ($C$11:$C$275,$B$11:$B$275)</f>
        <v>4.9582583827243246E-3</v>
      </c>
      <c r="E4" s="8"/>
      <c r="L4" s="8"/>
      <c r="P4" s="8"/>
      <c r="T4" s="8"/>
      <c r="X4" s="8"/>
    </row>
    <row r="5" spans="1:24" x14ac:dyDescent="0.25">
      <c r="A5" s="21" t="s">
        <v>25</v>
      </c>
      <c r="B5" s="11">
        <f>STEYX($C$11:$C$275,$B$11:$B$275)</f>
        <v>1.1524220590283811E-2</v>
      </c>
      <c r="E5" s="8"/>
      <c r="L5" s="8"/>
      <c r="P5" s="8"/>
      <c r="T5" s="8"/>
      <c r="X5" s="8"/>
    </row>
    <row r="6" spans="1:24" x14ac:dyDescent="0.25">
      <c r="B6" s="11"/>
      <c r="E6" s="8"/>
      <c r="L6" s="8"/>
      <c r="P6" s="8"/>
      <c r="T6" s="8"/>
      <c r="X6" s="8"/>
    </row>
    <row r="7" spans="1:24" ht="26.4" x14ac:dyDescent="0.25">
      <c r="A7" s="23" t="s">
        <v>26</v>
      </c>
      <c r="B7">
        <v>265</v>
      </c>
      <c r="E7" s="8"/>
      <c r="L7" s="8"/>
      <c r="P7" s="8"/>
      <c r="T7" s="8"/>
      <c r="X7" s="8"/>
    </row>
    <row r="8" spans="1:24" x14ac:dyDescent="0.25">
      <c r="E8" s="8"/>
      <c r="L8" s="8"/>
      <c r="P8" s="8"/>
      <c r="T8" s="8"/>
      <c r="X8" s="8"/>
    </row>
    <row r="9" spans="1:24" x14ac:dyDescent="0.25">
      <c r="D9" s="73" t="s">
        <v>27</v>
      </c>
      <c r="E9" s="73"/>
      <c r="F9" s="73"/>
      <c r="G9" s="73"/>
      <c r="L9" s="8"/>
      <c r="P9" s="8"/>
      <c r="T9" s="8"/>
      <c r="X9" s="8"/>
    </row>
    <row r="10" spans="1:24" s="14" customFormat="1" ht="39.6" x14ac:dyDescent="0.25">
      <c r="A10" s="24" t="s">
        <v>0</v>
      </c>
      <c r="B10" s="13" t="s">
        <v>1101</v>
      </c>
      <c r="C10" s="13" t="s">
        <v>1100</v>
      </c>
      <c r="D10" s="14" t="s">
        <v>36</v>
      </c>
      <c r="E10" s="14" t="s">
        <v>37</v>
      </c>
      <c r="F10" s="12" t="s">
        <v>38</v>
      </c>
      <c r="G10" s="13" t="s">
        <v>28</v>
      </c>
      <c r="H10" s="13"/>
      <c r="I10" s="12"/>
      <c r="P10" s="12"/>
      <c r="T10" s="12"/>
      <c r="X10" s="12"/>
    </row>
    <row r="11" spans="1:24" s="14" customFormat="1" x14ac:dyDescent="0.25">
      <c r="A11" s="22">
        <f>Dataset!A230</f>
        <v>44713</v>
      </c>
      <c r="B11" s="51">
        <f>Dataset!E230</f>
        <v>-3.8101855543279939E-3</v>
      </c>
      <c r="C11" s="51">
        <f>Dataset!K230</f>
        <v>-2.6565716942295037E-4</v>
      </c>
      <c r="F11" s="12"/>
      <c r="G11" s="13"/>
      <c r="H11" s="13"/>
      <c r="I11" s="12"/>
      <c r="P11" s="12"/>
      <c r="T11" s="12"/>
      <c r="X11" s="12"/>
    </row>
    <row r="12" spans="1:24" s="14" customFormat="1" x14ac:dyDescent="0.25">
      <c r="A12" s="22">
        <f>Dataset!A231</f>
        <v>44714</v>
      </c>
      <c r="B12" s="51">
        <f>Dataset!E231</f>
        <v>-3.9962724325806054E-3</v>
      </c>
      <c r="C12" s="51">
        <f>Dataset!K231</f>
        <v>-3.8530525476648814E-3</v>
      </c>
      <c r="F12" s="12"/>
      <c r="G12" s="13"/>
      <c r="H12" s="13"/>
      <c r="I12" s="12"/>
      <c r="P12" s="12"/>
      <c r="T12" s="12"/>
      <c r="X12" s="12"/>
    </row>
    <row r="13" spans="1:24" s="14" customFormat="1" x14ac:dyDescent="0.25">
      <c r="A13" s="22">
        <f>Dataset!A232</f>
        <v>44715</v>
      </c>
      <c r="B13" s="51">
        <f>Dataset!E232</f>
        <v>6.4001744980310971E-3</v>
      </c>
      <c r="C13" s="51">
        <f>Dataset!K232</f>
        <v>-7.2690896965655893E-3</v>
      </c>
      <c r="F13" s="12"/>
      <c r="G13" s="13"/>
      <c r="H13" s="13"/>
      <c r="I13" s="12"/>
      <c r="P13" s="12"/>
      <c r="T13" s="12"/>
      <c r="X13" s="12"/>
    </row>
    <row r="14" spans="1:24" s="14" customFormat="1" x14ac:dyDescent="0.25">
      <c r="A14" s="22">
        <f>Dataset!A233</f>
        <v>44718</v>
      </c>
      <c r="B14" s="51">
        <f>Dataset!E233</f>
        <v>-6.0058518556543872E-3</v>
      </c>
      <c r="C14" s="51">
        <f>Dataset!K233</f>
        <v>3.2916834609701962E-3</v>
      </c>
      <c r="F14" s="12"/>
      <c r="G14" s="13"/>
      <c r="H14" s="13"/>
      <c r="I14" s="12"/>
      <c r="P14" s="12"/>
      <c r="T14" s="12"/>
      <c r="X14" s="12"/>
    </row>
    <row r="15" spans="1:24" s="14" customFormat="1" x14ac:dyDescent="0.25">
      <c r="A15" s="22">
        <f>Dataset!A234</f>
        <v>44719</v>
      </c>
      <c r="B15" s="51">
        <f>Dataset!E234</f>
        <v>-1.1992471711537167E-3</v>
      </c>
      <c r="C15" s="51">
        <f>Dataset!K234</f>
        <v>-1.5400066956812841E-2</v>
      </c>
      <c r="F15" s="12"/>
      <c r="G15" s="13"/>
      <c r="H15" s="13"/>
      <c r="I15" s="12"/>
      <c r="P15" s="12"/>
      <c r="T15" s="12"/>
      <c r="X15" s="12"/>
    </row>
    <row r="16" spans="1:24" s="14" customFormat="1" x14ac:dyDescent="0.25">
      <c r="A16" s="22">
        <f>Dataset!A235</f>
        <v>44720</v>
      </c>
      <c r="B16" s="51">
        <f>Dataset!E235</f>
        <v>-8.7035451866235292E-3</v>
      </c>
      <c r="C16" s="51">
        <f>Dataset!K235</f>
        <v>-7.8204692281537147E-3</v>
      </c>
      <c r="F16" s="12"/>
      <c r="G16" s="13"/>
      <c r="H16" s="13"/>
      <c r="I16" s="12"/>
      <c r="P16" s="12"/>
      <c r="T16" s="12"/>
      <c r="X16" s="12"/>
    </row>
    <row r="17" spans="1:24" s="14" customFormat="1" x14ac:dyDescent="0.25">
      <c r="A17" s="22">
        <f>Dataset!A236</f>
        <v>44721</v>
      </c>
      <c r="B17" s="51">
        <f>Dataset!E236</f>
        <v>-3.7090268440818086E-3</v>
      </c>
      <c r="C17" s="51">
        <f>Dataset!K236</f>
        <v>4.4551062371487316E-3</v>
      </c>
      <c r="F17" s="12"/>
      <c r="G17" s="13"/>
      <c r="H17" s="13"/>
      <c r="I17" s="12"/>
      <c r="P17" s="12"/>
      <c r="T17" s="12"/>
      <c r="X17" s="12"/>
    </row>
    <row r="18" spans="1:24" s="14" customFormat="1" x14ac:dyDescent="0.25">
      <c r="A18" s="22">
        <f>Dataset!A237</f>
        <v>44722</v>
      </c>
      <c r="B18" s="51">
        <f>Dataset!E237</f>
        <v>7.1780911163850103E-3</v>
      </c>
      <c r="C18" s="51">
        <f>Dataset!K237</f>
        <v>-1.7400204708290734E-2</v>
      </c>
      <c r="F18" s="12"/>
      <c r="G18" s="13"/>
      <c r="H18" s="13"/>
      <c r="I18" s="12"/>
      <c r="P18" s="12"/>
      <c r="T18" s="12"/>
      <c r="X18" s="12"/>
    </row>
    <row r="19" spans="1:24" s="14" customFormat="1" x14ac:dyDescent="0.25">
      <c r="A19" s="22">
        <f>Dataset!A238</f>
        <v>44725</v>
      </c>
      <c r="B19" s="51">
        <f>Dataset!E238</f>
        <v>-1.4808312060342055E-2</v>
      </c>
      <c r="C19" s="51">
        <f>Dataset!K238</f>
        <v>-4.4444444444444398E-2</v>
      </c>
      <c r="F19" s="12"/>
      <c r="G19" s="13"/>
      <c r="H19" s="13"/>
      <c r="I19" s="12"/>
      <c r="P19" s="12"/>
      <c r="T19" s="12"/>
      <c r="X19" s="12"/>
    </row>
    <row r="20" spans="1:24" s="14" customFormat="1" x14ac:dyDescent="0.25">
      <c r="A20" s="22">
        <f>Dataset!A239</f>
        <v>44726</v>
      </c>
      <c r="B20" s="51">
        <f>Dataset!E239</f>
        <v>-2.5987501612127817E-2</v>
      </c>
      <c r="C20" s="51">
        <f>Dataset!K239</f>
        <v>-3.6337209302325091E-3</v>
      </c>
      <c r="F20" s="12"/>
      <c r="G20" s="13"/>
      <c r="H20" s="13"/>
      <c r="I20" s="12"/>
      <c r="P20" s="12"/>
      <c r="T20" s="12"/>
      <c r="X20" s="12"/>
    </row>
    <row r="21" spans="1:24" s="14" customFormat="1" x14ac:dyDescent="0.25">
      <c r="A21" s="22">
        <f>Dataset!A240</f>
        <v>44727</v>
      </c>
      <c r="B21" s="51">
        <f>Dataset!E240</f>
        <v>-1.9681129588502433E-3</v>
      </c>
      <c r="C21" s="51">
        <f>Dataset!K240</f>
        <v>2.5528811086799053E-3</v>
      </c>
      <c r="F21" s="12"/>
      <c r="G21" s="13"/>
      <c r="H21" s="13"/>
      <c r="I21" s="12"/>
      <c r="P21" s="12"/>
      <c r="T21" s="12"/>
      <c r="X21" s="12"/>
    </row>
    <row r="22" spans="1:24" s="14" customFormat="1" x14ac:dyDescent="0.25">
      <c r="A22" s="22">
        <f>Dataset!A241</f>
        <v>44728</v>
      </c>
      <c r="B22" s="51">
        <f>Dataset!E241</f>
        <v>-1.1940514527625234E-3</v>
      </c>
      <c r="C22" s="51">
        <f>Dataset!K241</f>
        <v>-1.2731902510003668E-2</v>
      </c>
      <c r="F22" s="12"/>
      <c r="G22" s="13"/>
      <c r="H22" s="13"/>
      <c r="I22" s="12"/>
      <c r="P22" s="12"/>
      <c r="T22" s="12"/>
      <c r="X22" s="12"/>
    </row>
    <row r="23" spans="1:24" s="14" customFormat="1" x14ac:dyDescent="0.25">
      <c r="A23" s="22">
        <f>Dataset!A242</f>
        <v>44729</v>
      </c>
      <c r="B23" s="51">
        <f>Dataset!E242</f>
        <v>-2.1234845191518192E-2</v>
      </c>
      <c r="C23" s="51">
        <f>Dataset!K242</f>
        <v>1.2306558585114313E-2</v>
      </c>
      <c r="F23" s="12"/>
      <c r="G23" s="13"/>
      <c r="H23" s="13"/>
      <c r="I23" s="12"/>
      <c r="P23" s="12"/>
      <c r="T23" s="12"/>
      <c r="X23" s="12"/>
    </row>
    <row r="24" spans="1:24" s="14" customFormat="1" x14ac:dyDescent="0.25">
      <c r="A24" s="22">
        <f>Dataset!A243</f>
        <v>44732</v>
      </c>
      <c r="B24" s="51">
        <f>Dataset!E243</f>
        <v>-6.9892108298840183E-3</v>
      </c>
      <c r="C24" s="51">
        <f>Dataset!K243</f>
        <v>-1.3103297663245028E-3</v>
      </c>
      <c r="F24" s="12"/>
      <c r="G24" s="13"/>
      <c r="H24" s="13"/>
      <c r="I24" s="12"/>
      <c r="P24" s="12"/>
      <c r="T24" s="12"/>
      <c r="X24" s="12"/>
    </row>
    <row r="25" spans="1:24" x14ac:dyDescent="0.25">
      <c r="A25" s="22">
        <f>Dataset!A244</f>
        <v>44733</v>
      </c>
      <c r="B25" s="51">
        <f>Dataset!E244</f>
        <v>-1.0250102501024871E-3</v>
      </c>
      <c r="C25" s="51">
        <f>Dataset!K244</f>
        <v>1.4796996865660716E-2</v>
      </c>
      <c r="F25" s="8"/>
      <c r="G25" s="5"/>
      <c r="H25" s="5"/>
      <c r="I25" s="5"/>
      <c r="K25" s="5"/>
      <c r="P25" s="8"/>
      <c r="T25" s="8"/>
      <c r="X25" s="8"/>
    </row>
    <row r="26" spans="1:24" x14ac:dyDescent="0.25">
      <c r="A26" s="22">
        <f>Dataset!A245</f>
        <v>44734</v>
      </c>
      <c r="B26" s="51">
        <f>Dataset!E245</f>
        <v>2.2150501526655875E-2</v>
      </c>
      <c r="C26" s="51">
        <f>Dataset!K245</f>
        <v>-1.3647464444763724E-2</v>
      </c>
      <c r="E26" s="8"/>
      <c r="L26" s="8"/>
      <c r="P26" s="8"/>
      <c r="T26" s="8"/>
      <c r="X26" s="8"/>
    </row>
    <row r="27" spans="1:24" ht="33" customHeight="1" x14ac:dyDescent="0.25">
      <c r="A27" s="22">
        <f>Dataset!A246</f>
        <v>44735</v>
      </c>
      <c r="B27" s="51">
        <f>Dataset!E246</f>
        <v>-1.5221663188761947E-2</v>
      </c>
      <c r="C27" s="51">
        <f>Dataset!K246</f>
        <v>1.827847363821733E-2</v>
      </c>
      <c r="E27" s="69"/>
      <c r="F27" s="69"/>
      <c r="L27" s="8"/>
      <c r="P27" s="8"/>
      <c r="T27" s="8"/>
      <c r="X27" s="8"/>
    </row>
    <row r="28" spans="1:24" hidden="1" x14ac:dyDescent="0.25">
      <c r="A28" s="22">
        <f>Dataset!A247</f>
        <v>44736</v>
      </c>
      <c r="B28" s="51">
        <f>Dataset!E247</f>
        <v>9.9401367772704585E-3</v>
      </c>
      <c r="C28" s="51">
        <f>Dataset!K247</f>
        <v>2.0453407709361437E-2</v>
      </c>
      <c r="E28" s="8"/>
      <c r="L28" s="8"/>
      <c r="P28" s="8"/>
      <c r="T28" s="8"/>
      <c r="X28" s="8"/>
    </row>
    <row r="29" spans="1:24" hidden="1" x14ac:dyDescent="0.25">
      <c r="A29" s="22">
        <f>Dataset!A248</f>
        <v>44739</v>
      </c>
      <c r="B29" s="51">
        <f>Dataset!E248</f>
        <v>1.0362250578059617E-2</v>
      </c>
      <c r="C29" s="51">
        <f>Dataset!K248</f>
        <v>5.4663956829490434E-3</v>
      </c>
      <c r="E29" s="8"/>
      <c r="L29" s="8"/>
      <c r="P29" s="8"/>
      <c r="T29" s="8"/>
      <c r="X29" s="8"/>
    </row>
    <row r="30" spans="1:24" hidden="1" x14ac:dyDescent="0.25">
      <c r="A30" s="22">
        <f>Dataset!A249</f>
        <v>44740</v>
      </c>
      <c r="B30" s="51">
        <f>Dataset!E249</f>
        <v>8.5486644225414299E-3</v>
      </c>
      <c r="C30" s="51">
        <f>Dataset!K249</f>
        <v>-9.8278385725240058E-3</v>
      </c>
      <c r="E30" s="8"/>
      <c r="L30" s="8"/>
      <c r="P30" s="8"/>
      <c r="T30" s="8"/>
      <c r="X30" s="8"/>
    </row>
    <row r="31" spans="1:24" hidden="1" x14ac:dyDescent="0.25">
      <c r="A31" s="22">
        <f>Dataset!A250</f>
        <v>44741</v>
      </c>
      <c r="B31" s="51">
        <f>Dataset!E250</f>
        <v>1.398693752100888E-3</v>
      </c>
      <c r="C31" s="51">
        <f>Dataset!K250</f>
        <v>-1.0629311558496335E-2</v>
      </c>
      <c r="E31" s="8"/>
      <c r="L31" s="8"/>
      <c r="P31" s="8"/>
      <c r="T31" s="8"/>
      <c r="X31" s="8"/>
    </row>
    <row r="32" spans="1:24" hidden="1" x14ac:dyDescent="0.25">
      <c r="A32" s="22">
        <f>Dataset!A251</f>
        <v>44742</v>
      </c>
      <c r="B32" s="51">
        <f>Dataset!E251</f>
        <v>-3.6327232835983159E-3</v>
      </c>
      <c r="C32" s="51">
        <f>Dataset!K251</f>
        <v>6.3322660974742817E-3</v>
      </c>
      <c r="E32" s="8"/>
      <c r="L32" s="8"/>
      <c r="P32" s="8"/>
      <c r="T32" s="8"/>
      <c r="X32" s="8"/>
    </row>
    <row r="33" spans="1:24" hidden="1" x14ac:dyDescent="0.25">
      <c r="A33" s="22">
        <f>Dataset!A252</f>
        <v>44743</v>
      </c>
      <c r="B33" s="51">
        <f>Dataset!E252</f>
        <v>-2.3764973437377934E-3</v>
      </c>
      <c r="C33" s="51">
        <f>Dataset!K252</f>
        <v>-4.6662895927602754E-3</v>
      </c>
      <c r="E33" s="8"/>
      <c r="L33" s="8"/>
      <c r="P33" s="8"/>
      <c r="T33" s="8"/>
      <c r="X33" s="8"/>
    </row>
    <row r="34" spans="1:24" hidden="1" x14ac:dyDescent="0.25">
      <c r="A34" s="22">
        <f>Dataset!A253</f>
        <v>44746</v>
      </c>
      <c r="B34" s="51">
        <f>Dataset!E253</f>
        <v>4.9452405075500749E-4</v>
      </c>
      <c r="C34" s="51">
        <f>Dataset!K253</f>
        <v>2.301463276033533E-2</v>
      </c>
      <c r="E34" s="8"/>
      <c r="L34" s="8"/>
      <c r="P34" s="8"/>
      <c r="T34" s="8"/>
      <c r="X34" s="8"/>
    </row>
    <row r="35" spans="1:24" hidden="1" x14ac:dyDescent="0.25">
      <c r="A35" s="22">
        <f>Dataset!A254</f>
        <v>44747</v>
      </c>
      <c r="B35" s="51">
        <f>Dataset!E254</f>
        <v>5.9313554111564137E-3</v>
      </c>
      <c r="C35" s="51">
        <f>Dataset!K254</f>
        <v>-9.0265240938758318E-4</v>
      </c>
      <c r="E35" s="8"/>
      <c r="L35" s="8"/>
      <c r="P35" s="8"/>
      <c r="T35" s="8"/>
      <c r="X35" s="8"/>
    </row>
    <row r="36" spans="1:24" hidden="1" x14ac:dyDescent="0.25">
      <c r="A36" s="22">
        <f>Dataset!A255</f>
        <v>44748</v>
      </c>
      <c r="B36" s="51">
        <f>Dataset!E255</f>
        <v>-1.2523819225561672E-3</v>
      </c>
      <c r="C36" s="51">
        <f>Dataset!K255</f>
        <v>9.0346792688860145E-3</v>
      </c>
      <c r="E36" s="8"/>
      <c r="L36" s="8"/>
      <c r="P36" s="8"/>
      <c r="T36" s="8"/>
      <c r="X36" s="8"/>
    </row>
    <row r="37" spans="1:24" hidden="1" x14ac:dyDescent="0.25">
      <c r="A37" s="22">
        <f>Dataset!A256</f>
        <v>44749</v>
      </c>
      <c r="B37" s="51">
        <f>Dataset!E256</f>
        <v>1.3079502978886826E-2</v>
      </c>
      <c r="C37" s="51">
        <f>Dataset!K256</f>
        <v>2.2108960672222455E-2</v>
      </c>
      <c r="E37" s="8"/>
      <c r="L37" s="8"/>
      <c r="P37" s="8"/>
      <c r="T37" s="8"/>
      <c r="X37" s="8"/>
    </row>
    <row r="38" spans="1:24" hidden="1" x14ac:dyDescent="0.25">
      <c r="A38" s="22">
        <f>Dataset!A257</f>
        <v>44750</v>
      </c>
      <c r="B38" s="51">
        <f>Dataset!E257</f>
        <v>9.4579308629398895E-3</v>
      </c>
      <c r="C38" s="51">
        <f>Dataset!K257</f>
        <v>1.8463611859838247E-2</v>
      </c>
      <c r="E38" s="8"/>
      <c r="L38" s="8"/>
      <c r="P38" s="8"/>
      <c r="T38" s="8"/>
      <c r="X38" s="8"/>
    </row>
    <row r="39" spans="1:24" hidden="1" x14ac:dyDescent="0.25">
      <c r="A39" s="22">
        <f>Dataset!A258</f>
        <v>44753</v>
      </c>
      <c r="B39" s="51">
        <f>Dataset!E258</f>
        <v>4.8694631856849302E-3</v>
      </c>
      <c r="C39" s="51">
        <f>Dataset!K258</f>
        <v>1.8261214767764988E-2</v>
      </c>
      <c r="E39" s="8"/>
      <c r="L39" s="8"/>
      <c r="P39" s="8"/>
      <c r="T39" s="8"/>
      <c r="X39" s="8"/>
    </row>
    <row r="40" spans="1:24" hidden="1" x14ac:dyDescent="0.25">
      <c r="A40" s="22">
        <f>Dataset!A259</f>
        <v>44754</v>
      </c>
      <c r="B40" s="51">
        <f>Dataset!E259</f>
        <v>3.4329752452124662E-3</v>
      </c>
      <c r="C40" s="51">
        <f>Dataset!K259</f>
        <v>-1.2475633528265084E-2</v>
      </c>
      <c r="E40" s="8"/>
      <c r="L40" s="8"/>
      <c r="P40" s="8"/>
      <c r="T40" s="8"/>
      <c r="X40" s="8"/>
    </row>
    <row r="41" spans="1:24" hidden="1" x14ac:dyDescent="0.25">
      <c r="A41" s="22">
        <f>Dataset!A260</f>
        <v>44755</v>
      </c>
      <c r="B41" s="51">
        <f>Dataset!E260</f>
        <v>-8.041054762957689E-3</v>
      </c>
      <c r="C41" s="51">
        <f>Dataset!K260</f>
        <v>-8.8169495986313295E-3</v>
      </c>
      <c r="E41" s="8"/>
      <c r="L41" s="8"/>
      <c r="P41" s="8"/>
      <c r="T41" s="8"/>
      <c r="X41" s="8"/>
    </row>
    <row r="42" spans="1:24" hidden="1" x14ac:dyDescent="0.25">
      <c r="A42" s="22">
        <f>Dataset!A261</f>
        <v>44756</v>
      </c>
      <c r="B42" s="51">
        <f>Dataset!E261</f>
        <v>-4.3346667761574587E-3</v>
      </c>
      <c r="C42" s="51">
        <f>Dataset!K261</f>
        <v>-1.0621348911312722E-3</v>
      </c>
      <c r="E42" s="8"/>
      <c r="L42" s="8"/>
      <c r="P42" s="8"/>
      <c r="T42" s="8"/>
      <c r="X42" s="8"/>
    </row>
    <row r="43" spans="1:24" hidden="1" x14ac:dyDescent="0.25">
      <c r="A43" s="22">
        <f>Dataset!A262</f>
        <v>44757</v>
      </c>
      <c r="B43" s="51">
        <f>Dataset!E262</f>
        <v>-1.402086634815336E-3</v>
      </c>
      <c r="C43" s="51">
        <f>Dataset!K262</f>
        <v>-1.5948963317383713E-3</v>
      </c>
      <c r="E43" s="8"/>
      <c r="L43" s="8"/>
      <c r="P43" s="8"/>
      <c r="T43" s="8"/>
      <c r="X43" s="8"/>
    </row>
    <row r="44" spans="1:24" hidden="1" x14ac:dyDescent="0.25">
      <c r="A44" s="22">
        <f>Dataset!A263</f>
        <v>44760</v>
      </c>
      <c r="B44" s="51">
        <f>Dataset!E263</f>
        <v>6.5955200018876781E-3</v>
      </c>
      <c r="C44" s="51">
        <f>Dataset!K263</f>
        <v>2.7689030883919052E-2</v>
      </c>
      <c r="E44" s="8"/>
      <c r="L44" s="8"/>
      <c r="P44" s="8"/>
      <c r="T44" s="8"/>
      <c r="X44" s="8"/>
    </row>
    <row r="45" spans="1:24" hidden="1" x14ac:dyDescent="0.25">
      <c r="A45" s="22">
        <f>Dataset!A264</f>
        <v>44761</v>
      </c>
      <c r="B45" s="51">
        <f>Dataset!E264</f>
        <v>1.4136098038411316E-2</v>
      </c>
      <c r="C45" s="51">
        <f>Dataset!K264</f>
        <v>1.1204663212435184E-2</v>
      </c>
      <c r="E45" s="8"/>
      <c r="L45" s="8"/>
      <c r="P45" s="8"/>
      <c r="T45" s="8"/>
      <c r="X45" s="8"/>
    </row>
    <row r="46" spans="1:24" hidden="1" x14ac:dyDescent="0.25">
      <c r="A46" s="22">
        <f>Dataset!A265</f>
        <v>44762</v>
      </c>
      <c r="B46" s="51">
        <f>Dataset!E265</f>
        <v>4.3573991990244476E-3</v>
      </c>
      <c r="C46" s="51">
        <f>Dataset!K265</f>
        <v>3.1384102991098839E-3</v>
      </c>
      <c r="E46" s="8"/>
      <c r="L46" s="8"/>
      <c r="P46" s="8"/>
      <c r="T46" s="8"/>
      <c r="X46" s="8"/>
    </row>
    <row r="47" spans="1:24" hidden="1" x14ac:dyDescent="0.25">
      <c r="A47" s="22">
        <f>Dataset!A266</f>
        <v>44763</v>
      </c>
      <c r="B47" s="51">
        <f>Dataset!E266</f>
        <v>8.5388939715640433E-3</v>
      </c>
      <c r="C47" s="51">
        <f>Dataset!K266</f>
        <v>3.703230749585007E-3</v>
      </c>
      <c r="E47" s="8"/>
      <c r="L47" s="8"/>
      <c r="P47" s="8"/>
      <c r="T47" s="8"/>
      <c r="X47" s="8"/>
    </row>
    <row r="48" spans="1:24" hidden="1" x14ac:dyDescent="0.25">
      <c r="A48" s="22">
        <f>Dataset!A267</f>
        <v>44764</v>
      </c>
      <c r="B48" s="51">
        <f>Dataset!E267</f>
        <v>7.4453579191793295E-3</v>
      </c>
      <c r="C48" s="51">
        <f>Dataset!K267</f>
        <v>1.7875318066157719E-2</v>
      </c>
      <c r="E48" s="8"/>
      <c r="L48" s="8"/>
      <c r="P48" s="8"/>
      <c r="T48" s="8"/>
      <c r="X48" s="8"/>
    </row>
    <row r="49" spans="1:24" hidden="1" x14ac:dyDescent="0.25">
      <c r="A49" s="22">
        <f>Dataset!A268</f>
        <v>44767</v>
      </c>
      <c r="B49" s="51">
        <f>Dataset!E268</f>
        <v>4.5417992773895133E-3</v>
      </c>
      <c r="C49" s="51">
        <f>Dataset!K268</f>
        <v>1.0624335979001476E-3</v>
      </c>
      <c r="E49" s="8"/>
      <c r="L49" s="8"/>
      <c r="P49" s="8"/>
      <c r="T49" s="8"/>
      <c r="X49" s="8"/>
    </row>
    <row r="50" spans="1:24" hidden="1" x14ac:dyDescent="0.25">
      <c r="A50" s="22">
        <f>Dataset!A269</f>
        <v>44768</v>
      </c>
      <c r="B50" s="51">
        <f>Dataset!E269</f>
        <v>-4.1266405087269087E-3</v>
      </c>
      <c r="C50" s="51">
        <f>Dataset!K269</f>
        <v>-5.7435385191659805E-3</v>
      </c>
      <c r="E50" s="8"/>
      <c r="L50" s="8"/>
      <c r="P50" s="8"/>
      <c r="T50" s="8"/>
      <c r="X50" s="8"/>
    </row>
    <row r="51" spans="1:24" hidden="1" x14ac:dyDescent="0.25">
      <c r="A51" s="22">
        <f>Dataset!A270</f>
        <v>44769</v>
      </c>
      <c r="B51" s="51">
        <f>Dataset!E270</f>
        <v>-9.8215700926114202E-3</v>
      </c>
      <c r="C51" s="51">
        <f>Dataset!K270</f>
        <v>5.2743940725856753E-3</v>
      </c>
      <c r="E51" s="8"/>
      <c r="L51" s="8"/>
      <c r="P51" s="8"/>
      <c r="T51" s="8"/>
      <c r="X51" s="8"/>
    </row>
    <row r="52" spans="1:24" hidden="1" x14ac:dyDescent="0.25">
      <c r="A52" s="22">
        <f>Dataset!A271</f>
        <v>44770</v>
      </c>
      <c r="B52" s="51">
        <f>Dataset!E271</f>
        <v>9.5759703173505795E-3</v>
      </c>
      <c r="C52" s="51">
        <f>Dataset!K271</f>
        <v>1.7613991255465367E-2</v>
      </c>
      <c r="E52" s="8"/>
      <c r="L52" s="8"/>
      <c r="P52" s="8"/>
      <c r="T52" s="8"/>
      <c r="X52" s="8"/>
    </row>
    <row r="53" spans="1:24" hidden="1" x14ac:dyDescent="0.25">
      <c r="A53" s="22">
        <f>Dataset!A272</f>
        <v>44771</v>
      </c>
      <c r="B53" s="51">
        <f>Dataset!E272</f>
        <v>1.5459363957597283E-2</v>
      </c>
      <c r="C53" s="51">
        <f>Dataset!K272</f>
        <v>4.9103854652590151E-3</v>
      </c>
      <c r="E53" s="8"/>
      <c r="L53" s="8"/>
      <c r="P53" s="8"/>
      <c r="T53" s="8"/>
      <c r="X53" s="8"/>
    </row>
    <row r="54" spans="1:24" hidden="1" x14ac:dyDescent="0.25">
      <c r="A54" s="22">
        <f>Dataset!A273</f>
        <v>44774</v>
      </c>
      <c r="B54" s="51">
        <f>Dataset!E273</f>
        <v>1.3556618819776656E-2</v>
      </c>
      <c r="C54" s="51">
        <f>Dataset!K273</f>
        <v>5.8636696799412302E-3</v>
      </c>
      <c r="E54" s="8"/>
      <c r="L54" s="8"/>
      <c r="P54" s="8"/>
      <c r="T54" s="8"/>
      <c r="X54" s="8"/>
    </row>
    <row r="55" spans="1:24" hidden="1" x14ac:dyDescent="0.25">
      <c r="A55" s="22">
        <f>Dataset!A274</f>
        <v>44775</v>
      </c>
      <c r="B55" s="51">
        <f>Dataset!E274</f>
        <v>1.2104339405677011E-2</v>
      </c>
      <c r="C55" s="51">
        <f>Dataset!K274</f>
        <v>-6.8617925674033797E-3</v>
      </c>
      <c r="E55" s="8"/>
      <c r="L55" s="8"/>
      <c r="P55" s="8"/>
      <c r="T55" s="8"/>
      <c r="X55" s="8"/>
    </row>
    <row r="56" spans="1:24" hidden="1" x14ac:dyDescent="0.25">
      <c r="A56" s="22">
        <f>Dataset!A275</f>
        <v>44776</v>
      </c>
      <c r="B56" s="51">
        <f>Dataset!E275</f>
        <v>1.413404510934857E-3</v>
      </c>
      <c r="C56" s="51">
        <f>Dataset!K275</f>
        <v>8.6212167532864203E-3</v>
      </c>
      <c r="E56" s="8"/>
      <c r="L56" s="8"/>
      <c r="P56" s="8"/>
      <c r="T56" s="8"/>
      <c r="X56" s="8"/>
    </row>
    <row r="57" spans="1:24" hidden="1" x14ac:dyDescent="0.25">
      <c r="A57" s="22">
        <f>Dataset!A276</f>
        <v>44777</v>
      </c>
      <c r="B57" s="51">
        <f>Dataset!E276</f>
        <v>3.9628039280614757E-4</v>
      </c>
      <c r="C57" s="51">
        <f>Dataset!K276</f>
        <v>-5.5164888457807093E-3</v>
      </c>
      <c r="E57" s="8"/>
      <c r="L57" s="8"/>
      <c r="P57" s="8"/>
      <c r="T57" s="8"/>
      <c r="X57" s="8"/>
    </row>
    <row r="58" spans="1:24" hidden="1" x14ac:dyDescent="0.25">
      <c r="A58" s="22">
        <f>Dataset!A277</f>
        <v>44778</v>
      </c>
      <c r="B58" s="51">
        <f>Dataset!E277</f>
        <v>1.1286804206507295E-3</v>
      </c>
      <c r="C58" s="51">
        <f>Dataset!K277</f>
        <v>2.1883572081682567E-2</v>
      </c>
      <c r="E58" s="8"/>
      <c r="L58" s="8"/>
      <c r="P58" s="8"/>
      <c r="T58" s="8"/>
      <c r="X58" s="8"/>
    </row>
    <row r="59" spans="1:24" hidden="1" x14ac:dyDescent="0.25">
      <c r="A59" s="22">
        <f>Dataset!A278</f>
        <v>44781</v>
      </c>
      <c r="B59" s="51">
        <f>Dataset!E278</f>
        <v>4.3361843745604034E-4</v>
      </c>
      <c r="C59" s="51">
        <f>Dataset!K278</f>
        <v>-1.4912908613695652E-3</v>
      </c>
      <c r="E59" s="8"/>
      <c r="L59" s="8"/>
      <c r="P59" s="8"/>
      <c r="T59" s="8"/>
      <c r="X59" s="8"/>
    </row>
    <row r="60" spans="1:24" hidden="1" x14ac:dyDescent="0.25">
      <c r="A60" s="22">
        <f>Dataset!A279</f>
        <v>44783</v>
      </c>
      <c r="B60" s="51">
        <f>Dataset!E279</f>
        <v>6.8156945181878648E-3</v>
      </c>
      <c r="C60" s="51">
        <f>Dataset!K279</f>
        <v>1.4098811159567459E-2</v>
      </c>
      <c r="E60" s="8"/>
      <c r="L60" s="8"/>
      <c r="P60" s="8"/>
      <c r="T60" s="8"/>
      <c r="X60" s="8"/>
    </row>
    <row r="61" spans="1:24" hidden="1" x14ac:dyDescent="0.25">
      <c r="A61" s="22">
        <f>Dataset!A280</f>
        <v>44784</v>
      </c>
      <c r="B61" s="51">
        <f>Dataset!E280</f>
        <v>-2.0448577209519758E-4</v>
      </c>
      <c r="C61" s="51">
        <f>Dataset!K280</f>
        <v>1.2901325478645198E-2</v>
      </c>
      <c r="E61" s="8"/>
      <c r="L61" s="8"/>
      <c r="P61" s="8"/>
      <c r="T61" s="8"/>
      <c r="X61" s="8"/>
    </row>
    <row r="62" spans="1:24" hidden="1" x14ac:dyDescent="0.25">
      <c r="A62" s="22">
        <f>Dataset!A281</f>
        <v>44785</v>
      </c>
      <c r="B62" s="51">
        <f>Dataset!E281</f>
        <v>7.4544926100950093E-3</v>
      </c>
      <c r="C62" s="51">
        <f>Dataset!K281</f>
        <v>1.7098988019076389E-2</v>
      </c>
      <c r="E62" s="8"/>
      <c r="L62" s="8"/>
      <c r="P62" s="8"/>
      <c r="T62" s="8"/>
      <c r="X62" s="8"/>
    </row>
    <row r="63" spans="1:24" hidden="1" x14ac:dyDescent="0.25">
      <c r="A63" s="22">
        <f>Dataset!A282</f>
        <v>44789</v>
      </c>
      <c r="B63" s="51">
        <f>Dataset!E282</f>
        <v>3.0505558850084658E-3</v>
      </c>
      <c r="C63" s="51">
        <f>Dataset!K282</f>
        <v>5.5466605672460645E-3</v>
      </c>
      <c r="E63" s="8"/>
      <c r="L63" s="8"/>
      <c r="P63" s="8"/>
      <c r="T63" s="8"/>
      <c r="X63" s="8"/>
    </row>
    <row r="64" spans="1:24" hidden="1" x14ac:dyDescent="0.25">
      <c r="A64" s="22">
        <f>Dataset!A283</f>
        <v>44790</v>
      </c>
      <c r="B64" s="51">
        <f>Dataset!E283</f>
        <v>9.209054593874999E-3</v>
      </c>
      <c r="C64" s="51">
        <f>Dataset!K283</f>
        <v>4.5493318168894348E-3</v>
      </c>
      <c r="E64" s="8"/>
      <c r="L64" s="8"/>
      <c r="P64" s="8"/>
      <c r="T64" s="8"/>
      <c r="X64" s="8"/>
    </row>
    <row r="65" spans="1:24" hidden="1" x14ac:dyDescent="0.25">
      <c r="A65" s="22">
        <f>Dataset!A284</f>
        <v>44791</v>
      </c>
      <c r="B65" s="51">
        <f>Dataset!E284</f>
        <v>6.7606436597194008E-3</v>
      </c>
      <c r="C65" s="51">
        <f>Dataset!K284</f>
        <v>2.0945372204925761E-3</v>
      </c>
      <c r="E65" s="8"/>
      <c r="L65" s="8"/>
      <c r="P65" s="8"/>
      <c r="T65" s="8"/>
      <c r="X65" s="8"/>
    </row>
    <row r="66" spans="1:24" hidden="1" x14ac:dyDescent="0.25">
      <c r="A66" s="22">
        <f>Dataset!A285</f>
        <v>44792</v>
      </c>
      <c r="B66" s="51">
        <f>Dataset!E285</f>
        <v>1.6250786328371181E-3</v>
      </c>
      <c r="C66" s="51">
        <f>Dataset!K285</f>
        <v>-1.6608292848265815E-2</v>
      </c>
      <c r="E66" s="8"/>
      <c r="L66" s="8"/>
      <c r="P66" s="8"/>
      <c r="T66" s="8"/>
      <c r="X66" s="8"/>
    </row>
    <row r="67" spans="1:24" hidden="1" x14ac:dyDescent="0.25">
      <c r="A67" s="22">
        <f>Dataset!A286</f>
        <v>44795</v>
      </c>
      <c r="B67" s="51">
        <f>Dataset!E286</f>
        <v>-1.1111111111111072E-2</v>
      </c>
      <c r="C67" s="51">
        <f>Dataset!K286</f>
        <v>-2.0852481617647078E-2</v>
      </c>
      <c r="E67" s="8"/>
      <c r="L67" s="8"/>
      <c r="P67" s="8"/>
      <c r="T67" s="8"/>
      <c r="X67" s="8"/>
    </row>
    <row r="68" spans="1:24" hidden="1" x14ac:dyDescent="0.25">
      <c r="A68" s="22">
        <f>Dataset!A287</f>
        <v>44796</v>
      </c>
      <c r="B68" s="51">
        <f>Dataset!E287</f>
        <v>-1.606270541474597E-2</v>
      </c>
      <c r="C68" s="51">
        <f>Dataset!K287</f>
        <v>1.3669697858609497E-2</v>
      </c>
      <c r="E68" s="8"/>
      <c r="L68" s="8"/>
      <c r="P68" s="8"/>
      <c r="T68" s="8"/>
      <c r="X68" s="8"/>
    </row>
    <row r="69" spans="1:24" hidden="1" x14ac:dyDescent="0.25">
      <c r="A69" s="22">
        <f>Dataset!A288</f>
        <v>44797</v>
      </c>
      <c r="B69" s="51">
        <f>Dataset!E288</f>
        <v>5.750032273333483E-3</v>
      </c>
      <c r="C69" s="51">
        <f>Dataset!K288</f>
        <v>1.0880888991781523E-2</v>
      </c>
      <c r="E69" s="8"/>
      <c r="L69" s="8"/>
      <c r="P69" s="8"/>
      <c r="T69" s="8"/>
      <c r="X69" s="8"/>
    </row>
    <row r="70" spans="1:24" hidden="1" x14ac:dyDescent="0.25">
      <c r="A70" s="22">
        <f>Dataset!A289</f>
        <v>44798</v>
      </c>
      <c r="B70" s="51">
        <f>Dataset!E289</f>
        <v>2.8772976933486571E-3</v>
      </c>
      <c r="C70" s="51">
        <f>Dataset!K289</f>
        <v>-1.0878277796861902E-3</v>
      </c>
      <c r="E70" s="8"/>
      <c r="L70" s="8"/>
      <c r="P70" s="8"/>
      <c r="T70" s="8"/>
      <c r="X70" s="8"/>
    </row>
    <row r="71" spans="1:24" hidden="1" x14ac:dyDescent="0.25">
      <c r="A71" s="22">
        <f>Dataset!A290</f>
        <v>44799</v>
      </c>
      <c r="B71" s="51">
        <f>Dataset!E290</f>
        <v>-3.434318655709645E-3</v>
      </c>
      <c r="C71" s="51">
        <f>Dataset!K290</f>
        <v>-1.7194933226342135E-3</v>
      </c>
      <c r="E71" s="8"/>
      <c r="L71" s="8"/>
      <c r="P71" s="8"/>
      <c r="T71" s="8"/>
      <c r="X71" s="8"/>
    </row>
    <row r="72" spans="1:24" hidden="1" x14ac:dyDescent="0.25">
      <c r="A72" s="22">
        <f>Dataset!A291</f>
        <v>44802</v>
      </c>
      <c r="B72" s="51">
        <f>Dataset!E291</f>
        <v>2.975250836120269E-3</v>
      </c>
      <c r="C72" s="51">
        <f>Dataset!K291</f>
        <v>-1.7224550726301913E-2</v>
      </c>
      <c r="E72" s="8"/>
      <c r="L72" s="8"/>
      <c r="P72" s="8"/>
      <c r="T72" s="8"/>
      <c r="X72" s="8"/>
    </row>
    <row r="73" spans="1:24" hidden="1" x14ac:dyDescent="0.25">
      <c r="A73" s="22">
        <f>Dataset!A292</f>
        <v>44803</v>
      </c>
      <c r="B73" s="51">
        <f>Dataset!E292</f>
        <v>-1.210578826341413E-2</v>
      </c>
      <c r="C73" s="51">
        <f>Dataset!K292</f>
        <v>3.674709353274519E-2</v>
      </c>
      <c r="E73" s="8"/>
      <c r="L73" s="8"/>
      <c r="P73" s="8"/>
      <c r="T73" s="8"/>
      <c r="X73" s="8"/>
    </row>
    <row r="74" spans="1:24" hidden="1" x14ac:dyDescent="0.25">
      <c r="A74" s="22">
        <f>Dataset!A293</f>
        <v>44805</v>
      </c>
      <c r="B74" s="51">
        <f>Dataset!E293</f>
        <v>2.4573076549184059E-2</v>
      </c>
      <c r="C74" s="51">
        <f>Dataset!K293</f>
        <v>-1.4594838273413679E-2</v>
      </c>
      <c r="E74" s="8"/>
      <c r="L74" s="8"/>
      <c r="P74" s="8"/>
      <c r="T74" s="8"/>
      <c r="X74" s="8"/>
    </row>
    <row r="75" spans="1:24" hidden="1" x14ac:dyDescent="0.25">
      <c r="A75" s="22">
        <f>Dataset!A294</f>
        <v>44806</v>
      </c>
      <c r="B75" s="51">
        <f>Dataset!E294</f>
        <v>-8.8186303449439007E-3</v>
      </c>
      <c r="C75" s="51">
        <f>Dataset!K294</f>
        <v>-2.2302281694973614E-3</v>
      </c>
      <c r="E75" s="8"/>
      <c r="L75" s="8"/>
      <c r="P75" s="8"/>
      <c r="T75" s="8"/>
      <c r="X75" s="8"/>
    </row>
    <row r="76" spans="1:24" hidden="1" x14ac:dyDescent="0.25">
      <c r="A76" s="22">
        <f>Dataset!A295</f>
        <v>44809</v>
      </c>
      <c r="B76" s="51">
        <f>Dataset!E295</f>
        <v>-8.9874972745018766E-4</v>
      </c>
      <c r="C76" s="51">
        <f>Dataset!K295</f>
        <v>1.1519944979367258E-2</v>
      </c>
      <c r="E76" s="8"/>
      <c r="L76" s="8"/>
      <c r="P76" s="8"/>
      <c r="T76" s="8"/>
      <c r="X76" s="8"/>
    </row>
    <row r="77" spans="1:24" hidden="1" x14ac:dyDescent="0.25">
      <c r="A77" s="22">
        <f>Dataset!A296</f>
        <v>44810</v>
      </c>
      <c r="B77" s="51">
        <f>Dataset!E296</f>
        <v>5.6155852451162946E-3</v>
      </c>
      <c r="C77" s="51">
        <f>Dataset!K296</f>
        <v>1.3598504164540337E-3</v>
      </c>
      <c r="E77" s="8"/>
      <c r="L77" s="8"/>
      <c r="P77" s="8"/>
      <c r="T77" s="8"/>
      <c r="X77" s="8"/>
    </row>
    <row r="78" spans="1:24" hidden="1" x14ac:dyDescent="0.25">
      <c r="A78" s="22">
        <f>Dataset!A297</f>
        <v>44811</v>
      </c>
      <c r="B78" s="51">
        <f>Dataset!E297</f>
        <v>1.2597591636893668E-3</v>
      </c>
      <c r="C78" s="51">
        <f>Dataset!K297</f>
        <v>-8.4309398517511402E-3</v>
      </c>
      <c r="E78" s="8"/>
      <c r="L78" s="8"/>
      <c r="P78" s="8"/>
      <c r="T78" s="8"/>
      <c r="X78" s="8"/>
    </row>
    <row r="79" spans="1:24" hidden="1" x14ac:dyDescent="0.25">
      <c r="A79" s="22">
        <f>Dataset!A298</f>
        <v>44812</v>
      </c>
      <c r="B79" s="51">
        <f>Dataset!E298</f>
        <v>-4.1762924039046023E-4</v>
      </c>
      <c r="C79" s="51">
        <f>Dataset!K298</f>
        <v>2.5793197900022768E-2</v>
      </c>
      <c r="E79" s="8"/>
      <c r="L79" s="8"/>
      <c r="P79" s="8"/>
      <c r="T79" s="8"/>
      <c r="X79" s="8"/>
    </row>
    <row r="80" spans="1:24" hidden="1" x14ac:dyDescent="0.25">
      <c r="A80" s="22">
        <f>Dataset!A299</f>
        <v>44813</v>
      </c>
      <c r="B80" s="51">
        <f>Dataset!E299</f>
        <v>7.9435594762113926E-3</v>
      </c>
      <c r="C80" s="51">
        <f>Dataset!K299</f>
        <v>2.7258566978194398E-3</v>
      </c>
      <c r="E80" s="8"/>
      <c r="L80" s="8"/>
      <c r="P80" s="8"/>
      <c r="T80" s="8"/>
      <c r="X80" s="8"/>
    </row>
    <row r="81" spans="1:24" hidden="1" x14ac:dyDescent="0.25">
      <c r="A81" s="22">
        <f>Dataset!A300</f>
        <v>44816</v>
      </c>
      <c r="B81" s="51">
        <f>Dataset!E300</f>
        <v>1.8731701174272697E-3</v>
      </c>
      <c r="C81" s="51">
        <f>Dataset!K300</f>
        <v>6.6019417475728925E-3</v>
      </c>
      <c r="E81" s="8"/>
      <c r="L81" s="8"/>
      <c r="P81" s="8"/>
      <c r="T81" s="8"/>
      <c r="X81" s="8"/>
    </row>
    <row r="82" spans="1:24" hidden="1" x14ac:dyDescent="0.25">
      <c r="A82" s="22">
        <f>Dataset!A301</f>
        <v>44817</v>
      </c>
      <c r="B82" s="51">
        <f>Dataset!E301</f>
        <v>7.0963585991630218E-3</v>
      </c>
      <c r="C82" s="51">
        <f>Dataset!K301</f>
        <v>3.0864197530864335E-3</v>
      </c>
      <c r="E82" s="8"/>
      <c r="L82" s="8"/>
      <c r="P82" s="8"/>
      <c r="T82" s="8"/>
      <c r="X82" s="8"/>
    </row>
    <row r="83" spans="1:24" hidden="1" x14ac:dyDescent="0.25">
      <c r="A83" s="22">
        <f>Dataset!A302</f>
        <v>44818</v>
      </c>
      <c r="B83" s="51">
        <f>Dataset!E302</f>
        <v>6.526328926977909E-3</v>
      </c>
      <c r="C83" s="51">
        <f>Dataset!K302</f>
        <v>8.9010989010989139E-3</v>
      </c>
      <c r="E83" s="8"/>
      <c r="L83" s="8"/>
      <c r="P83" s="8"/>
      <c r="T83" s="8"/>
      <c r="X83" s="8"/>
    </row>
    <row r="84" spans="1:24" hidden="1" x14ac:dyDescent="0.25">
      <c r="A84" s="22">
        <f>Dataset!A303</f>
        <v>44819</v>
      </c>
      <c r="B84" s="51">
        <f>Dataset!E303</f>
        <v>-2.7021022665626449E-3</v>
      </c>
      <c r="C84" s="51">
        <f>Dataset!K303</f>
        <v>-5.4460298442438049E-4</v>
      </c>
      <c r="E84" s="8"/>
      <c r="L84" s="8"/>
      <c r="P84" s="8"/>
      <c r="T84" s="8"/>
      <c r="X84" s="8"/>
    </row>
    <row r="85" spans="1:24" hidden="1" x14ac:dyDescent="0.25">
      <c r="A85" s="22">
        <f>Dataset!A304</f>
        <v>44820</v>
      </c>
      <c r="B85" s="51">
        <f>Dataset!E304</f>
        <v>-3.6263793192767846E-3</v>
      </c>
      <c r="C85" s="51">
        <f>Dataset!K304</f>
        <v>-9.263295553618156E-3</v>
      </c>
      <c r="E85" s="8"/>
      <c r="L85" s="8"/>
      <c r="P85" s="8"/>
      <c r="T85" s="8"/>
      <c r="X85" s="8"/>
    </row>
    <row r="86" spans="1:24" hidden="1" x14ac:dyDescent="0.25">
      <c r="A86" s="22">
        <f>Dataset!A305</f>
        <v>44823</v>
      </c>
      <c r="B86" s="51">
        <f>Dataset!E305</f>
        <v>-2.1754276503925585E-2</v>
      </c>
      <c r="C86" s="51">
        <f>Dataset!K305</f>
        <v>-1.0889891101088955E-2</v>
      </c>
      <c r="E86" s="8"/>
      <c r="L86" s="8"/>
      <c r="P86" s="8"/>
      <c r="T86" s="8"/>
      <c r="X86" s="8"/>
    </row>
    <row r="87" spans="1:24" hidden="1" x14ac:dyDescent="0.25">
      <c r="A87" s="22">
        <f>Dataset!A306</f>
        <v>44824</v>
      </c>
      <c r="B87" s="51">
        <f>Dataset!E306</f>
        <v>4.2307569653354804E-3</v>
      </c>
      <c r="C87" s="51">
        <f>Dataset!K306</f>
        <v>1.9517348754448438E-2</v>
      </c>
      <c r="E87" s="8"/>
      <c r="L87" s="8"/>
      <c r="P87" s="8"/>
      <c r="T87" s="8"/>
      <c r="X87" s="8"/>
    </row>
    <row r="88" spans="1:24" hidden="1" x14ac:dyDescent="0.25">
      <c r="A88" s="22">
        <f>Dataset!A307</f>
        <v>44825</v>
      </c>
      <c r="B88" s="51">
        <f>Dataset!E307</f>
        <v>1.1389738649956183E-2</v>
      </c>
      <c r="C88" s="51">
        <f>Dataset!K307</f>
        <v>-1.636214889555454E-3</v>
      </c>
      <c r="E88" s="8"/>
      <c r="L88" s="8"/>
      <c r="P88" s="8"/>
      <c r="T88" s="8"/>
      <c r="X88" s="8"/>
    </row>
    <row r="89" spans="1:24" hidden="1" x14ac:dyDescent="0.25">
      <c r="A89" s="22">
        <f>Dataset!A308</f>
        <v>44826</v>
      </c>
      <c r="B89" s="51">
        <f>Dataset!E308</f>
        <v>-7.1849456288529678E-3</v>
      </c>
      <c r="C89" s="51">
        <f>Dataset!K308</f>
        <v>-1.2947282163343399E-2</v>
      </c>
      <c r="E89" s="8"/>
      <c r="L89" s="8"/>
      <c r="P89" s="8"/>
      <c r="T89" s="8"/>
      <c r="X89" s="8"/>
    </row>
    <row r="90" spans="1:24" hidden="1" x14ac:dyDescent="0.25">
      <c r="A90" s="22">
        <f>Dataset!A309</f>
        <v>44827</v>
      </c>
      <c r="B90" s="51">
        <f>Dataset!E309</f>
        <v>-2.466780166665794E-3</v>
      </c>
      <c r="C90" s="51">
        <f>Dataset!K309</f>
        <v>-2.3411556342705309E-2</v>
      </c>
      <c r="E90" s="8"/>
      <c r="L90" s="8"/>
      <c r="P90" s="8"/>
      <c r="T90" s="8"/>
      <c r="X90" s="8"/>
    </row>
    <row r="91" spans="1:24" hidden="1" x14ac:dyDescent="0.25">
      <c r="A91" s="22">
        <f>Dataset!A310</f>
        <v>44830</v>
      </c>
      <c r="B91" s="51">
        <f>Dataset!E310</f>
        <v>-1.8155590664348686E-2</v>
      </c>
      <c r="C91" s="51">
        <f>Dataset!K310</f>
        <v>-2.4029470104845574E-2</v>
      </c>
      <c r="E91" s="8"/>
      <c r="L91" s="8"/>
      <c r="P91" s="8"/>
      <c r="T91" s="8"/>
      <c r="X91" s="8"/>
    </row>
    <row r="92" spans="1:24" hidden="1" x14ac:dyDescent="0.25">
      <c r="A92" s="22">
        <f>Dataset!A311</f>
        <v>44831</v>
      </c>
      <c r="B92" s="51">
        <f>Dataset!E311</f>
        <v>-2.1004536721613176E-2</v>
      </c>
      <c r="C92" s="51">
        <f>Dataset!K311</f>
        <v>-9.8716683119447479E-3</v>
      </c>
      <c r="E92" s="8"/>
      <c r="L92" s="8"/>
      <c r="P92" s="8"/>
      <c r="T92" s="8"/>
      <c r="X92" s="8"/>
    </row>
    <row r="93" spans="1:24" hidden="1" x14ac:dyDescent="0.25">
      <c r="A93" s="22">
        <f>Dataset!A312</f>
        <v>44832</v>
      </c>
      <c r="B93" s="51">
        <f>Dataset!E312</f>
        <v>-1.9789570896144859E-4</v>
      </c>
      <c r="C93" s="51">
        <f>Dataset!K312</f>
        <v>-3.5775027857603003E-3</v>
      </c>
      <c r="E93" s="8"/>
      <c r="L93" s="8"/>
      <c r="P93" s="8"/>
      <c r="T93" s="8"/>
      <c r="X93" s="8"/>
    </row>
    <row r="94" spans="1:24" hidden="1" x14ac:dyDescent="0.25">
      <c r="A94" s="22">
        <f>Dataset!A313</f>
        <v>44833</v>
      </c>
      <c r="B94" s="51">
        <f>Dataset!E313</f>
        <v>-7.7304566797522511E-3</v>
      </c>
      <c r="C94" s="51">
        <f>Dataset!K313</f>
        <v>-6.5921130076516121E-3</v>
      </c>
      <c r="E94" s="8"/>
      <c r="L94" s="8"/>
      <c r="P94" s="8"/>
      <c r="T94" s="8"/>
      <c r="X94" s="8"/>
    </row>
    <row r="95" spans="1:24" hidden="1" x14ac:dyDescent="0.25">
      <c r="A95" s="22">
        <f>Dataset!A314</f>
        <v>44834</v>
      </c>
      <c r="B95" s="51">
        <f>Dataset!E314</f>
        <v>-2.0501795292344749E-3</v>
      </c>
      <c r="C95" s="51">
        <f>Dataset!K314</f>
        <v>2.1448038867164287E-2</v>
      </c>
      <c r="E95" s="8"/>
      <c r="L95" s="8"/>
      <c r="P95" s="8"/>
      <c r="T95" s="8"/>
      <c r="X95" s="8"/>
    </row>
    <row r="96" spans="1:24" hidden="1" x14ac:dyDescent="0.25">
      <c r="A96" s="22">
        <f>Dataset!A315</f>
        <v>44837</v>
      </c>
      <c r="B96" s="51">
        <f>Dataset!E315</f>
        <v>1.5807708964920009E-2</v>
      </c>
      <c r="C96" s="51">
        <f>Dataset!K315</f>
        <v>-1.5835266821345728E-2</v>
      </c>
      <c r="E96" s="8"/>
      <c r="L96" s="8"/>
      <c r="P96" s="8"/>
      <c r="T96" s="8"/>
      <c r="X96" s="8"/>
    </row>
    <row r="97" spans="1:24" hidden="1" x14ac:dyDescent="0.25">
      <c r="A97" s="22">
        <f>Dataset!A316</f>
        <v>44838</v>
      </c>
      <c r="B97" s="51">
        <f>Dataset!E316</f>
        <v>-1.3987504714428667E-2</v>
      </c>
      <c r="C97" s="51">
        <f>Dataset!K316</f>
        <v>2.2750044203453612E-2</v>
      </c>
      <c r="E97" s="8"/>
      <c r="L97" s="8"/>
      <c r="P97" s="8"/>
      <c r="T97" s="8"/>
      <c r="X97" s="8"/>
    </row>
    <row r="98" spans="1:24" hidden="1" x14ac:dyDescent="0.25">
      <c r="A98" s="22">
        <f>Dataset!A317</f>
        <v>44840</v>
      </c>
      <c r="B98" s="51">
        <f>Dataset!E317</f>
        <v>2.3621043295082744E-2</v>
      </c>
      <c r="C98" s="51">
        <f>Dataset!K317</f>
        <v>2.0515184694289257E-2</v>
      </c>
      <c r="E98" s="8"/>
      <c r="L98" s="8"/>
      <c r="P98" s="8"/>
      <c r="T98" s="8"/>
      <c r="X98" s="8"/>
    </row>
    <row r="99" spans="1:24" hidden="1" x14ac:dyDescent="0.25">
      <c r="A99" s="22">
        <f>Dataset!A318</f>
        <v>44841</v>
      </c>
      <c r="B99" s="51">
        <f>Dataset!E318</f>
        <v>5.2748157334647772E-3</v>
      </c>
      <c r="C99" s="51">
        <f>Dataset!K318</f>
        <v>-3.2751708170987159E-3</v>
      </c>
      <c r="E99" s="8"/>
      <c r="L99" s="8"/>
      <c r="P99" s="8"/>
      <c r="T99" s="8"/>
      <c r="X99" s="8"/>
    </row>
    <row r="100" spans="1:24" hidden="1" x14ac:dyDescent="0.25">
      <c r="A100" s="22">
        <f>Dataset!A319</f>
        <v>44844</v>
      </c>
      <c r="B100" s="51">
        <f>Dataset!E319</f>
        <v>-1.3629629629628992E-3</v>
      </c>
      <c r="C100" s="51">
        <f>Dataset!K319</f>
        <v>-9.0646422299012208E-4</v>
      </c>
      <c r="E100" s="8"/>
      <c r="L100" s="8"/>
      <c r="P100" s="8"/>
      <c r="T100" s="8"/>
      <c r="X100" s="8"/>
    </row>
    <row r="101" spans="1:24" hidden="1" x14ac:dyDescent="0.25">
      <c r="A101" s="22">
        <f>Dataset!A320</f>
        <v>44845</v>
      </c>
      <c r="B101" s="51">
        <f>Dataset!E320</f>
        <v>-5.5941566148069999E-3</v>
      </c>
      <c r="C101" s="51">
        <f>Dataset!K320</f>
        <v>-1.2645307626878322E-2</v>
      </c>
      <c r="E101" s="8"/>
      <c r="L101" s="8"/>
      <c r="P101" s="8"/>
      <c r="T101" s="8"/>
      <c r="X101" s="8"/>
    </row>
    <row r="102" spans="1:24" hidden="1" x14ac:dyDescent="0.25">
      <c r="A102" s="22">
        <f>Dataset!A321</f>
        <v>44846</v>
      </c>
      <c r="B102" s="51">
        <f>Dataset!E321</f>
        <v>-1.5509805517129216E-2</v>
      </c>
      <c r="C102" s="51">
        <f>Dataset!K321</f>
        <v>-2.5844245348035644E-3</v>
      </c>
      <c r="E102" s="8"/>
      <c r="L102" s="8"/>
      <c r="P102" s="8"/>
      <c r="T102" s="8"/>
      <c r="X102" s="8"/>
    </row>
    <row r="103" spans="1:24" hidden="1" x14ac:dyDescent="0.25">
      <c r="A103" s="22">
        <f>Dataset!A322</f>
        <v>44847</v>
      </c>
      <c r="B103" s="51">
        <f>Dataset!E322</f>
        <v>7.7255394652737674E-3</v>
      </c>
      <c r="C103" s="51">
        <f>Dataset!K322</f>
        <v>-1.6986238267979514E-2</v>
      </c>
      <c r="E103" s="8"/>
      <c r="L103" s="8"/>
      <c r="P103" s="8"/>
      <c r="T103" s="8"/>
      <c r="X103" s="8"/>
    </row>
    <row r="104" spans="1:24" hidden="1" x14ac:dyDescent="0.25">
      <c r="A104" s="22">
        <f>Dataset!A323</f>
        <v>44848</v>
      </c>
      <c r="B104" s="51">
        <f>Dataset!E323</f>
        <v>-6.9499885169347353E-3</v>
      </c>
      <c r="C104" s="51">
        <f>Dataset!K323</f>
        <v>1.9505623242736636E-2</v>
      </c>
      <c r="E104" s="8"/>
      <c r="L104" s="8"/>
      <c r="P104" s="8"/>
      <c r="T104" s="8"/>
      <c r="X104" s="8"/>
    </row>
    <row r="105" spans="1:24" hidden="1" x14ac:dyDescent="0.25">
      <c r="A105" s="22">
        <f>Dataset!A324</f>
        <v>44851</v>
      </c>
      <c r="B105" s="51">
        <f>Dataset!E324</f>
        <v>6.4700149223322345E-3</v>
      </c>
      <c r="C105" s="51">
        <f>Dataset!K324</f>
        <v>1.7178971559896672E-2</v>
      </c>
      <c r="E105" s="8"/>
      <c r="L105" s="8"/>
      <c r="P105" s="8"/>
      <c r="T105" s="8"/>
      <c r="X105" s="8"/>
    </row>
    <row r="106" spans="1:24" hidden="1" x14ac:dyDescent="0.25">
      <c r="A106" s="22">
        <f>Dataset!A325</f>
        <v>44852</v>
      </c>
      <c r="B106" s="51">
        <f>Dataset!E325</f>
        <v>6.5925528771979547E-3</v>
      </c>
      <c r="C106" s="51">
        <f>Dataset!K325</f>
        <v>1.3217352010844952E-2</v>
      </c>
      <c r="E106" s="8"/>
      <c r="L106" s="8"/>
      <c r="P106" s="8"/>
      <c r="T106" s="8"/>
      <c r="X106" s="8"/>
    </row>
    <row r="107" spans="1:24" hidden="1" x14ac:dyDescent="0.25">
      <c r="A107" s="22">
        <f>Dataset!A326</f>
        <v>44853</v>
      </c>
      <c r="B107" s="51">
        <f>Dataset!E326</f>
        <v>1.0381168234712135E-2</v>
      </c>
      <c r="C107" s="51">
        <f>Dataset!K326</f>
        <v>-5.3517671981268E-3</v>
      </c>
      <c r="E107" s="8"/>
      <c r="L107" s="8"/>
      <c r="P107" s="8"/>
      <c r="T107" s="8"/>
      <c r="X107" s="8"/>
    </row>
    <row r="108" spans="1:24" hidden="1" x14ac:dyDescent="0.25">
      <c r="A108" s="22">
        <f>Dataset!A327</f>
        <v>44854</v>
      </c>
      <c r="B108" s="51">
        <f>Dataset!E327</f>
        <v>1.0597266228073998E-3</v>
      </c>
      <c r="C108" s="51">
        <f>Dataset!K327</f>
        <v>-3.8672794529761578E-3</v>
      </c>
      <c r="E108" s="8"/>
      <c r="L108" s="8"/>
      <c r="P108" s="8"/>
      <c r="T108" s="8"/>
      <c r="X108" s="8"/>
    </row>
    <row r="109" spans="1:24" hidden="1" x14ac:dyDescent="0.25">
      <c r="A109" s="22">
        <f>Dataset!A328</f>
        <v>44855</v>
      </c>
      <c r="B109" s="51">
        <f>Dataset!E328</f>
        <v>3.2456715423387905E-3</v>
      </c>
      <c r="C109" s="51">
        <f>Dataset!K328</f>
        <v>2.0818094862994352E-2</v>
      </c>
      <c r="E109" s="8"/>
      <c r="L109" s="8"/>
      <c r="P109" s="8"/>
      <c r="T109" s="8"/>
      <c r="X109" s="8"/>
    </row>
    <row r="110" spans="1:24" hidden="1" x14ac:dyDescent="0.25">
      <c r="A110" s="22">
        <f>Dataset!A329</f>
        <v>44858</v>
      </c>
      <c r="B110" s="51">
        <f>Dataset!E329</f>
        <v>-1.880041564451651E-3</v>
      </c>
      <c r="C110" s="51">
        <f>Dataset!K329</f>
        <v>2.1110069999448866E-2</v>
      </c>
      <c r="E110" s="8"/>
      <c r="L110" s="8"/>
      <c r="P110" s="8"/>
      <c r="T110" s="8"/>
      <c r="X110" s="8"/>
    </row>
    <row r="111" spans="1:24" hidden="1" x14ac:dyDescent="0.25">
      <c r="A111" s="22">
        <f>Dataset!A330</f>
        <v>44859</v>
      </c>
      <c r="B111" s="51">
        <f>Dataset!E330</f>
        <v>7.6201924366907647E-3</v>
      </c>
      <c r="C111" s="51">
        <f>Dataset!K330</f>
        <v>-1.3494548202526158E-3</v>
      </c>
      <c r="E111" s="8"/>
      <c r="L111" s="8"/>
      <c r="P111" s="8"/>
      <c r="T111" s="8"/>
      <c r="X111" s="8"/>
    </row>
    <row r="112" spans="1:24" hidden="1" x14ac:dyDescent="0.25">
      <c r="A112" s="22">
        <f>Dataset!A331</f>
        <v>44861</v>
      </c>
      <c r="B112" s="51">
        <f>Dataset!E331</f>
        <v>-2.5403824953267318E-3</v>
      </c>
      <c r="C112" s="51">
        <f>Dataset!K331</f>
        <v>-7.0266472082591847E-4</v>
      </c>
      <c r="E112" s="8"/>
      <c r="L112" s="8"/>
      <c r="P112" s="8"/>
      <c r="T112" s="8"/>
      <c r="X112" s="8"/>
    </row>
    <row r="113" spans="1:24" hidden="1" x14ac:dyDescent="0.25">
      <c r="A113" s="22">
        <f>Dataset!A332</f>
        <v>44862</v>
      </c>
      <c r="B113" s="51">
        <f>Dataset!E332</f>
        <v>5.7344225532596216E-3</v>
      </c>
      <c r="C113" s="51">
        <f>Dataset!K332</f>
        <v>-1.7903504976200746E-2</v>
      </c>
      <c r="E113" s="8"/>
      <c r="L113" s="8"/>
      <c r="P113" s="8"/>
      <c r="T113" s="8"/>
      <c r="X113" s="8"/>
    </row>
    <row r="114" spans="1:24" hidden="1" x14ac:dyDescent="0.25">
      <c r="A114" s="22">
        <f>Dataset!A333</f>
        <v>44865</v>
      </c>
      <c r="B114" s="51">
        <f>Dataset!E333</f>
        <v>6.7422649763204667E-4</v>
      </c>
      <c r="C114" s="51">
        <f>Dataset!K333</f>
        <v>9.3627801949658362E-4</v>
      </c>
      <c r="E114" s="8"/>
      <c r="L114" s="8"/>
      <c r="P114" s="8"/>
      <c r="T114" s="8"/>
      <c r="X114" s="8"/>
    </row>
    <row r="115" spans="1:24" hidden="1" x14ac:dyDescent="0.25">
      <c r="A115" s="22">
        <f>Dataset!A334</f>
        <v>44866</v>
      </c>
      <c r="B115" s="51">
        <f>Dataset!E334</f>
        <v>1.2716787538927576E-2</v>
      </c>
      <c r="C115" s="51">
        <f>Dataset!K334</f>
        <v>-1.1004732034780584E-4</v>
      </c>
      <c r="E115" s="8"/>
      <c r="L115" s="8"/>
      <c r="P115" s="8"/>
      <c r="T115" s="8"/>
      <c r="X115" s="8"/>
    </row>
    <row r="116" spans="1:24" hidden="1" x14ac:dyDescent="0.25">
      <c r="A116" s="22">
        <f>Dataset!A335</f>
        <v>44867</v>
      </c>
      <c r="B116" s="51">
        <f>Dataset!E335</f>
        <v>7.7951468924184475E-3</v>
      </c>
      <c r="C116" s="51">
        <f>Dataset!K335</f>
        <v>-4.2923178516398597E-3</v>
      </c>
      <c r="E116" s="8"/>
      <c r="L116" s="8"/>
      <c r="P116" s="8"/>
      <c r="T116" s="8"/>
      <c r="X116" s="8"/>
    </row>
    <row r="117" spans="1:24" hidden="1" x14ac:dyDescent="0.25">
      <c r="A117" s="22">
        <f>Dataset!A336</f>
        <v>44868</v>
      </c>
      <c r="B117" s="51">
        <f>Dataset!E336</f>
        <v>-2.9889383291055172E-3</v>
      </c>
      <c r="C117" s="51">
        <f>Dataset!K336</f>
        <v>4.3660882060350126E-3</v>
      </c>
      <c r="E117" s="8"/>
      <c r="L117" s="8"/>
      <c r="P117" s="8"/>
      <c r="T117" s="8"/>
      <c r="X117" s="8"/>
    </row>
    <row r="118" spans="1:24" hidden="1" x14ac:dyDescent="0.25">
      <c r="A118" s="22">
        <f>Dataset!A337</f>
        <v>44869</v>
      </c>
      <c r="B118" s="51">
        <f>Dataset!E337</f>
        <v>-7.6120562457959728E-4</v>
      </c>
      <c r="C118" s="51">
        <f>Dataset!K337</f>
        <v>-3.6867880922247798E-3</v>
      </c>
      <c r="E118" s="8"/>
      <c r="L118" s="8"/>
      <c r="P118" s="8"/>
      <c r="T118" s="8"/>
      <c r="X118" s="8"/>
    </row>
    <row r="119" spans="1:24" hidden="1" x14ac:dyDescent="0.25">
      <c r="A119" s="22">
        <f>Dataset!A338</f>
        <v>44872</v>
      </c>
      <c r="B119" s="51">
        <f>Dataset!E338</f>
        <v>2.7340794657066958E-3</v>
      </c>
      <c r="C119" s="51">
        <f>Dataset!K338</f>
        <v>1.3476195736220165E-2</v>
      </c>
      <c r="E119" s="8"/>
      <c r="L119" s="8"/>
      <c r="P119" s="8"/>
      <c r="T119" s="8"/>
      <c r="X119" s="8"/>
    </row>
    <row r="120" spans="1:24" hidden="1" x14ac:dyDescent="0.25">
      <c r="A120" s="22">
        <f>Dataset!A339</f>
        <v>44874</v>
      </c>
      <c r="B120" s="51">
        <f>Dataset!E339</f>
        <v>5.2451100276305063E-3</v>
      </c>
      <c r="C120" s="51">
        <f>Dataset!K339</f>
        <v>-7.629427792915533E-3</v>
      </c>
      <c r="E120" s="8"/>
      <c r="L120" s="8"/>
      <c r="P120" s="8"/>
      <c r="T120" s="8"/>
      <c r="X120" s="8"/>
    </row>
    <row r="121" spans="1:24" hidden="1" x14ac:dyDescent="0.25">
      <c r="A121" s="22">
        <f>Dataset!A340</f>
        <v>44875</v>
      </c>
      <c r="B121" s="51">
        <f>Dataset!E340</f>
        <v>-3.0229777365972099E-3</v>
      </c>
      <c r="C121" s="51">
        <f>Dataset!K340</f>
        <v>2.1965952773217445E-4</v>
      </c>
      <c r="E121" s="8"/>
      <c r="L121" s="8"/>
      <c r="P121" s="8"/>
      <c r="T121" s="8"/>
      <c r="X121" s="8"/>
    </row>
    <row r="122" spans="1:24" hidden="1" x14ac:dyDescent="0.25">
      <c r="A122" s="22">
        <f>Dataset!A341</f>
        <v>44876</v>
      </c>
      <c r="B122" s="51">
        <f>Dataset!E341</f>
        <v>-8.0736021764977739E-3</v>
      </c>
      <c r="C122" s="51">
        <f>Dataset!K341</f>
        <v>-4.5569342264193402E-3</v>
      </c>
      <c r="E122" s="8"/>
      <c r="L122" s="8"/>
      <c r="P122" s="8"/>
      <c r="T122" s="8"/>
      <c r="X122" s="8"/>
    </row>
    <row r="123" spans="1:24" hidden="1" x14ac:dyDescent="0.25">
      <c r="A123" s="22">
        <f>Dataset!A342</f>
        <v>44879</v>
      </c>
      <c r="B123" s="51">
        <f>Dataset!E342</f>
        <v>1.4729282693354717E-2</v>
      </c>
      <c r="C123" s="51">
        <f>Dataset!K342</f>
        <v>-1.2795764160829393E-2</v>
      </c>
      <c r="E123" s="8"/>
      <c r="L123" s="8"/>
      <c r="P123" s="8"/>
      <c r="T123" s="8"/>
      <c r="X123" s="8"/>
    </row>
    <row r="124" spans="1:24" hidden="1" x14ac:dyDescent="0.25">
      <c r="A124" s="22">
        <f>Dataset!A343</f>
        <v>44880</v>
      </c>
      <c r="B124" s="51">
        <f>Dataset!E343</f>
        <v>-1.6506587159936803E-4</v>
      </c>
      <c r="C124" s="51">
        <f>Dataset!K343</f>
        <v>1.8716129392703396E-2</v>
      </c>
      <c r="E124" s="8"/>
      <c r="L124" s="8"/>
      <c r="P124" s="8"/>
      <c r="T124" s="8"/>
      <c r="X124" s="8"/>
    </row>
    <row r="125" spans="1:24" hidden="1" x14ac:dyDescent="0.25">
      <c r="A125" s="22">
        <f>Dataset!A344</f>
        <v>44881</v>
      </c>
      <c r="B125" s="51">
        <f>Dataset!E344</f>
        <v>3.1780426146623686E-3</v>
      </c>
      <c r="C125" s="51">
        <f>Dataset!K344</f>
        <v>2.0840188658550751E-3</v>
      </c>
      <c r="E125" s="8"/>
      <c r="L125" s="8"/>
      <c r="P125" s="8"/>
      <c r="T125" s="8"/>
      <c r="X125" s="8"/>
    </row>
    <row r="126" spans="1:24" hidden="1" x14ac:dyDescent="0.25">
      <c r="A126" s="22">
        <f>Dataset!A345</f>
        <v>44882</v>
      </c>
      <c r="B126" s="51">
        <f>Dataset!E345</f>
        <v>-1.7537002561122117E-3</v>
      </c>
      <c r="C126" s="51">
        <f>Dataset!K345</f>
        <v>6.7863397548160176E-3</v>
      </c>
      <c r="E126" s="8"/>
      <c r="L126" s="8"/>
      <c r="P126" s="8"/>
      <c r="T126" s="8"/>
      <c r="X126" s="8"/>
    </row>
    <row r="127" spans="1:24" hidden="1" x14ac:dyDescent="0.25">
      <c r="A127" s="22">
        <f>Dataset!A346</f>
        <v>44883</v>
      </c>
      <c r="B127" s="51">
        <f>Dataset!E346</f>
        <v>-4.4048324360526081E-3</v>
      </c>
      <c r="C127" s="51">
        <f>Dataset!K346</f>
        <v>5.9795607740831258E-4</v>
      </c>
      <c r="E127" s="8"/>
      <c r="L127" s="8"/>
      <c r="P127" s="8"/>
      <c r="T127" s="8"/>
      <c r="X127" s="8"/>
    </row>
    <row r="128" spans="1:24" hidden="1" x14ac:dyDescent="0.25">
      <c r="A128" s="22">
        <f>Dataset!A347</f>
        <v>44886</v>
      </c>
      <c r="B128" s="51">
        <f>Dataset!E347</f>
        <v>-2.949547218628723E-3</v>
      </c>
      <c r="C128" s="51">
        <f>Dataset!K347</f>
        <v>1.1408703210733506E-3</v>
      </c>
      <c r="E128" s="8"/>
      <c r="L128" s="8"/>
      <c r="P128" s="8"/>
      <c r="T128" s="8"/>
      <c r="X128" s="8"/>
    </row>
    <row r="129" spans="1:24" hidden="1" x14ac:dyDescent="0.25">
      <c r="A129" s="22">
        <f>Dataset!A348</f>
        <v>44887</v>
      </c>
      <c r="B129" s="51">
        <f>Dataset!E348</f>
        <v>-7.105044633589408E-3</v>
      </c>
      <c r="C129" s="51">
        <f>Dataset!K348</f>
        <v>2.4962014326026516E-3</v>
      </c>
      <c r="E129" s="8"/>
      <c r="L129" s="8"/>
      <c r="P129" s="8"/>
      <c r="T129" s="8"/>
      <c r="X129" s="8"/>
    </row>
    <row r="130" spans="1:24" hidden="1" x14ac:dyDescent="0.25">
      <c r="A130" s="22">
        <f>Dataset!A349</f>
        <v>44888</v>
      </c>
      <c r="B130" s="51">
        <f>Dataset!E349</f>
        <v>4.1607644097831908E-3</v>
      </c>
      <c r="C130" s="51">
        <f>Dataset!K349</f>
        <v>4.0597596622280463E-3</v>
      </c>
      <c r="E130" s="8"/>
      <c r="L130" s="8"/>
      <c r="P130" s="8"/>
      <c r="T130" s="8"/>
      <c r="X130" s="8"/>
    </row>
    <row r="131" spans="1:24" hidden="1" x14ac:dyDescent="0.25">
      <c r="A131" s="22">
        <f>Dataset!A350</f>
        <v>44889</v>
      </c>
      <c r="B131" s="51">
        <f>Dataset!E350</f>
        <v>1.5720405815509153E-3</v>
      </c>
      <c r="C131" s="51">
        <f>Dataset!K350</f>
        <v>1.2291767750282956E-2</v>
      </c>
      <c r="E131" s="8"/>
      <c r="L131" s="8"/>
      <c r="P131" s="8"/>
      <c r="T131" s="8"/>
      <c r="X131" s="8"/>
    </row>
    <row r="132" spans="1:24" hidden="1" x14ac:dyDescent="0.25">
      <c r="A132" s="22">
        <f>Dataset!A351</f>
        <v>44890</v>
      </c>
      <c r="B132" s="51">
        <f>Dataset!E351</f>
        <v>9.7396691422957371E-3</v>
      </c>
      <c r="C132" s="51">
        <f>Dataset!K351</f>
        <v>-9.1068860840390897E-3</v>
      </c>
      <c r="E132" s="8"/>
      <c r="L132" s="8"/>
      <c r="P132" s="8"/>
      <c r="T132" s="8"/>
      <c r="X132" s="8"/>
    </row>
    <row r="133" spans="1:24" hidden="1" x14ac:dyDescent="0.25">
      <c r="A133" s="22">
        <f>Dataset!A352</f>
        <v>44893</v>
      </c>
      <c r="B133" s="51">
        <f>Dataset!E352</f>
        <v>2.3522387445118476E-3</v>
      </c>
      <c r="C133" s="51">
        <f>Dataset!K352</f>
        <v>7.6319466838654648E-3</v>
      </c>
      <c r="E133" s="8"/>
      <c r="L133" s="8"/>
      <c r="P133" s="8"/>
      <c r="T133" s="8"/>
      <c r="X133" s="8"/>
    </row>
    <row r="134" spans="1:24" hidden="1" x14ac:dyDescent="0.25">
      <c r="A134" s="22">
        <f>Dataset!A353</f>
        <v>44894</v>
      </c>
      <c r="B134" s="51">
        <f>Dataset!E353</f>
        <v>3.0142754441819797E-3</v>
      </c>
      <c r="C134" s="51">
        <f>Dataset!K353</f>
        <v>9.9743972690420346E-3</v>
      </c>
      <c r="E134" s="8"/>
      <c r="L134" s="8"/>
      <c r="P134" s="8"/>
      <c r="T134" s="8"/>
      <c r="X134" s="8"/>
    </row>
    <row r="135" spans="1:24" hidden="1" x14ac:dyDescent="0.25">
      <c r="A135" s="22">
        <f>Dataset!A354</f>
        <v>44895</v>
      </c>
      <c r="B135" s="51">
        <f>Dataset!E354</f>
        <v>2.3191878234960495E-3</v>
      </c>
      <c r="C135" s="51">
        <f>Dataset!K354</f>
        <v>6.4959070504355676E-3</v>
      </c>
      <c r="E135" s="8"/>
      <c r="L135" s="8"/>
      <c r="P135" s="8"/>
      <c r="T135" s="8"/>
      <c r="X135" s="8"/>
    </row>
    <row r="136" spans="1:24" hidden="1" x14ac:dyDescent="0.25">
      <c r="A136" s="22">
        <f>Dataset!A355</f>
        <v>44896</v>
      </c>
      <c r="B136" s="51">
        <f>Dataset!E355</f>
        <v>8.9437123301663313E-3</v>
      </c>
      <c r="C136" s="51">
        <f>Dataset!K355</f>
        <v>-1.3327736383670796E-2</v>
      </c>
      <c r="E136" s="8"/>
      <c r="L136" s="8"/>
      <c r="P136" s="8"/>
      <c r="T136" s="8"/>
      <c r="X136" s="8"/>
    </row>
    <row r="137" spans="1:24" hidden="1" x14ac:dyDescent="0.25">
      <c r="A137" s="22">
        <f>Dataset!A356</f>
        <v>44897</v>
      </c>
      <c r="B137" s="51">
        <f>Dataset!E356</f>
        <v>3.4374351367634226E-3</v>
      </c>
      <c r="C137" s="51">
        <f>Dataset!K356</f>
        <v>-1.0210593490746711E-2</v>
      </c>
      <c r="E137" s="8"/>
      <c r="L137" s="8"/>
      <c r="P137" s="8"/>
      <c r="T137" s="8"/>
      <c r="X137" s="8"/>
    </row>
    <row r="138" spans="1:24" hidden="1" x14ac:dyDescent="0.25">
      <c r="A138" s="22">
        <f>Dataset!A357</f>
        <v>44900</v>
      </c>
      <c r="B138" s="51">
        <f>Dataset!E357</f>
        <v>-3.6375561273396251E-3</v>
      </c>
      <c r="C138" s="51">
        <f>Dataset!K357</f>
        <v>3.2237266279819821E-3</v>
      </c>
      <c r="E138" s="8"/>
      <c r="L138" s="8"/>
      <c r="P138" s="8"/>
      <c r="T138" s="8"/>
      <c r="X138" s="8"/>
    </row>
    <row r="139" spans="1:24" hidden="1" x14ac:dyDescent="0.25">
      <c r="A139" s="22">
        <f>Dataset!A358</f>
        <v>44901</v>
      </c>
      <c r="B139" s="51">
        <f>Dataset!E358</f>
        <v>1.9241578011941485E-4</v>
      </c>
      <c r="C139" s="51">
        <f>Dataset!K358</f>
        <v>-1.1728791773778946E-2</v>
      </c>
      <c r="E139" s="8"/>
      <c r="L139" s="8"/>
      <c r="P139" s="8"/>
      <c r="T139" s="8"/>
      <c r="X139" s="8"/>
    </row>
    <row r="140" spans="1:24" hidden="1" x14ac:dyDescent="0.25">
      <c r="A140" s="22">
        <f>Dataset!A359</f>
        <v>44902</v>
      </c>
      <c r="B140" s="51">
        <f>Dataset!E359</f>
        <v>-2.7236782819562988E-3</v>
      </c>
      <c r="C140" s="51">
        <f>Dataset!K359</f>
        <v>-5.419173034194591E-4</v>
      </c>
      <c r="E140" s="8"/>
      <c r="L140" s="8"/>
      <c r="P140" s="8"/>
      <c r="T140" s="8"/>
      <c r="X140" s="8"/>
    </row>
    <row r="141" spans="1:24" hidden="1" x14ac:dyDescent="0.25">
      <c r="A141" s="22">
        <f>Dataset!A360</f>
        <v>44903</v>
      </c>
      <c r="B141" s="51">
        <f>Dataset!E360</f>
        <v>-3.8631598718711357E-3</v>
      </c>
      <c r="C141" s="51">
        <f>Dataset!K360</f>
        <v>1.0573117171826629E-2</v>
      </c>
      <c r="E141" s="8"/>
      <c r="L141" s="8"/>
      <c r="P141" s="8"/>
      <c r="T141" s="8"/>
      <c r="X141" s="8"/>
    </row>
    <row r="142" spans="1:24" hidden="1" x14ac:dyDescent="0.25">
      <c r="A142" s="22">
        <f>Dataset!A361</f>
        <v>44904</v>
      </c>
      <c r="B142" s="51">
        <f>Dataset!E361</f>
        <v>3.0016103716086207E-3</v>
      </c>
      <c r="C142" s="51">
        <f>Dataset!K361</f>
        <v>-2.1461530207104174E-3</v>
      </c>
      <c r="E142" s="8"/>
      <c r="L142" s="8"/>
      <c r="P142" s="8"/>
      <c r="T142" s="8"/>
      <c r="X142" s="8"/>
    </row>
    <row r="143" spans="1:24" hidden="1" x14ac:dyDescent="0.25">
      <c r="A143" s="22">
        <f>Dataset!A362</f>
        <v>44907</v>
      </c>
      <c r="B143" s="51">
        <f>Dataset!E362</f>
        <v>-5.8125060335235679E-3</v>
      </c>
      <c r="C143" s="51">
        <f>Dataset!K362</f>
        <v>4.3015377997623894E-4</v>
      </c>
      <c r="E143" s="8"/>
      <c r="L143" s="8"/>
      <c r="P143" s="8"/>
      <c r="T143" s="8"/>
      <c r="X143" s="8"/>
    </row>
    <row r="144" spans="1:24" hidden="1" x14ac:dyDescent="0.25">
      <c r="A144" s="22">
        <f>Dataset!A363</f>
        <v>44908</v>
      </c>
      <c r="B144" s="51">
        <f>Dataset!E363</f>
        <v>6.0815748723652696E-4</v>
      </c>
      <c r="C144" s="51">
        <f>Dataset!K363</f>
        <v>2.8485434805978205E-3</v>
      </c>
      <c r="E144" s="8"/>
      <c r="L144" s="8"/>
      <c r="P144" s="8"/>
      <c r="T144" s="8"/>
      <c r="X144" s="8"/>
    </row>
    <row r="145" spans="1:24" hidden="1" x14ac:dyDescent="0.25">
      <c r="A145" s="22">
        <f>Dataset!A364</f>
        <v>44909</v>
      </c>
      <c r="B145" s="51">
        <f>Dataset!E364</f>
        <v>4.9338073057121345E-3</v>
      </c>
      <c r="C145" s="51">
        <f>Dataset!K364</f>
        <v>-1.2004930596494989E-2</v>
      </c>
      <c r="E145" s="8"/>
      <c r="L145" s="8"/>
      <c r="P145" s="8"/>
      <c r="T145" s="8"/>
      <c r="X145" s="8"/>
    </row>
    <row r="146" spans="1:24" hidden="1" x14ac:dyDescent="0.25">
      <c r="A146" s="22">
        <f>Dataset!A365</f>
        <v>44910</v>
      </c>
      <c r="B146" s="51">
        <f>Dataset!E365</f>
        <v>3.3492920237043755E-3</v>
      </c>
      <c r="C146" s="51">
        <f>Dataset!K365</f>
        <v>-1.4049362625440764E-2</v>
      </c>
      <c r="E146" s="8"/>
      <c r="L146" s="8"/>
      <c r="P146" s="8"/>
      <c r="T146" s="8"/>
      <c r="X146" s="8"/>
    </row>
    <row r="147" spans="1:24" hidden="1" x14ac:dyDescent="0.25">
      <c r="A147" s="22">
        <f>Dataset!A366</f>
        <v>44911</v>
      </c>
      <c r="B147" s="51">
        <f>Dataset!E366</f>
        <v>-1.2070895616892119E-2</v>
      </c>
      <c r="C147" s="51">
        <f>Dataset!K366</f>
        <v>-7.4823943661971315E-3</v>
      </c>
      <c r="E147" s="8"/>
      <c r="L147" s="8"/>
      <c r="P147" s="8"/>
      <c r="T147" s="8"/>
      <c r="X147" s="8"/>
    </row>
    <row r="148" spans="1:24" hidden="1" x14ac:dyDescent="0.25">
      <c r="A148" s="22">
        <f>Dataset!A367</f>
        <v>44914</v>
      </c>
      <c r="B148" s="51">
        <f>Dataset!E367</f>
        <v>-9.4701436672580686E-3</v>
      </c>
      <c r="C148" s="51">
        <f>Dataset!K367</f>
        <v>4.933481152993302E-3</v>
      </c>
      <c r="E148" s="8"/>
      <c r="L148" s="8"/>
      <c r="P148" s="8"/>
      <c r="T148" s="8"/>
      <c r="X148" s="8"/>
    </row>
    <row r="149" spans="1:24" hidden="1" x14ac:dyDescent="0.25">
      <c r="A149" s="22">
        <f>Dataset!A368</f>
        <v>44915</v>
      </c>
      <c r="B149" s="51">
        <f>Dataset!E368</f>
        <v>8.1889568138642232E-3</v>
      </c>
      <c r="C149" s="51">
        <f>Dataset!K368</f>
        <v>3.5854156324122144E-3</v>
      </c>
      <c r="E149" s="8"/>
      <c r="L149" s="8"/>
      <c r="P149" s="8"/>
      <c r="T149" s="8"/>
      <c r="X149" s="8"/>
    </row>
    <row r="150" spans="1:24" hidden="1" x14ac:dyDescent="0.25">
      <c r="A150" s="22">
        <f>Dataset!A369</f>
        <v>44916</v>
      </c>
      <c r="B150" s="51">
        <f>Dataset!E369</f>
        <v>-1.879149145911474E-3</v>
      </c>
      <c r="C150" s="51">
        <f>Dataset!K369</f>
        <v>-1.9182147960866258E-2</v>
      </c>
      <c r="E150" s="8"/>
      <c r="L150" s="8"/>
      <c r="P150" s="8"/>
      <c r="T150" s="8"/>
      <c r="X150" s="8"/>
    </row>
    <row r="151" spans="1:24" hidden="1" x14ac:dyDescent="0.25">
      <c r="A151" s="22">
        <f>Dataset!A370</f>
        <v>44917</v>
      </c>
      <c r="B151" s="51">
        <f>Dataset!E370</f>
        <v>-1.1841381048646404E-2</v>
      </c>
      <c r="C151" s="51">
        <f>Dataset!K370</f>
        <v>-1.7932193891846415E-3</v>
      </c>
      <c r="E151" s="8"/>
      <c r="L151" s="8"/>
      <c r="P151" s="8"/>
      <c r="T151" s="8"/>
      <c r="X151" s="8"/>
    </row>
    <row r="152" spans="1:24" hidden="1" x14ac:dyDescent="0.25">
      <c r="A152" s="22">
        <f>Dataset!A371</f>
        <v>44918</v>
      </c>
      <c r="B152" s="51">
        <f>Dataset!E371</f>
        <v>-5.0598383142199665E-3</v>
      </c>
      <c r="C152" s="51">
        <f>Dataset!K371</f>
        <v>-1.319261213720313E-2</v>
      </c>
      <c r="E152" s="8"/>
      <c r="L152" s="8"/>
      <c r="P152" s="8"/>
      <c r="T152" s="8"/>
      <c r="X152" s="8"/>
    </row>
    <row r="153" spans="1:24" hidden="1" x14ac:dyDescent="0.25">
      <c r="A153" s="22">
        <f>Dataset!A372</f>
        <v>44921</v>
      </c>
      <c r="B153" s="51">
        <f>Dataset!E372</f>
        <v>-2.3392577787776925E-2</v>
      </c>
      <c r="C153" s="51">
        <f>Dataset!K372</f>
        <v>1.6270337922403177E-2</v>
      </c>
      <c r="E153" s="8"/>
      <c r="L153" s="8"/>
      <c r="P153" s="8"/>
      <c r="T153" s="8"/>
      <c r="X153" s="8"/>
    </row>
    <row r="154" spans="1:24" hidden="1" x14ac:dyDescent="0.25">
      <c r="A154" s="22">
        <f>Dataset!A373</f>
        <v>44922</v>
      </c>
      <c r="B154" s="51">
        <f>Dataset!E373</f>
        <v>1.5456074746327486E-2</v>
      </c>
      <c r="C154" s="51">
        <f>Dataset!K373</f>
        <v>8.3407971339004572E-3</v>
      </c>
      <c r="E154" s="8"/>
      <c r="L154" s="8"/>
      <c r="P154" s="8"/>
      <c r="T154" s="8"/>
      <c r="X154" s="8"/>
    </row>
    <row r="155" spans="1:24" hidden="1" x14ac:dyDescent="0.25">
      <c r="A155" s="22">
        <f>Dataset!A374</f>
        <v>44923</v>
      </c>
      <c r="B155" s="51">
        <f>Dataset!E374</f>
        <v>7.4653244910125593E-3</v>
      </c>
      <c r="C155" s="51">
        <f>Dataset!K374</f>
        <v>-1.8875256759006698E-3</v>
      </c>
      <c r="E155" s="8"/>
      <c r="L155" s="8"/>
      <c r="P155" s="8"/>
      <c r="T155" s="8"/>
      <c r="X155" s="8"/>
    </row>
    <row r="156" spans="1:24" hidden="1" x14ac:dyDescent="0.25">
      <c r="A156" s="22">
        <f>Dataset!A375</f>
        <v>44924</v>
      </c>
      <c r="B156" s="51">
        <f>Dataset!E375</f>
        <v>5.1843860953715293E-4</v>
      </c>
      <c r="C156" s="51">
        <f>Dataset!K375</f>
        <v>1.0122921185827805E-2</v>
      </c>
      <c r="E156" s="8"/>
      <c r="L156" s="8"/>
      <c r="P156" s="8"/>
      <c r="T156" s="8"/>
      <c r="X156" s="8"/>
    </row>
    <row r="157" spans="1:24" hidden="1" x14ac:dyDescent="0.25">
      <c r="A157" s="22">
        <f>Dataset!A376</f>
        <v>44925</v>
      </c>
      <c r="B157" s="51">
        <f>Dataset!E376</f>
        <v>3.5748493904959044E-3</v>
      </c>
      <c r="C157" s="51">
        <f>Dataset!K376</f>
        <v>-1.8941688233026777E-2</v>
      </c>
      <c r="E157" s="8"/>
      <c r="L157" s="8"/>
      <c r="P157" s="8"/>
      <c r="T157" s="8"/>
      <c r="X157" s="8"/>
    </row>
    <row r="158" spans="1:24" hidden="1" x14ac:dyDescent="0.25">
      <c r="A158" s="22">
        <f>Dataset!A377</f>
        <v>44928</v>
      </c>
      <c r="B158" s="51">
        <f>Dataset!E377</f>
        <v>-3.3952226974026667E-3</v>
      </c>
      <c r="C158" s="51">
        <f>Dataset!K377</f>
        <v>1.3021271819049218E-2</v>
      </c>
      <c r="E158" s="8"/>
      <c r="L158" s="8"/>
      <c r="P158" s="8"/>
      <c r="T158" s="8"/>
      <c r="X158" s="8"/>
    </row>
    <row r="159" spans="1:24" hidden="1" x14ac:dyDescent="0.25">
      <c r="A159" s="22">
        <f>Dataset!A378</f>
        <v>44929</v>
      </c>
      <c r="B159" s="51">
        <f>Dataset!E378</f>
        <v>4.7412462255806975E-3</v>
      </c>
      <c r="C159" s="51">
        <f>Dataset!K378</f>
        <v>-1.2189040944097229E-3</v>
      </c>
      <c r="E159" s="8"/>
      <c r="L159" s="8"/>
      <c r="P159" s="8"/>
      <c r="T159" s="8"/>
      <c r="X159" s="8"/>
    </row>
    <row r="160" spans="1:24" hidden="1" x14ac:dyDescent="0.25">
      <c r="A160" s="22">
        <f>Dataset!A379</f>
        <v>44930</v>
      </c>
      <c r="B160" s="51">
        <f>Dataset!E379</f>
        <v>2.3021432849814616E-3</v>
      </c>
      <c r="C160" s="51">
        <f>Dataset!K379</f>
        <v>-2.4962556165751826E-3</v>
      </c>
      <c r="E160" s="8"/>
      <c r="L160" s="8"/>
      <c r="P160" s="8"/>
      <c r="T160" s="8"/>
      <c r="X160" s="8"/>
    </row>
    <row r="161" spans="1:24" hidden="1" x14ac:dyDescent="0.25">
      <c r="A161" s="22">
        <f>Dataset!A380</f>
        <v>44931</v>
      </c>
      <c r="B161" s="51">
        <f>Dataset!E380</f>
        <v>-1.1068557501935694E-2</v>
      </c>
      <c r="C161" s="51">
        <f>Dataset!K380</f>
        <v>-2.2188855522188855E-2</v>
      </c>
      <c r="E161" s="8"/>
      <c r="L161" s="8"/>
      <c r="P161" s="8"/>
      <c r="T161" s="8"/>
      <c r="X161" s="8"/>
    </row>
    <row r="162" spans="1:24" hidden="1" x14ac:dyDescent="0.25">
      <c r="A162" s="22">
        <f>Dataset!A381</f>
        <v>44932</v>
      </c>
      <c r="B162" s="51">
        <f>Dataset!E381</f>
        <v>-4.7817473871181182E-4</v>
      </c>
      <c r="C162" s="51">
        <f>Dataset!K381</f>
        <v>-1.029403401012341E-2</v>
      </c>
      <c r="E162" s="8"/>
      <c r="L162" s="8"/>
      <c r="P162" s="8"/>
      <c r="T162" s="8"/>
      <c r="X162" s="8"/>
    </row>
    <row r="163" spans="1:24" hidden="1" x14ac:dyDescent="0.25">
      <c r="A163" s="22">
        <f>Dataset!A382</f>
        <v>44935</v>
      </c>
      <c r="B163" s="51">
        <f>Dataset!E382</f>
        <v>-7.5125120915169319E-3</v>
      </c>
      <c r="C163" s="51">
        <f>Dataset!K382</f>
        <v>3.735202850247088E-3</v>
      </c>
      <c r="E163" s="8"/>
      <c r="L163" s="8"/>
      <c r="P163" s="8"/>
      <c r="T163" s="8"/>
      <c r="X163" s="8"/>
    </row>
    <row r="164" spans="1:24" hidden="1" x14ac:dyDescent="0.25">
      <c r="A164" s="22">
        <f>Dataset!A383</f>
        <v>44936</v>
      </c>
      <c r="B164" s="51">
        <f>Dataset!E383</f>
        <v>1.2559127482294707E-2</v>
      </c>
      <c r="C164" s="51">
        <f>Dataset!K383</f>
        <v>-1.3740195797790067E-2</v>
      </c>
      <c r="E164" s="8"/>
      <c r="L164" s="8"/>
      <c r="P164" s="8"/>
      <c r="T164" s="8"/>
      <c r="X164" s="8"/>
    </row>
    <row r="165" spans="1:24" hidden="1" x14ac:dyDescent="0.25">
      <c r="A165" s="22">
        <f>Dataset!A384</f>
        <v>44937</v>
      </c>
      <c r="B165" s="51">
        <f>Dataset!E384</f>
        <v>-8.6368344510823203E-3</v>
      </c>
      <c r="C165" s="51">
        <f>Dataset!K384</f>
        <v>5.7467928252161737E-3</v>
      </c>
      <c r="E165" s="8"/>
      <c r="L165" s="8"/>
      <c r="P165" s="8"/>
      <c r="T165" s="8"/>
      <c r="X165" s="8"/>
    </row>
    <row r="166" spans="1:24" hidden="1" x14ac:dyDescent="0.25">
      <c r="A166" s="22">
        <f>Dataset!A385</f>
        <v>44938</v>
      </c>
      <c r="B166" s="51">
        <f>Dataset!E385</f>
        <v>-1.7044225279276848E-3</v>
      </c>
      <c r="C166" s="51">
        <f>Dataset!K385</f>
        <v>-6.5219900727230273E-3</v>
      </c>
      <c r="E166" s="8"/>
      <c r="L166" s="8"/>
      <c r="P166" s="8"/>
      <c r="T166" s="8"/>
      <c r="X166" s="8"/>
    </row>
    <row r="167" spans="1:24" hidden="1" x14ac:dyDescent="0.25">
      <c r="A167" s="22">
        <f>Dataset!A386</f>
        <v>44939</v>
      </c>
      <c r="B167" s="51">
        <f>Dataset!E386</f>
        <v>-1.6544739512857065E-3</v>
      </c>
      <c r="C167" s="51">
        <f>Dataset!K386</f>
        <v>1.4872480102248398E-2</v>
      </c>
      <c r="E167" s="8"/>
      <c r="L167" s="8"/>
      <c r="P167" s="8"/>
      <c r="T167" s="8"/>
      <c r="X167" s="8"/>
    </row>
    <row r="168" spans="1:24" hidden="1" x14ac:dyDescent="0.25">
      <c r="A168" s="22">
        <f>Dataset!A387</f>
        <v>44942</v>
      </c>
      <c r="B168" s="51">
        <f>Dataset!E387</f>
        <v>4.6010239793299323E-3</v>
      </c>
      <c r="C168" s="51">
        <f>Dataset!K387</f>
        <v>-9.3880588471005888E-3</v>
      </c>
      <c r="E168" s="8"/>
      <c r="L168" s="8"/>
      <c r="P168" s="8"/>
      <c r="T168" s="8"/>
      <c r="X168" s="8"/>
    </row>
    <row r="169" spans="1:24" hidden="1" x14ac:dyDescent="0.25">
      <c r="A169" s="22">
        <f>Dataset!A388</f>
        <v>44943</v>
      </c>
      <c r="B169" s="51">
        <f>Dataset!E388</f>
        <v>-2.8091071993253669E-3</v>
      </c>
      <c r="C169" s="51">
        <f>Dataset!K388</f>
        <v>-1.155735336608732E-4</v>
      </c>
      <c r="E169" s="8"/>
      <c r="L169" s="8"/>
      <c r="P169" s="8"/>
      <c r="T169" s="8"/>
      <c r="X169" s="8"/>
    </row>
    <row r="170" spans="1:24" hidden="1" x14ac:dyDescent="0.25">
      <c r="A170" s="22">
        <f>Dataset!A389</f>
        <v>44944</v>
      </c>
      <c r="B170" s="51">
        <f>Dataset!E389</f>
        <v>6.7069400180752581E-3</v>
      </c>
      <c r="C170" s="51">
        <f>Dataset!K389</f>
        <v>5.0280298214182562E-3</v>
      </c>
      <c r="E170" s="8"/>
      <c r="L170" s="8"/>
      <c r="P170" s="8"/>
      <c r="T170" s="8"/>
      <c r="X170" s="8"/>
    </row>
    <row r="171" spans="1:24" hidden="1" x14ac:dyDescent="0.25">
      <c r="A171" s="22">
        <f>Dataset!A390</f>
        <v>44945</v>
      </c>
      <c r="B171" s="51">
        <f>Dataset!E390</f>
        <v>5.0190050190050961E-3</v>
      </c>
      <c r="C171" s="51">
        <f>Dataset!K390</f>
        <v>-3.85278895917196E-3</v>
      </c>
      <c r="E171" s="8"/>
      <c r="L171" s="8"/>
      <c r="P171" s="8"/>
      <c r="T171" s="8"/>
      <c r="X171" s="8"/>
    </row>
    <row r="172" spans="1:24" hidden="1" x14ac:dyDescent="0.25">
      <c r="A172" s="22">
        <f>Dataset!A391</f>
        <v>44946</v>
      </c>
      <c r="B172" s="51">
        <f>Dataset!E391</f>
        <v>-3.1290484349534298E-3</v>
      </c>
      <c r="C172" s="51">
        <f>Dataset!K391</f>
        <v>4.8490446227558159E-3</v>
      </c>
      <c r="E172" s="8"/>
      <c r="L172" s="8"/>
      <c r="P172" s="8"/>
      <c r="T172" s="8"/>
      <c r="X172" s="8"/>
    </row>
    <row r="173" spans="1:24" hidden="1" x14ac:dyDescent="0.25">
      <c r="A173" s="22">
        <f>Dataset!A392</f>
        <v>44949</v>
      </c>
      <c r="B173" s="51">
        <f>Dataset!E392</f>
        <v>-4.5956412150938153E-3</v>
      </c>
      <c r="C173" s="51">
        <f>Dataset!K392</f>
        <v>1.5511001321306672E-3</v>
      </c>
      <c r="E173" s="8"/>
      <c r="L173" s="8"/>
      <c r="P173" s="8"/>
      <c r="T173" s="8"/>
      <c r="X173" s="8"/>
    </row>
    <row r="174" spans="1:24" hidden="1" x14ac:dyDescent="0.25">
      <c r="A174" s="22">
        <f>Dataset!A393</f>
        <v>44950</v>
      </c>
      <c r="B174" s="51">
        <f>Dataset!E393</f>
        <v>4.5484217397713245E-3</v>
      </c>
      <c r="C174" s="51">
        <f>Dataset!K393</f>
        <v>-1.0898244808994484E-3</v>
      </c>
      <c r="E174" s="8"/>
      <c r="L174" s="8"/>
      <c r="P174" s="8"/>
      <c r="T174" s="8"/>
      <c r="X174" s="8"/>
    </row>
    <row r="175" spans="1:24" hidden="1" x14ac:dyDescent="0.25">
      <c r="A175" s="22">
        <f>Dataset!A394</f>
        <v>44951</v>
      </c>
      <c r="B175" s="51">
        <f>Dataset!E394</f>
        <v>-6.8651084791937489E-4</v>
      </c>
      <c r="C175" s="51">
        <f>Dataset!K394</f>
        <v>-1.7743324720069009E-2</v>
      </c>
      <c r="E175" s="8"/>
      <c r="L175" s="8"/>
      <c r="P175" s="8"/>
      <c r="T175" s="8"/>
      <c r="X175" s="8"/>
    </row>
    <row r="176" spans="1:24" hidden="1" x14ac:dyDescent="0.25">
      <c r="A176" s="22">
        <f>Dataset!A395</f>
        <v>44953</v>
      </c>
      <c r="B176" s="51">
        <f>Dataset!E395</f>
        <v>-1.483043070129908E-2</v>
      </c>
      <c r="C176" s="51">
        <f>Dataset!K395</f>
        <v>-4.4545773412837497E-2</v>
      </c>
      <c r="E176" s="8"/>
      <c r="L176" s="8"/>
      <c r="P176" s="8"/>
      <c r="T176" s="8"/>
      <c r="X176" s="8"/>
    </row>
    <row r="177" spans="1:24" hidden="1" x14ac:dyDescent="0.25">
      <c r="A177" s="22">
        <f>Dataset!A396</f>
        <v>44956</v>
      </c>
      <c r="B177" s="51">
        <f>Dataset!E396</f>
        <v>-2.032353708326895E-2</v>
      </c>
      <c r="C177" s="51">
        <f>Dataset!K396</f>
        <v>7.7092511013214793E-3</v>
      </c>
      <c r="E177" s="8"/>
      <c r="L177" s="8"/>
      <c r="P177" s="8"/>
      <c r="T177" s="8"/>
      <c r="X177" s="8"/>
    </row>
    <row r="178" spans="1:24" hidden="1" x14ac:dyDescent="0.25">
      <c r="A178" s="22">
        <f>Dataset!A397</f>
        <v>44957</v>
      </c>
      <c r="B178" s="51">
        <f>Dataset!E397</f>
        <v>-1.3583782050933246E-3</v>
      </c>
      <c r="C178" s="51">
        <f>Dataset!K397</f>
        <v>1.0200364298724951E-2</v>
      </c>
      <c r="E178" s="8"/>
      <c r="L178" s="8"/>
      <c r="P178" s="8"/>
      <c r="T178" s="8"/>
      <c r="X178" s="8"/>
    </row>
    <row r="179" spans="1:24" hidden="1" x14ac:dyDescent="0.25">
      <c r="A179" s="22">
        <f>Dataset!A398</f>
        <v>44958</v>
      </c>
      <c r="B179" s="51">
        <f>Dataset!E398</f>
        <v>3.5257055491775269E-3</v>
      </c>
      <c r="C179" s="51">
        <f>Dataset!K398</f>
        <v>1.9293184276956366E-2</v>
      </c>
      <c r="E179" s="8"/>
      <c r="L179" s="8"/>
      <c r="P179" s="8"/>
      <c r="T179" s="8"/>
      <c r="X179" s="8"/>
    </row>
    <row r="180" spans="1:24" hidden="1" x14ac:dyDescent="0.25">
      <c r="A180" s="22">
        <f>Dataset!A399</f>
        <v>44959</v>
      </c>
      <c r="B180" s="51">
        <f>Dataset!E399</f>
        <v>-5.4163662092483467E-3</v>
      </c>
      <c r="C180" s="51">
        <f>Dataset!K399</f>
        <v>1.173418244000235E-2</v>
      </c>
      <c r="E180" s="8"/>
      <c r="L180" s="8"/>
      <c r="P180" s="8"/>
      <c r="T180" s="8"/>
      <c r="X180" s="8"/>
    </row>
    <row r="181" spans="1:24" hidden="1" x14ac:dyDescent="0.25">
      <c r="A181" s="22">
        <f>Dataset!A400</f>
        <v>44960</v>
      </c>
      <c r="B181" s="51">
        <f>Dataset!E400</f>
        <v>-1.0902628623761235E-3</v>
      </c>
      <c r="C181" s="51">
        <f>Dataset!K400</f>
        <v>6.8772584217273725E-3</v>
      </c>
      <c r="E181" s="8"/>
      <c r="L181" s="8"/>
      <c r="P181" s="8"/>
      <c r="T181" s="8"/>
      <c r="X181" s="8"/>
    </row>
    <row r="182" spans="1:24" hidden="1" x14ac:dyDescent="0.25">
      <c r="A182" s="22">
        <f>Dataset!A401</f>
        <v>44963</v>
      </c>
      <c r="B182" s="51">
        <f>Dataset!E401</f>
        <v>9.5720413442332841E-3</v>
      </c>
      <c r="C182" s="51">
        <f>Dataset!K401</f>
        <v>-1.1692521416994617E-2</v>
      </c>
      <c r="E182" s="8"/>
      <c r="L182" s="8"/>
      <c r="P182" s="8"/>
      <c r="T182" s="8"/>
      <c r="X182" s="8"/>
    </row>
    <row r="183" spans="1:24" hidden="1" x14ac:dyDescent="0.25">
      <c r="A183" s="22">
        <f>Dataset!A402</f>
        <v>44964</v>
      </c>
      <c r="B183" s="51">
        <f>Dataset!E402</f>
        <v>-2.5081623386450369E-3</v>
      </c>
      <c r="C183" s="51">
        <f>Dataset!K402</f>
        <v>-1.1128030924212329E-3</v>
      </c>
      <c r="E183" s="8"/>
      <c r="L183" s="8"/>
      <c r="P183" s="8"/>
      <c r="T183" s="8"/>
      <c r="X183" s="8"/>
    </row>
    <row r="184" spans="1:24" hidden="1" x14ac:dyDescent="0.25">
      <c r="A184" s="22">
        <f>Dataset!A403</f>
        <v>44965</v>
      </c>
      <c r="B184" s="51">
        <f>Dataset!E403</f>
        <v>-2.0917781197842267E-3</v>
      </c>
      <c r="C184" s="51">
        <f>Dataset!K403</f>
        <v>7.4464966285547884E-3</v>
      </c>
      <c r="E184" s="8"/>
      <c r="L184" s="8"/>
      <c r="P184" s="8"/>
      <c r="T184" s="8"/>
      <c r="X184" s="8"/>
    </row>
    <row r="185" spans="1:24" hidden="1" x14ac:dyDescent="0.25">
      <c r="A185" s="22">
        <f>Dataset!A404</f>
        <v>44966</v>
      </c>
      <c r="B185" s="51">
        <f>Dataset!E404</f>
        <v>8.6235921497075374E-3</v>
      </c>
      <c r="C185" s="51">
        <f>Dataset!K404</f>
        <v>1.9788150389941084E-3</v>
      </c>
      <c r="E185" s="8"/>
      <c r="L185" s="8"/>
      <c r="P185" s="8"/>
      <c r="T185" s="8"/>
      <c r="X185" s="8"/>
    </row>
    <row r="186" spans="1:24" hidden="1" x14ac:dyDescent="0.25">
      <c r="A186" s="22">
        <f>Dataset!A405</f>
        <v>44967</v>
      </c>
      <c r="B186" s="51">
        <f>Dataset!E405</f>
        <v>2.4766601699188762E-4</v>
      </c>
      <c r="C186" s="51">
        <f>Dataset!K405</f>
        <v>-8.0738847583642359E-3</v>
      </c>
      <c r="E186" s="8"/>
      <c r="L186" s="8"/>
      <c r="P186" s="8"/>
      <c r="T186" s="8"/>
      <c r="X186" s="8"/>
    </row>
    <row r="187" spans="1:24" hidden="1" x14ac:dyDescent="0.25">
      <c r="A187" s="22">
        <f>Dataset!A406</f>
        <v>44970</v>
      </c>
      <c r="B187" s="51">
        <f>Dataset!E406</f>
        <v>-1.5771342448056558E-3</v>
      </c>
      <c r="C187" s="51">
        <f>Dataset!K406</f>
        <v>-3.7477308660772701E-3</v>
      </c>
      <c r="E187" s="8"/>
      <c r="L187" s="8"/>
      <c r="P187" s="8"/>
      <c r="T187" s="8"/>
      <c r="X187" s="8"/>
    </row>
    <row r="188" spans="1:24" hidden="1" x14ac:dyDescent="0.25">
      <c r="A188" s="22">
        <f>Dataset!A407</f>
        <v>44971</v>
      </c>
      <c r="B188" s="51">
        <f>Dataset!E407</f>
        <v>-7.3751799317471889E-3</v>
      </c>
      <c r="C188" s="51">
        <f>Dataset!K407</f>
        <v>1.7222124257920468E-2</v>
      </c>
      <c r="E188" s="8"/>
      <c r="L188" s="8"/>
      <c r="P188" s="8"/>
      <c r="T188" s="8"/>
      <c r="X188" s="8"/>
    </row>
    <row r="189" spans="1:24" hidden="1" x14ac:dyDescent="0.25">
      <c r="A189" s="22">
        <f>Dataset!A408</f>
        <v>44972</v>
      </c>
      <c r="B189" s="51">
        <f>Dataset!E408</f>
        <v>5.9472406432796721E-3</v>
      </c>
      <c r="C189" s="51">
        <f>Dataset!K408</f>
        <v>6.3561770484226177E-3</v>
      </c>
      <c r="E189" s="8"/>
      <c r="L189" s="8"/>
      <c r="P189" s="8"/>
      <c r="T189" s="8"/>
      <c r="X189" s="8"/>
    </row>
    <row r="190" spans="1:24" hidden="1" x14ac:dyDescent="0.25">
      <c r="A190" s="22">
        <f>Dataset!A409</f>
        <v>44973</v>
      </c>
      <c r="B190" s="51">
        <f>Dataset!E409</f>
        <v>4.9618279395724496E-3</v>
      </c>
      <c r="C190" s="51">
        <f>Dataset!K409</f>
        <v>-1.5502985760219579E-3</v>
      </c>
      <c r="E190" s="8"/>
      <c r="L190" s="8"/>
      <c r="P190" s="8"/>
      <c r="T190" s="8"/>
      <c r="X190" s="8"/>
    </row>
    <row r="191" spans="1:24" hidden="1" x14ac:dyDescent="0.25">
      <c r="A191" s="22">
        <f>Dataset!A410</f>
        <v>44974</v>
      </c>
      <c r="B191" s="51">
        <f>Dataset!E410</f>
        <v>2.2725685397000372E-3</v>
      </c>
      <c r="C191" s="51">
        <f>Dataset!K410</f>
        <v>-7.8210362873081252E-3</v>
      </c>
      <c r="E191" s="8"/>
      <c r="L191" s="8"/>
      <c r="P191" s="8"/>
      <c r="T191" s="8"/>
      <c r="X191" s="8"/>
    </row>
    <row r="192" spans="1:24" hidden="1" x14ac:dyDescent="0.25">
      <c r="A192" s="22">
        <f>Dataset!A411</f>
        <v>44977</v>
      </c>
      <c r="B192" s="51">
        <f>Dataset!E411</f>
        <v>-5.6122558373891129E-3</v>
      </c>
      <c r="C192" s="51">
        <f>Dataset!K411</f>
        <v>-1.2229757143685127E-2</v>
      </c>
      <c r="E192" s="8"/>
      <c r="L192" s="8"/>
      <c r="P192" s="8"/>
      <c r="T192" s="8"/>
      <c r="X192" s="8"/>
    </row>
    <row r="193" spans="1:24" hidden="1" x14ac:dyDescent="0.25">
      <c r="A193" s="22">
        <f>Dataset!A412</f>
        <v>44978</v>
      </c>
      <c r="B193" s="51">
        <f>Dataset!E412</f>
        <v>-4.5173010473886777E-3</v>
      </c>
      <c r="C193" s="51">
        <f>Dataset!K412</f>
        <v>2.464499471892978E-3</v>
      </c>
      <c r="E193" s="8"/>
      <c r="L193" s="8"/>
      <c r="P193" s="8"/>
      <c r="T193" s="8"/>
      <c r="X193" s="8"/>
    </row>
    <row r="194" spans="1:24" hidden="1" x14ac:dyDescent="0.25">
      <c r="A194" s="22">
        <f>Dataset!A413</f>
        <v>44979</v>
      </c>
      <c r="B194" s="51">
        <f>Dataset!E413</f>
        <v>-1.5811903330786858E-3</v>
      </c>
      <c r="C194" s="51">
        <f>Dataset!K413</f>
        <v>-1.7501756029033033E-2</v>
      </c>
      <c r="E194" s="8"/>
      <c r="L194" s="8"/>
      <c r="P194" s="8"/>
      <c r="T194" s="8"/>
      <c r="X194" s="8"/>
    </row>
    <row r="195" spans="1:24" hidden="1" x14ac:dyDescent="0.25">
      <c r="A195" s="22">
        <f>Dataset!A414</f>
        <v>44980</v>
      </c>
      <c r="B195" s="51">
        <f>Dataset!E414</f>
        <v>-1.4784763991560923E-2</v>
      </c>
      <c r="C195" s="51">
        <f>Dataset!K414</f>
        <v>5.9577003276745089E-4</v>
      </c>
      <c r="E195" s="8"/>
      <c r="L195" s="8"/>
      <c r="P195" s="8"/>
      <c r="T195" s="8"/>
      <c r="X195" s="8"/>
    </row>
    <row r="196" spans="1:24" hidden="1" x14ac:dyDescent="0.25">
      <c r="A196" s="22">
        <f>Dataset!A415</f>
        <v>44981</v>
      </c>
      <c r="B196" s="51">
        <f>Dataset!E415</f>
        <v>-2.6368956196703985E-3</v>
      </c>
      <c r="C196" s="51">
        <f>Dataset!K415</f>
        <v>-5.9541530217255279E-5</v>
      </c>
      <c r="E196" s="8"/>
      <c r="L196" s="8"/>
      <c r="P196" s="8"/>
      <c r="T196" s="8"/>
      <c r="X196" s="8"/>
    </row>
    <row r="197" spans="1:24" hidden="1" x14ac:dyDescent="0.25">
      <c r="A197" s="22">
        <f>Dataset!A416</f>
        <v>44984</v>
      </c>
      <c r="B197" s="51">
        <f>Dataset!E416</f>
        <v>-2.4893196595539013E-3</v>
      </c>
      <c r="C197" s="51">
        <f>Dataset!K416</f>
        <v>1.9888055257829995E-2</v>
      </c>
      <c r="E197" s="8"/>
      <c r="L197" s="8"/>
      <c r="P197" s="8"/>
      <c r="T197" s="8"/>
      <c r="X197" s="8"/>
    </row>
    <row r="198" spans="1:24" hidden="1" x14ac:dyDescent="0.25">
      <c r="A198" s="22">
        <f>Dataset!A417</f>
        <v>44985</v>
      </c>
      <c r="B198" s="51">
        <f>Dataset!E417</f>
        <v>-5.2400635226286241E-3</v>
      </c>
      <c r="C198" s="51">
        <f>Dataset!K417</f>
        <v>-1.8099019149929729E-3</v>
      </c>
      <c r="E198" s="8"/>
      <c r="L198" s="8"/>
      <c r="P198" s="8"/>
      <c r="T198" s="8"/>
      <c r="X198" s="8"/>
    </row>
    <row r="199" spans="1:24" hidden="1" x14ac:dyDescent="0.25">
      <c r="A199" s="22">
        <f>Dataset!A418</f>
        <v>44986</v>
      </c>
      <c r="B199" s="51">
        <f>Dataset!E418</f>
        <v>-2.6978017087931905E-3</v>
      </c>
      <c r="C199" s="51">
        <f>Dataset!K418</f>
        <v>1.6962040123997824E-3</v>
      </c>
      <c r="E199" s="8"/>
      <c r="L199" s="8"/>
      <c r="P199" s="8"/>
      <c r="T199" s="8"/>
      <c r="X199" s="8"/>
    </row>
    <row r="200" spans="1:24" hidden="1" x14ac:dyDescent="0.25">
      <c r="A200" s="22">
        <f>Dataset!A419</f>
        <v>44987</v>
      </c>
      <c r="B200" s="51">
        <f>Dataset!E419</f>
        <v>9.9001065307238179E-3</v>
      </c>
      <c r="C200" s="51">
        <f>Dataset!K419</f>
        <v>-2.685974541632552E-3</v>
      </c>
      <c r="E200" s="8"/>
      <c r="L200" s="8"/>
      <c r="P200" s="8"/>
      <c r="T200" s="8"/>
      <c r="X200" s="8"/>
    </row>
    <row r="201" spans="1:24" hidden="1" x14ac:dyDescent="0.25">
      <c r="A201" s="22">
        <f>Dataset!A420</f>
        <v>44988</v>
      </c>
      <c r="B201" s="51">
        <f>Dataset!E420</f>
        <v>-5.8984016877823287E-3</v>
      </c>
      <c r="C201" s="51">
        <f>Dataset!K420</f>
        <v>1.7037470725995263E-2</v>
      </c>
      <c r="E201" s="8"/>
      <c r="L201" s="8"/>
      <c r="P201" s="8"/>
      <c r="T201" s="8"/>
      <c r="X201" s="8"/>
    </row>
    <row r="202" spans="1:24" hidden="1" x14ac:dyDescent="0.25">
      <c r="A202" s="22">
        <f>Dataset!A421</f>
        <v>44991</v>
      </c>
      <c r="B202" s="51">
        <f>Dataset!E421</f>
        <v>1.3894598828875893E-2</v>
      </c>
      <c r="C202" s="51">
        <f>Dataset!K421</f>
        <v>-9.2107535547747421E-4</v>
      </c>
      <c r="E202" s="8"/>
      <c r="L202" s="8"/>
      <c r="P202" s="8"/>
      <c r="T202" s="8"/>
      <c r="X202" s="8"/>
    </row>
    <row r="203" spans="1:24" hidden="1" x14ac:dyDescent="0.25">
      <c r="A203" s="22">
        <f>Dataset!A422</f>
        <v>44993</v>
      </c>
      <c r="B203" s="51">
        <f>Dataset!E422</f>
        <v>7.1342856673186628E-3</v>
      </c>
      <c r="C203" s="51">
        <f>Dataset!K422</f>
        <v>5.0129645635264009E-3</v>
      </c>
      <c r="E203" s="8"/>
      <c r="L203" s="8"/>
      <c r="P203" s="8"/>
      <c r="T203" s="8"/>
      <c r="X203" s="8"/>
    </row>
    <row r="204" spans="1:24" hidden="1" x14ac:dyDescent="0.25">
      <c r="A204" s="22">
        <f>Dataset!A423</f>
        <v>44994</v>
      </c>
      <c r="B204" s="51">
        <f>Dataset!E423</f>
        <v>2.9923667444682334E-3</v>
      </c>
      <c r="C204" s="51">
        <f>Dataset!K423</f>
        <v>-1.851851851851849E-2</v>
      </c>
      <c r="E204" s="8"/>
      <c r="L204" s="8"/>
      <c r="P204" s="8"/>
      <c r="T204" s="8"/>
      <c r="X204" s="8"/>
    </row>
    <row r="205" spans="1:24" hidden="1" x14ac:dyDescent="0.25">
      <c r="A205" s="22">
        <f>Dataset!A424</f>
        <v>44995</v>
      </c>
      <c r="B205" s="51">
        <f>Dataset!E424</f>
        <v>-8.3699030653481277E-3</v>
      </c>
      <c r="C205" s="51">
        <f>Dataset!K424</f>
        <v>-1.5538290788013387E-2</v>
      </c>
      <c r="E205" s="8"/>
      <c r="L205" s="8"/>
      <c r="P205" s="8"/>
      <c r="T205" s="8"/>
      <c r="X205" s="8"/>
    </row>
    <row r="206" spans="1:24" hidden="1" x14ac:dyDescent="0.25">
      <c r="A206" s="22">
        <f>Dataset!A425</f>
        <v>44998</v>
      </c>
      <c r="B206" s="51">
        <f>Dataset!E425</f>
        <v>-8.6702988928274438E-3</v>
      </c>
      <c r="C206" s="51">
        <f>Dataset!K425</f>
        <v>-1.6910935738444155E-2</v>
      </c>
      <c r="E206" s="8"/>
      <c r="L206" s="8"/>
      <c r="P206" s="8"/>
      <c r="T206" s="8"/>
      <c r="X206" s="8"/>
    </row>
    <row r="207" spans="1:24" hidden="1" x14ac:dyDescent="0.25">
      <c r="A207" s="22">
        <f>Dataset!A426</f>
        <v>44999</v>
      </c>
      <c r="B207" s="51">
        <f>Dataset!E426</f>
        <v>-1.5058794965318811E-2</v>
      </c>
      <c r="C207" s="51">
        <f>Dataset!K426</f>
        <v>2.353935296958154E-3</v>
      </c>
      <c r="E207" s="8"/>
      <c r="L207" s="8"/>
      <c r="P207" s="8"/>
      <c r="T207" s="8"/>
      <c r="X207" s="8"/>
    </row>
    <row r="208" spans="1:24" hidden="1" x14ac:dyDescent="0.25">
      <c r="A208" s="22">
        <f>Dataset!A427</f>
        <v>45000</v>
      </c>
      <c r="B208" s="51">
        <f>Dataset!E427</f>
        <v>-6.3195401526103812E-3</v>
      </c>
      <c r="C208" s="51">
        <f>Dataset!K427</f>
        <v>-5.3591858854700192E-3</v>
      </c>
      <c r="E208" s="8"/>
      <c r="L208" s="8"/>
      <c r="P208" s="8"/>
      <c r="T208" s="8"/>
      <c r="X208" s="8"/>
    </row>
    <row r="209" spans="1:24" hidden="1" x14ac:dyDescent="0.25">
      <c r="A209" s="22">
        <f>Dataset!A428</f>
        <v>45001</v>
      </c>
      <c r="B209" s="51">
        <f>Dataset!E428</f>
        <v>-3.089656416675135E-3</v>
      </c>
      <c r="C209" s="51">
        <f>Dataset!K428</f>
        <v>-2.4216006780481969E-3</v>
      </c>
      <c r="E209" s="8"/>
      <c r="L209" s="8"/>
      <c r="P209" s="8"/>
      <c r="T209" s="8"/>
      <c r="X209" s="8"/>
    </row>
    <row r="210" spans="1:24" hidden="1" x14ac:dyDescent="0.25">
      <c r="A210" s="22">
        <f>Dataset!A429</f>
        <v>45002</v>
      </c>
      <c r="B210" s="51">
        <f>Dataset!E429</f>
        <v>1.5156827924758254E-3</v>
      </c>
      <c r="C210" s="51">
        <f>Dataset!K429</f>
        <v>1.4989683213982197E-2</v>
      </c>
      <c r="E210" s="8"/>
      <c r="L210" s="8"/>
      <c r="P210" s="8"/>
      <c r="T210" s="8"/>
      <c r="X210" s="8"/>
    </row>
    <row r="211" spans="1:24" hidden="1" x14ac:dyDescent="0.25">
      <c r="A211" s="22">
        <f>Dataset!A430</f>
        <v>45005</v>
      </c>
      <c r="B211" s="51">
        <f>Dataset!E430</f>
        <v>6.2116711654225387E-3</v>
      </c>
      <c r="C211" s="51">
        <f>Dataset!K430</f>
        <v>2.3916292974601738E-4</v>
      </c>
      <c r="E211" s="8"/>
      <c r="L211" s="8"/>
      <c r="P211" s="8"/>
      <c r="T211" s="8"/>
      <c r="X211" s="8"/>
    </row>
    <row r="212" spans="1:24" hidden="1" x14ac:dyDescent="0.25">
      <c r="A212" s="22">
        <f>Dataset!A431</f>
        <v>45006</v>
      </c>
      <c r="B212" s="51">
        <f>Dataset!E431</f>
        <v>-7.0824868395944485E-3</v>
      </c>
      <c r="C212" s="51">
        <f>Dataset!K431</f>
        <v>1.9068683125111896E-2</v>
      </c>
      <c r="E212" s="8"/>
      <c r="L212" s="8"/>
      <c r="P212" s="8"/>
      <c r="T212" s="8"/>
      <c r="X212" s="8"/>
    </row>
    <row r="213" spans="1:24" hidden="1" x14ac:dyDescent="0.25">
      <c r="A213" s="22">
        <f>Dataset!A432</f>
        <v>45007</v>
      </c>
      <c r="B213" s="51">
        <f>Dataset!E432</f>
        <v>6.8334426081253508E-3</v>
      </c>
      <c r="C213" s="51">
        <f>Dataset!K432</f>
        <v>9.150633505396577E-3</v>
      </c>
      <c r="E213" s="8"/>
      <c r="L213" s="8"/>
      <c r="P213" s="8"/>
      <c r="T213" s="8"/>
      <c r="X213" s="8"/>
    </row>
    <row r="214" spans="1:24" hidden="1" x14ac:dyDescent="0.25">
      <c r="A214" s="22">
        <f>Dataset!A433</f>
        <v>45008</v>
      </c>
      <c r="B214" s="51">
        <f>Dataset!E433</f>
        <v>3.2166976360359367E-3</v>
      </c>
      <c r="C214" s="51">
        <f>Dataset!K433</f>
        <v>-5.5219716345036307E-3</v>
      </c>
      <c r="E214" s="8"/>
      <c r="L214" s="8"/>
      <c r="P214" s="8"/>
      <c r="T214" s="8"/>
      <c r="X214" s="8"/>
    </row>
    <row r="215" spans="1:24" hidden="1" x14ac:dyDescent="0.25">
      <c r="A215" s="22">
        <f>Dataset!A434</f>
        <v>45009</v>
      </c>
      <c r="B215" s="51">
        <f>Dataset!E434</f>
        <v>-4.0177722068648336E-3</v>
      </c>
      <c r="C215" s="51">
        <f>Dataset!K434</f>
        <v>-3.5653749488574471E-3</v>
      </c>
      <c r="E215" s="8"/>
      <c r="L215" s="8"/>
      <c r="P215" s="8"/>
      <c r="T215" s="8"/>
      <c r="X215" s="8"/>
    </row>
    <row r="216" spans="1:24" hidden="1" x14ac:dyDescent="0.25">
      <c r="A216" s="22">
        <f>Dataset!A435</f>
        <v>45012</v>
      </c>
      <c r="B216" s="51">
        <f>Dataset!E435</f>
        <v>-8.0117760747915323E-3</v>
      </c>
      <c r="C216" s="51">
        <f>Dataset!K435</f>
        <v>-4.340685124354704E-3</v>
      </c>
      <c r="E216" s="8"/>
      <c r="L216" s="8"/>
      <c r="P216" s="8"/>
      <c r="T216" s="8"/>
      <c r="X216" s="8"/>
    </row>
    <row r="217" spans="1:24" hidden="1" x14ac:dyDescent="0.25">
      <c r="A217" s="22">
        <f>Dataset!A436</f>
        <v>45013</v>
      </c>
      <c r="B217" s="51">
        <f>Dataset!E436</f>
        <v>2.8318664265247762E-4</v>
      </c>
      <c r="C217" s="51">
        <f>Dataset!K436</f>
        <v>7.1285495463648818E-3</v>
      </c>
      <c r="E217" s="8"/>
      <c r="L217" s="8"/>
      <c r="P217" s="8"/>
      <c r="T217" s="8"/>
      <c r="X217" s="8"/>
    </row>
    <row r="218" spans="1:24" hidden="1" x14ac:dyDescent="0.25">
      <c r="A218" s="22">
        <f>Dataset!A437</f>
        <v>45014</v>
      </c>
      <c r="B218" s="51">
        <f>Dataset!E437</f>
        <v>-3.2330758951827354E-3</v>
      </c>
      <c r="C218" s="51">
        <f>Dataset!K437</f>
        <v>-4.3872477332553839E-3</v>
      </c>
      <c r="E218" s="8"/>
      <c r="L218" s="8"/>
      <c r="P218" s="8"/>
      <c r="T218" s="8"/>
      <c r="X218" s="8"/>
    </row>
    <row r="219" spans="1:24" hidden="1" x14ac:dyDescent="0.25">
      <c r="A219" s="22">
        <f>Dataset!A438</f>
        <v>45016</v>
      </c>
      <c r="B219" s="51">
        <f>Dataset!E438</f>
        <v>8.3560079754150252E-3</v>
      </c>
      <c r="C219" s="51">
        <f>Dataset!K438</f>
        <v>3.0846063454759154E-2</v>
      </c>
      <c r="E219" s="8"/>
      <c r="L219" s="8"/>
      <c r="P219" s="8"/>
      <c r="T219" s="8"/>
      <c r="X219" s="8"/>
    </row>
    <row r="220" spans="1:24" hidden="1" x14ac:dyDescent="0.25">
      <c r="A220" s="22">
        <f>Dataset!A439</f>
        <v>45019</v>
      </c>
      <c r="B220" s="51">
        <f>Dataset!E439</f>
        <v>1.4906034521609657E-2</v>
      </c>
      <c r="C220" s="51">
        <f>Dataset!K439</f>
        <v>7.4665146765460211E-3</v>
      </c>
      <c r="E220" s="8"/>
      <c r="L220" s="8"/>
      <c r="P220" s="8"/>
      <c r="T220" s="8"/>
      <c r="X220" s="8"/>
    </row>
    <row r="221" spans="1:24" hidden="1" x14ac:dyDescent="0.25">
      <c r="A221" s="22">
        <f>Dataset!A440</f>
        <v>45021</v>
      </c>
      <c r="B221" s="51">
        <f>Dataset!E440</f>
        <v>2.5255608965464305E-3</v>
      </c>
      <c r="C221" s="51">
        <f>Dataset!K440</f>
        <v>9.0518216791135586E-4</v>
      </c>
      <c r="E221" s="8"/>
      <c r="L221" s="8"/>
      <c r="P221" s="8"/>
      <c r="T221" s="8"/>
      <c r="X221" s="8"/>
    </row>
    <row r="222" spans="1:24" hidden="1" x14ac:dyDescent="0.25">
      <c r="A222" s="22">
        <f>Dataset!A441</f>
        <v>45022</v>
      </c>
      <c r="B222" s="51">
        <f>Dataset!E441</f>
        <v>7.4966918217405087E-3</v>
      </c>
      <c r="C222" s="51">
        <f>Dataset!K441</f>
        <v>-1.0852362649785285E-2</v>
      </c>
      <c r="E222" s="8"/>
      <c r="L222" s="8"/>
      <c r="P222" s="8"/>
      <c r="T222" s="8"/>
      <c r="X222" s="8"/>
    </row>
    <row r="223" spans="1:24" hidden="1" x14ac:dyDescent="0.25">
      <c r="A223" s="22">
        <f>Dataset!A442</f>
        <v>45026</v>
      </c>
      <c r="B223" s="51">
        <f>Dataset!E442</f>
        <v>2.8741475102627145E-3</v>
      </c>
      <c r="C223" s="51">
        <f>Dataset!K442</f>
        <v>-7.4857142857142067E-3</v>
      </c>
      <c r="E223" s="8"/>
      <c r="L223" s="8"/>
      <c r="P223" s="8"/>
      <c r="T223" s="8"/>
      <c r="X223" s="8"/>
    </row>
    <row r="224" spans="1:24" hidden="1" x14ac:dyDescent="0.25">
      <c r="A224" s="22">
        <f>Dataset!A443</f>
        <v>45027</v>
      </c>
      <c r="B224" s="51">
        <f>Dataset!E443</f>
        <v>2.0768261274590749E-3</v>
      </c>
      <c r="C224" s="51">
        <f>Dataset!K443</f>
        <v>1.5487362542460525E-2</v>
      </c>
      <c r="E224" s="8"/>
      <c r="L224" s="8"/>
      <c r="P224" s="8"/>
      <c r="T224" s="8"/>
      <c r="X224" s="8"/>
    </row>
    <row r="225" spans="1:24" hidden="1" x14ac:dyDescent="0.25">
      <c r="A225" s="22">
        <f>Dataset!A444</f>
        <v>45028</v>
      </c>
      <c r="B225" s="51">
        <f>Dataset!E444</f>
        <v>5.3699642913778156E-3</v>
      </c>
      <c r="C225" s="51">
        <f>Dataset!K444</f>
        <v>9.3548021317608754E-3</v>
      </c>
      <c r="E225" s="8"/>
      <c r="L225" s="8"/>
      <c r="P225" s="8"/>
      <c r="T225" s="8"/>
      <c r="X225" s="8"/>
    </row>
    <row r="226" spans="1:24" hidden="1" x14ac:dyDescent="0.25">
      <c r="A226" s="22">
        <f>Dataset!A445</f>
        <v>45029</v>
      </c>
      <c r="B226" s="51">
        <f>Dataset!E445</f>
        <v>5.1237143121332096E-3</v>
      </c>
      <c r="C226" s="51">
        <f>Dataset!K445</f>
        <v>9.9421445823737464E-3</v>
      </c>
      <c r="E226" s="8"/>
      <c r="L226" s="8"/>
      <c r="P226" s="8"/>
      <c r="T226" s="8"/>
      <c r="X226" s="8"/>
    </row>
    <row r="227" spans="1:24" hidden="1" x14ac:dyDescent="0.25">
      <c r="A227" s="22">
        <f>Dataset!A446</f>
        <v>45033</v>
      </c>
      <c r="B227" s="51">
        <f>Dataset!E446</f>
        <v>6.6560962807038493E-4</v>
      </c>
      <c r="C227" s="51">
        <f>Dataset!K446</f>
        <v>2.5583982202446176E-3</v>
      </c>
      <c r="E227" s="8"/>
      <c r="L227" s="8"/>
      <c r="P227" s="8"/>
      <c r="T227" s="8"/>
      <c r="X227" s="8"/>
    </row>
    <row r="228" spans="1:24" hidden="1" x14ac:dyDescent="0.25">
      <c r="A228" s="22">
        <f>Dataset!A447</f>
        <v>45034</v>
      </c>
      <c r="B228" s="51">
        <f>Dataset!E447</f>
        <v>-3.9964091803844637E-3</v>
      </c>
      <c r="C228" s="51">
        <f>Dataset!K447</f>
        <v>-4.9373127704426256E-3</v>
      </c>
      <c r="E228" s="8"/>
      <c r="L228" s="8"/>
      <c r="P228" s="8"/>
      <c r="T228" s="8"/>
      <c r="X228" s="8"/>
    </row>
    <row r="229" spans="1:24" hidden="1" x14ac:dyDescent="0.25">
      <c r="A229" s="22">
        <f>Dataset!A448</f>
        <v>45035</v>
      </c>
      <c r="B229" s="51">
        <f>Dataset!E448</f>
        <v>-6.135402357514419E-4</v>
      </c>
      <c r="C229" s="51">
        <f>Dataset!K448</f>
        <v>-5.5193176116408171E-3</v>
      </c>
      <c r="E229" s="8"/>
      <c r="L229" s="8"/>
      <c r="P229" s="8"/>
      <c r="T229" s="8"/>
      <c r="X229" s="8"/>
    </row>
    <row r="230" spans="1:24" hidden="1" x14ac:dyDescent="0.25">
      <c r="A230" s="22">
        <f>Dataset!A449</f>
        <v>45036</v>
      </c>
      <c r="B230" s="51">
        <f>Dataset!E449</f>
        <v>-2.8631345618915782E-3</v>
      </c>
      <c r="C230" s="51">
        <f>Dataset!K449</f>
        <v>2.8030048211682423E-3</v>
      </c>
      <c r="E230" s="8"/>
      <c r="L230" s="8"/>
      <c r="P230" s="8"/>
      <c r="T230" s="8"/>
      <c r="X230" s="8"/>
    </row>
    <row r="231" spans="1:24" hidden="1" x14ac:dyDescent="0.25">
      <c r="A231" s="22">
        <f>Dataset!A450</f>
        <v>45037</v>
      </c>
      <c r="B231" s="51">
        <f>Dataset!E450</f>
        <v>2.5607915570158291E-4</v>
      </c>
      <c r="C231" s="51">
        <f>Dataset!K450</f>
        <v>-9.78309481216455E-3</v>
      </c>
      <c r="E231" s="8"/>
      <c r="L231" s="8"/>
      <c r="P231" s="8"/>
      <c r="T231" s="8"/>
      <c r="X231" s="8"/>
    </row>
    <row r="232" spans="1:24" hidden="1" x14ac:dyDescent="0.25">
      <c r="A232" s="22">
        <f>Dataset!A451</f>
        <v>45040</v>
      </c>
      <c r="B232" s="51">
        <f>Dataset!E451</f>
        <v>-8.0072337458603204E-4</v>
      </c>
      <c r="C232" s="51">
        <f>Dataset!K451</f>
        <v>2.1566081409134519E-2</v>
      </c>
      <c r="E232" s="8"/>
      <c r="L232" s="8"/>
      <c r="P232" s="8"/>
      <c r="T232" s="8"/>
      <c r="X232" s="8"/>
    </row>
    <row r="233" spans="1:24" hidden="1" x14ac:dyDescent="0.25">
      <c r="A233" s="22">
        <f>Dataset!A452</f>
        <v>45041</v>
      </c>
      <c r="B233" s="51">
        <f>Dataset!E452</f>
        <v>5.947546023975514E-3</v>
      </c>
      <c r="C233" s="51">
        <f>Dataset!K452</f>
        <v>9.6159159988946641E-3</v>
      </c>
      <c r="E233" s="8"/>
      <c r="L233" s="8"/>
      <c r="P233" s="8"/>
      <c r="T233" s="8"/>
      <c r="X233" s="8"/>
    </row>
    <row r="234" spans="1:24" hidden="1" x14ac:dyDescent="0.25">
      <c r="A234" s="22">
        <f>Dataset!A453</f>
        <v>45042</v>
      </c>
      <c r="B234" s="51">
        <f>Dataset!E453</f>
        <v>1.6311887626812016E-3</v>
      </c>
      <c r="C234" s="51">
        <f>Dataset!K453</f>
        <v>1.6421260058021581E-3</v>
      </c>
      <c r="E234" s="8"/>
      <c r="L234" s="8"/>
      <c r="P234" s="8"/>
      <c r="T234" s="8"/>
      <c r="X234" s="8"/>
    </row>
    <row r="235" spans="1:24" hidden="1" x14ac:dyDescent="0.25">
      <c r="A235" s="22">
        <f>Dataset!A454</f>
        <v>45043</v>
      </c>
      <c r="B235" s="51">
        <f>Dataset!E454</f>
        <v>2.45091408815723E-3</v>
      </c>
      <c r="C235" s="51">
        <f>Dataset!K454</f>
        <v>3.7160500573800714E-3</v>
      </c>
      <c r="E235" s="8"/>
      <c r="L235" s="8"/>
      <c r="P235" s="8"/>
      <c r="T235" s="8"/>
      <c r="X235" s="8"/>
    </row>
    <row r="236" spans="1:24" hidden="1" x14ac:dyDescent="0.25">
      <c r="A236" s="22">
        <f>Dataset!A455</f>
        <v>45044</v>
      </c>
      <c r="B236" s="51">
        <f>Dataset!E455</f>
        <v>5.380986820090472E-3</v>
      </c>
      <c r="C236" s="51">
        <f>Dataset!K455</f>
        <v>-7.6223662002505854E-4</v>
      </c>
      <c r="E236" s="8"/>
      <c r="L236" s="8"/>
      <c r="P236" s="8"/>
      <c r="T236" s="8"/>
      <c r="X236" s="8"/>
    </row>
    <row r="237" spans="1:24" hidden="1" x14ac:dyDescent="0.25">
      <c r="A237" s="22">
        <f>Dataset!A456</f>
        <v>45048</v>
      </c>
      <c r="B237" s="51">
        <f>Dataset!E456</f>
        <v>9.6682932590361759E-3</v>
      </c>
      <c r="C237" s="51">
        <f>Dataset!K456</f>
        <v>4.8493434315917128E-3</v>
      </c>
      <c r="E237" s="8"/>
      <c r="L237" s="8"/>
      <c r="P237" s="8"/>
      <c r="T237" s="8"/>
      <c r="X237" s="8"/>
    </row>
    <row r="238" spans="1:24" hidden="1" x14ac:dyDescent="0.25">
      <c r="A238" s="22">
        <f>Dataset!A457</f>
        <v>45049</v>
      </c>
      <c r="B238" s="51">
        <f>Dataset!E457</f>
        <v>5.4232241599319053E-3</v>
      </c>
      <c r="C238" s="51">
        <f>Dataset!K457</f>
        <v>8.1336080685390222E-4</v>
      </c>
      <c r="E238" s="8"/>
      <c r="L238" s="8"/>
      <c r="P238" s="8"/>
      <c r="T238" s="8"/>
      <c r="X238" s="8"/>
    </row>
    <row r="239" spans="1:24" hidden="1" x14ac:dyDescent="0.25">
      <c r="A239" s="22">
        <f>Dataset!A458</f>
        <v>45050</v>
      </c>
      <c r="B239" s="51">
        <f>Dataset!E458</f>
        <v>-1.972501322051734E-3</v>
      </c>
      <c r="C239" s="51">
        <f>Dataset!K458</f>
        <v>-1.2461396760036214E-3</v>
      </c>
      <c r="E239" s="8"/>
      <c r="L239" s="8"/>
      <c r="P239" s="8"/>
      <c r="T239" s="8"/>
      <c r="X239" s="8"/>
    </row>
    <row r="240" spans="1:24" hidden="1" x14ac:dyDescent="0.25">
      <c r="A240" s="22">
        <f>Dataset!A459</f>
        <v>45051</v>
      </c>
      <c r="B240" s="51">
        <f>Dataset!E459</f>
        <v>8.440763642721949E-3</v>
      </c>
      <c r="C240" s="51">
        <f>Dataset!K459</f>
        <v>5.6959965281544456E-3</v>
      </c>
      <c r="E240" s="8"/>
      <c r="L240" s="8"/>
      <c r="P240" s="8"/>
      <c r="T240" s="8"/>
      <c r="X240" s="8"/>
    </row>
    <row r="241" spans="1:24" hidden="1" x14ac:dyDescent="0.25">
      <c r="A241" s="22">
        <f>Dataset!A460</f>
        <v>45054</v>
      </c>
      <c r="B241" s="51">
        <f>Dataset!E460</f>
        <v>-8.6118116855822269E-3</v>
      </c>
      <c r="C241" s="51">
        <f>Dataset!K460</f>
        <v>1.1812934894007254E-2</v>
      </c>
      <c r="E241" s="8"/>
      <c r="L241" s="8"/>
      <c r="P241" s="8"/>
      <c r="T241" s="8"/>
      <c r="X241" s="8"/>
    </row>
    <row r="242" spans="1:24" hidden="1" x14ac:dyDescent="0.25">
      <c r="A242" s="22">
        <f>Dataset!A461</f>
        <v>45055</v>
      </c>
      <c r="B242" s="51">
        <f>Dataset!E461</f>
        <v>1.001690684276646E-2</v>
      </c>
      <c r="C242" s="51">
        <f>Dataset!K461</f>
        <v>-3.7317411237871578E-3</v>
      </c>
      <c r="E242" s="8"/>
      <c r="L242" s="8"/>
      <c r="P242" s="8"/>
      <c r="T242" s="8"/>
      <c r="X242" s="8"/>
    </row>
    <row r="243" spans="1:24" hidden="1" x14ac:dyDescent="0.25">
      <c r="A243" s="22">
        <f>Dataset!A462</f>
        <v>45056</v>
      </c>
      <c r="B243" s="51">
        <f>Dataset!E462</f>
        <v>-1.6266903148953737E-4</v>
      </c>
      <c r="C243" s="51">
        <f>Dataset!K462</f>
        <v>1.7658390410959512E-3</v>
      </c>
      <c r="E243" s="8"/>
      <c r="L243" s="8"/>
      <c r="P243" s="8"/>
      <c r="T243" s="8"/>
      <c r="X243" s="8"/>
    </row>
    <row r="244" spans="1:24" hidden="1" x14ac:dyDescent="0.25">
      <c r="A244" s="22">
        <f>Dataset!A463</f>
        <v>45057</v>
      </c>
      <c r="B244" s="51">
        <f>Dataset!E463</f>
        <v>2.7868164165003595E-3</v>
      </c>
      <c r="C244" s="51">
        <f>Dataset!K463</f>
        <v>3.3652048501684462E-3</v>
      </c>
      <c r="E244" s="8"/>
      <c r="L244" s="8"/>
      <c r="P244" s="8"/>
      <c r="T244" s="8"/>
      <c r="X244" s="8"/>
    </row>
    <row r="245" spans="1:24" hidden="1" x14ac:dyDescent="0.25">
      <c r="A245" s="22">
        <f>Dataset!A464</f>
        <v>45058</v>
      </c>
      <c r="B245" s="51">
        <f>Dataset!E464</f>
        <v>5.5476759947881149E-4</v>
      </c>
      <c r="C245" s="51">
        <f>Dataset!K464</f>
        <v>5.0042589437817586E-3</v>
      </c>
      <c r="E245" s="8"/>
      <c r="L245" s="8"/>
      <c r="P245" s="8"/>
      <c r="T245" s="8"/>
      <c r="X245" s="8"/>
    </row>
    <row r="246" spans="1:24" hidden="1" x14ac:dyDescent="0.25">
      <c r="A246" s="22">
        <f>Dataset!A465</f>
        <v>45061</v>
      </c>
      <c r="B246" s="51">
        <f>Dataset!E465</f>
        <v>-1.7784566135059521E-4</v>
      </c>
      <c r="C246" s="51">
        <f>Dataset!K465</f>
        <v>1.95995338489241E-3</v>
      </c>
      <c r="E246" s="8"/>
      <c r="L246" s="8"/>
      <c r="P246" s="8"/>
      <c r="T246" s="8"/>
      <c r="X246" s="8"/>
    </row>
    <row r="247" spans="1:24" hidden="1" x14ac:dyDescent="0.25">
      <c r="A247" s="22">
        <f>Dataset!A466</f>
        <v>45062</v>
      </c>
      <c r="B247" s="51">
        <f>Dataset!E466</f>
        <v>4.6195780122735286E-3</v>
      </c>
      <c r="C247" s="51">
        <f>Dataset!K466</f>
        <v>6.3441712926248783E-4</v>
      </c>
      <c r="E247" s="8"/>
      <c r="L247" s="8"/>
      <c r="P247" s="8"/>
      <c r="T247" s="8"/>
      <c r="X247" s="8"/>
    </row>
    <row r="248" spans="1:24" hidden="1" x14ac:dyDescent="0.25">
      <c r="A248" s="22">
        <f>Dataset!A467</f>
        <v>45063</v>
      </c>
      <c r="B248" s="51">
        <f>Dataset!E467</f>
        <v>-4.2025559038878502E-3</v>
      </c>
      <c r="C248" s="51">
        <f>Dataset!K467</f>
        <v>-7.3968404924182884E-3</v>
      </c>
      <c r="E248" s="8"/>
      <c r="L248" s="8"/>
      <c r="P248" s="8"/>
      <c r="T248" s="8"/>
      <c r="X248" s="8"/>
    </row>
    <row r="249" spans="1:24" hidden="1" x14ac:dyDescent="0.25">
      <c r="A249" s="22">
        <f>Dataset!A468</f>
        <v>45064</v>
      </c>
      <c r="B249" s="51">
        <f>Dataset!E468</f>
        <v>-5.151161756938416E-3</v>
      </c>
      <c r="C249" s="51">
        <f>Dataset!K468</f>
        <v>7.611646351200374E-3</v>
      </c>
      <c r="E249" s="8"/>
      <c r="L249" s="8"/>
      <c r="P249" s="8"/>
      <c r="T249" s="8"/>
      <c r="X249" s="8"/>
    </row>
    <row r="250" spans="1:24" hidden="1" x14ac:dyDescent="0.25">
      <c r="A250" s="22">
        <f>Dataset!A469</f>
        <v>45065</v>
      </c>
      <c r="B250" s="51">
        <f>Dataset!E469</f>
        <v>-4.1895770472155647E-3</v>
      </c>
      <c r="C250" s="51">
        <f>Dataset!K469</f>
        <v>8.2408874801900289E-3</v>
      </c>
      <c r="E250" s="8"/>
      <c r="L250" s="8"/>
      <c r="P250" s="8"/>
      <c r="T250" s="8"/>
      <c r="X250" s="8"/>
    </row>
    <row r="251" spans="1:24" hidden="1" x14ac:dyDescent="0.25">
      <c r="A251" s="22">
        <f>Dataset!A470</f>
        <v>45068</v>
      </c>
      <c r="B251" s="51">
        <f>Dataset!E470</f>
        <v>3.4998442754055059E-3</v>
      </c>
      <c r="C251" s="51">
        <f>Dataset!K470</f>
        <v>-4.1391595934191505E-3</v>
      </c>
      <c r="E251" s="8"/>
      <c r="L251" s="8"/>
      <c r="P251" s="8"/>
      <c r="T251" s="8"/>
      <c r="X251" s="8"/>
    </row>
    <row r="252" spans="1:24" hidden="1" x14ac:dyDescent="0.25">
      <c r="A252" s="22">
        <f>Dataset!A471</f>
        <v>45069</v>
      </c>
      <c r="B252" s="51">
        <f>Dataset!E471</f>
        <v>6.6280904786955031E-3</v>
      </c>
      <c r="C252" s="51">
        <f>Dataset!K471</f>
        <v>3.2093439259219814E-3</v>
      </c>
      <c r="E252" s="8"/>
      <c r="L252" s="8"/>
      <c r="P252" s="8"/>
      <c r="T252" s="8"/>
      <c r="X252" s="8"/>
    </row>
    <row r="253" spans="1:24" hidden="1" x14ac:dyDescent="0.25">
      <c r="A253" s="22">
        <f>Dataset!A472</f>
        <v>45070</v>
      </c>
      <c r="B253" s="51">
        <f>Dataset!E472</f>
        <v>2.6964882943143476E-3</v>
      </c>
      <c r="C253" s="51">
        <f>Dataset!K472</f>
        <v>-1.3373190685965985E-2</v>
      </c>
      <c r="E253" s="8"/>
      <c r="L253" s="8"/>
      <c r="P253" s="8"/>
      <c r="T253" s="8"/>
      <c r="X253" s="8"/>
    </row>
    <row r="254" spans="1:24" hidden="1" x14ac:dyDescent="0.25">
      <c r="A254" s="22">
        <f>Dataset!A473</f>
        <v>45071</v>
      </c>
      <c r="B254" s="51">
        <f>Dataset!E473</f>
        <v>-2.0742562905209372E-3</v>
      </c>
      <c r="C254" s="51">
        <f>Dataset!K473</f>
        <v>-8.5047573486418671E-4</v>
      </c>
      <c r="E254" s="8"/>
      <c r="L254" s="8"/>
      <c r="P254" s="8"/>
      <c r="T254" s="8"/>
      <c r="X254" s="8"/>
    </row>
    <row r="255" spans="1:24" hidden="1" x14ac:dyDescent="0.25">
      <c r="A255" s="22">
        <f>Dataset!A474</f>
        <v>45072</v>
      </c>
      <c r="B255" s="51">
        <f>Dataset!E474</f>
        <v>2.5903759178600438E-3</v>
      </c>
      <c r="C255" s="51">
        <f>Dataset!K474</f>
        <v>1.1544395382241834E-2</v>
      </c>
      <c r="E255" s="8"/>
      <c r="L255" s="8"/>
      <c r="P255" s="8"/>
      <c r="T255" s="8"/>
      <c r="X255" s="8"/>
    </row>
    <row r="256" spans="1:24" hidden="1" x14ac:dyDescent="0.25">
      <c r="A256" s="22">
        <f>Dataset!A475</f>
        <v>45075</v>
      </c>
      <c r="B256" s="51">
        <f>Dataset!E475</f>
        <v>9.6106764457686289E-3</v>
      </c>
      <c r="C256" s="51">
        <f>Dataset!K475</f>
        <v>-2.6822341432629626E-3</v>
      </c>
      <c r="E256" s="8"/>
      <c r="L256" s="8"/>
      <c r="P256" s="8"/>
      <c r="T256" s="8"/>
      <c r="X256" s="8"/>
    </row>
    <row r="257" spans="1:24" hidden="1" x14ac:dyDescent="0.25">
      <c r="A257" s="22">
        <f>Dataset!A476</f>
        <v>45076</v>
      </c>
      <c r="B257" s="51">
        <f>Dataset!E476</f>
        <v>5.0769016453493521E-3</v>
      </c>
      <c r="C257" s="51">
        <f>Dataset!K476</f>
        <v>1.8984337921215122E-3</v>
      </c>
      <c r="E257" s="8"/>
      <c r="L257" s="8"/>
      <c r="P257" s="8"/>
      <c r="T257" s="8"/>
      <c r="X257" s="8"/>
    </row>
    <row r="258" spans="1:24" hidden="1" x14ac:dyDescent="0.25">
      <c r="A258" s="22">
        <f>Dataset!A477</f>
        <v>45077</v>
      </c>
      <c r="B258" s="51">
        <f>Dataset!E477</f>
        <v>1.5913512625576054E-3</v>
      </c>
      <c r="C258" s="51">
        <f>Dataset!K477</f>
        <v>-8.4214958682038432E-4</v>
      </c>
      <c r="E258" s="8"/>
      <c r="L258" s="8"/>
      <c r="P258" s="8"/>
      <c r="T258" s="8"/>
      <c r="X258" s="8"/>
    </row>
    <row r="259" spans="1:24" hidden="1" x14ac:dyDescent="0.25">
      <c r="A259" s="22">
        <f>Dataset!A478</f>
        <v>45078</v>
      </c>
      <c r="B259" s="51">
        <f>Dataset!E478</f>
        <v>-3.1622700691394945E-3</v>
      </c>
      <c r="C259" s="51">
        <f>Dataset!K478</f>
        <v>-1.3749143970921307E-2</v>
      </c>
      <c r="E259" s="8"/>
      <c r="L259" s="8"/>
      <c r="P259" s="8"/>
      <c r="T259" s="8"/>
      <c r="X259" s="8"/>
    </row>
    <row r="260" spans="1:24" hidden="1" x14ac:dyDescent="0.25">
      <c r="A260" s="22">
        <f>Dataset!A479</f>
        <v>45079</v>
      </c>
      <c r="B260" s="51">
        <f>Dataset!E479</f>
        <v>-1.3213639355049711E-3</v>
      </c>
      <c r="C260" s="51">
        <f>Dataset!K479</f>
        <v>2.1899369725455475E-3</v>
      </c>
      <c r="E260" s="8"/>
      <c r="L260" s="8"/>
      <c r="P260" s="8"/>
      <c r="T260" s="8"/>
      <c r="X260" s="8"/>
    </row>
    <row r="261" spans="1:24" hidden="1" x14ac:dyDescent="0.25">
      <c r="A261" s="22">
        <f>Dataset!A480</f>
        <v>45082</v>
      </c>
      <c r="B261" s="51">
        <f>Dataset!E480</f>
        <v>3.0323467480783961E-3</v>
      </c>
      <c r="C261" s="51">
        <f>Dataset!K480</f>
        <v>9.1669775622236216E-3</v>
      </c>
      <c r="E261" s="8"/>
      <c r="L261" s="8"/>
      <c r="P261" s="8"/>
      <c r="T261" s="8"/>
      <c r="X261" s="8"/>
    </row>
    <row r="262" spans="1:24" hidden="1" x14ac:dyDescent="0.25">
      <c r="A262" s="22">
        <f>Dataset!A481</f>
        <v>45083</v>
      </c>
      <c r="B262" s="51">
        <f>Dataset!E481</f>
        <v>2.8537992485679897E-3</v>
      </c>
      <c r="C262" s="51">
        <f>Dataset!K481</f>
        <v>-4.9115394771587217E-3</v>
      </c>
      <c r="E262" s="8"/>
      <c r="L262" s="8"/>
      <c r="P262" s="8"/>
      <c r="T262" s="8"/>
      <c r="X262" s="8"/>
    </row>
    <row r="263" spans="1:24" hidden="1" x14ac:dyDescent="0.25">
      <c r="A263" s="22">
        <f>Dataset!A482</f>
        <v>45084</v>
      </c>
      <c r="B263" s="51">
        <f>Dataset!E482</f>
        <v>7.3701019530769685E-4</v>
      </c>
      <c r="C263" s="51">
        <f>Dataset!K482</f>
        <v>-2.0167710434135788E-3</v>
      </c>
      <c r="E263" s="8"/>
      <c r="L263" s="8"/>
      <c r="P263" s="8"/>
      <c r="T263" s="8"/>
      <c r="X263" s="8"/>
    </row>
    <row r="264" spans="1:24" hidden="1" x14ac:dyDescent="0.25">
      <c r="A264" s="22">
        <f>Dataset!A483</f>
        <v>45085</v>
      </c>
      <c r="B264" s="51">
        <f>Dataset!E483</f>
        <v>7.5641340370689036E-3</v>
      </c>
      <c r="C264" s="51">
        <f>Dataset!K483</f>
        <v>-2.4462880238247386E-3</v>
      </c>
      <c r="E264" s="8"/>
      <c r="L264" s="8"/>
      <c r="P264" s="8"/>
      <c r="T264" s="8"/>
      <c r="X264" s="8"/>
    </row>
    <row r="265" spans="1:24" hidden="1" x14ac:dyDescent="0.25">
      <c r="A265" s="22">
        <f>Dataset!A484</f>
        <v>45086</v>
      </c>
      <c r="B265" s="51">
        <f>Dataset!E484</f>
        <v>-5.2282406208916665E-3</v>
      </c>
      <c r="C265" s="51">
        <f>Dataset!K484</f>
        <v>1.599317624481067E-4</v>
      </c>
      <c r="E265" s="8"/>
      <c r="L265" s="8"/>
      <c r="P265" s="8"/>
      <c r="T265" s="8"/>
      <c r="X265" s="8"/>
    </row>
    <row r="266" spans="1:24" hidden="1" x14ac:dyDescent="0.25">
      <c r="A266" s="22">
        <f>Dataset!A485</f>
        <v>45089</v>
      </c>
      <c r="B266" s="51">
        <f>Dataset!E485</f>
        <v>-3.0156600009185741E-3</v>
      </c>
      <c r="C266" s="51">
        <f>Dataset!K485</f>
        <v>-2.2386866371727487E-3</v>
      </c>
      <c r="E266" s="8"/>
      <c r="L266" s="8"/>
      <c r="P266" s="8"/>
      <c r="T266" s="8"/>
      <c r="X266" s="8"/>
    </row>
    <row r="267" spans="1:24" hidden="1" x14ac:dyDescent="0.25">
      <c r="A267" s="22">
        <f>Dataset!A486</f>
        <v>45090</v>
      </c>
      <c r="B267" s="51">
        <f>Dataset!E486</f>
        <v>2.7995864596235265E-3</v>
      </c>
      <c r="C267" s="51">
        <f>Dataset!K486</f>
        <v>8.1200918852502024E-3</v>
      </c>
      <c r="E267" s="8"/>
      <c r="L267" s="8"/>
      <c r="P267" s="8"/>
      <c r="T267" s="8"/>
      <c r="X267" s="8"/>
    </row>
    <row r="268" spans="1:24" hidden="1" x14ac:dyDescent="0.25">
      <c r="A268" s="22">
        <f>Dataset!A487</f>
        <v>45091</v>
      </c>
      <c r="B268" s="51">
        <f>Dataset!E487</f>
        <v>7.3647624443049509E-3</v>
      </c>
      <c r="C268" s="51">
        <f>Dataset!K487</f>
        <v>-3.9743521805946092E-3</v>
      </c>
      <c r="E268" s="8"/>
      <c r="L268" s="8"/>
      <c r="P268" s="8"/>
      <c r="T268" s="8"/>
      <c r="X268" s="8"/>
    </row>
    <row r="269" spans="1:24" hidden="1" x14ac:dyDescent="0.25">
      <c r="A269" s="22">
        <f>Dataset!A488</f>
        <v>45092</v>
      </c>
      <c r="B269" s="51">
        <f>Dataset!E488</f>
        <v>2.006322957198492E-3</v>
      </c>
      <c r="C269" s="51">
        <f>Dataset!K488</f>
        <v>-1.4045541604596701E-2</v>
      </c>
      <c r="E269" s="8"/>
      <c r="L269" s="8"/>
      <c r="P269" s="8"/>
      <c r="T269" s="8"/>
      <c r="X269" s="8"/>
    </row>
    <row r="270" spans="1:24" hidden="1" x14ac:dyDescent="0.25">
      <c r="A270" s="22">
        <f>Dataset!A489</f>
        <v>45093</v>
      </c>
      <c r="B270" s="51">
        <f>Dataset!E489</f>
        <v>-2.083206925146186E-3</v>
      </c>
      <c r="C270" s="51">
        <f>Dataset!K489</f>
        <v>8.2020289229440824E-3</v>
      </c>
      <c r="E270" s="8"/>
      <c r="L270" s="8"/>
      <c r="P270" s="8"/>
      <c r="T270" s="8"/>
      <c r="X270" s="8"/>
    </row>
    <row r="271" spans="1:24" x14ac:dyDescent="0.25">
      <c r="A271" s="22">
        <f>Dataset!A490</f>
        <v>45096</v>
      </c>
      <c r="B271" s="51">
        <f>Dataset!E490</f>
        <v>7.6357924604784078E-3</v>
      </c>
      <c r="C271" s="51">
        <f>Dataset!K490</f>
        <v>-1.1828302290730064E-2</v>
      </c>
      <c r="E271" s="8"/>
      <c r="L271" s="8"/>
      <c r="P271" s="8"/>
      <c r="T271" s="8"/>
      <c r="X271" s="8"/>
    </row>
    <row r="272" spans="1:24" ht="28.5" customHeight="1" x14ac:dyDescent="0.25">
      <c r="A272" s="22">
        <f>Dataset!A491</f>
        <v>45097</v>
      </c>
      <c r="B272" s="51">
        <f>Dataset!E491</f>
        <v>-2.9617784750612941E-3</v>
      </c>
      <c r="C272" s="51">
        <f>Dataset!K491</f>
        <v>2.5997941829605242E-3</v>
      </c>
      <c r="E272" s="8"/>
      <c r="F272" s="19"/>
      <c r="G272" s="19"/>
      <c r="L272" s="8"/>
      <c r="P272" s="8"/>
      <c r="T272" s="8"/>
      <c r="X272" s="8"/>
    </row>
    <row r="273" spans="1:24" x14ac:dyDescent="0.25">
      <c r="A273" s="22">
        <f>Dataset!A492</f>
        <v>45098</v>
      </c>
      <c r="B273" s="51">
        <f>Dataset!E492</f>
        <v>3.520309867963034E-3</v>
      </c>
      <c r="C273" s="51">
        <f>Dataset!K492</f>
        <v>-9.1837285938078939E-4</v>
      </c>
      <c r="E273" s="8"/>
      <c r="L273" s="8"/>
      <c r="P273" s="8"/>
      <c r="T273" s="8"/>
      <c r="X273" s="8"/>
    </row>
    <row r="274" spans="1:24" ht="26.25" customHeight="1" x14ac:dyDescent="0.25">
      <c r="A274" s="22">
        <f>Dataset!A493</f>
        <v>45099</v>
      </c>
      <c r="B274" s="51">
        <f>Dataset!E493</f>
        <v>2.6485606304278431E-3</v>
      </c>
      <c r="C274" s="51">
        <f>Dataset!K493</f>
        <v>1.135503406510141E-3</v>
      </c>
      <c r="E274" s="8"/>
      <c r="G274" s="19"/>
      <c r="H274" s="19"/>
      <c r="L274" s="8"/>
      <c r="M274" t="s">
        <v>39</v>
      </c>
      <c r="P274" s="8"/>
      <c r="T274" s="8"/>
      <c r="X274" s="8"/>
    </row>
    <row r="275" spans="1:24" x14ac:dyDescent="0.25">
      <c r="A275" s="22">
        <f>Dataset!A494</f>
        <v>45100</v>
      </c>
      <c r="B275" s="51">
        <f>Dataset!E494</f>
        <v>-6.2906322210694032E-3</v>
      </c>
      <c r="C275" s="51">
        <f>Dataset!K494</f>
        <v>-2.4304617877396462E-3</v>
      </c>
      <c r="E275" s="8"/>
      <c r="L275" s="8"/>
      <c r="P275" s="8"/>
      <c r="T275" s="8"/>
      <c r="X275" s="8"/>
    </row>
    <row r="276" spans="1:24" x14ac:dyDescent="0.25">
      <c r="A276" s="26">
        <f>Dataset!A495</f>
        <v>45103</v>
      </c>
      <c r="B276" s="52">
        <f>Dataset!E495</f>
        <v>-7.5612364311365976E-3</v>
      </c>
      <c r="C276" s="52">
        <f>Dataset!K495</f>
        <v>4.2772062804548039E-3</v>
      </c>
      <c r="D276" s="4">
        <f t="shared" ref="D276:D281" si="0">C276-($B$2+$B$3*B276)</f>
        <v>4.2805659293756754E-3</v>
      </c>
      <c r="E276" s="15">
        <f t="shared" ref="E276:E281" si="1">D276/$B$5</f>
        <v>0.3714408185647422</v>
      </c>
      <c r="F276" s="16" t="str">
        <f t="shared" ref="F276:F281" si="2">IF(ABS(E276)&lt;1.96,"no","yes")</f>
        <v>no</v>
      </c>
      <c r="G276" s="5">
        <f>D276</f>
        <v>4.2805659293756754E-3</v>
      </c>
      <c r="H276" t="e">
        <f ca="1">getformula(G276)</f>
        <v>#NAME?</v>
      </c>
      <c r="L276" s="8"/>
      <c r="M276" t="str">
        <f t="shared" ref="M276:M282" si="3">TEXT(A276,"dd-mmm")</f>
        <v>26-Jun</v>
      </c>
      <c r="P276" s="8"/>
      <c r="T276" s="8"/>
      <c r="X276" s="8"/>
    </row>
    <row r="277" spans="1:24" x14ac:dyDescent="0.25">
      <c r="A277" s="26">
        <f>Dataset!A496</f>
        <v>45104</v>
      </c>
      <c r="B277" s="52">
        <f>Dataset!E496</f>
        <v>2.9936619754102889E-3</v>
      </c>
      <c r="C277" s="52">
        <f>Dataset!K496</f>
        <v>9.3266483368374953E-3</v>
      </c>
      <c r="D277" s="4">
        <f t="shared" si="0"/>
        <v>8.2274009023990367E-3</v>
      </c>
      <c r="E277" s="15">
        <f t="shared" si="1"/>
        <v>0.71392254581933656</v>
      </c>
      <c r="F277" s="16" t="str">
        <f t="shared" si="2"/>
        <v>no</v>
      </c>
      <c r="G277" s="5">
        <f t="shared" ref="G277:G282" si="4">G276+D277</f>
        <v>1.2507966831774712E-2</v>
      </c>
      <c r="H277" t="e">
        <f ca="1">getformula(G277)</f>
        <v>#NAME?</v>
      </c>
      <c r="L277" s="8"/>
      <c r="M277" t="str">
        <f t="shared" si="3"/>
        <v>27-Jun</v>
      </c>
      <c r="P277" s="8"/>
      <c r="T277" s="8"/>
      <c r="X277" s="8"/>
    </row>
    <row r="278" spans="1:24" x14ac:dyDescent="0.25">
      <c r="A278" s="26">
        <f>Dataset!A497</f>
        <v>45105</v>
      </c>
      <c r="B278" s="52">
        <f>Dataset!E497</f>
        <v>6.1721513342589684E-3</v>
      </c>
      <c r="C278" s="52">
        <f>Dataset!K497</f>
        <v>1.4421536160666992E-3</v>
      </c>
      <c r="D278" s="4">
        <f t="shared" si="0"/>
        <v>1.0868416179452478E-5</v>
      </c>
      <c r="E278" s="15">
        <f t="shared" si="1"/>
        <v>9.4309338269832766E-4</v>
      </c>
      <c r="F278" s="16" t="str">
        <f t="shared" si="2"/>
        <v>no</v>
      </c>
      <c r="G278" s="5">
        <f t="shared" si="4"/>
        <v>1.2518835247954165E-2</v>
      </c>
      <c r="H278" t="e">
        <f ca="1">getformula(G278)</f>
        <v>#NAME?</v>
      </c>
      <c r="L278" s="8"/>
      <c r="M278" t="str">
        <f t="shared" si="3"/>
        <v>28-Jun</v>
      </c>
      <c r="P278" s="8"/>
      <c r="T278" s="8"/>
      <c r="X278" s="8"/>
    </row>
    <row r="279" spans="1:24" x14ac:dyDescent="0.25">
      <c r="A279" s="26">
        <f>Dataset!A498</f>
        <v>45107</v>
      </c>
      <c r="B279" s="52">
        <f>Dataset!E498</f>
        <v>7.7660710328573135E-3</v>
      </c>
      <c r="C279" s="52">
        <f>Dataset!K498</f>
        <v>-3.0401621419808844E-3</v>
      </c>
      <c r="D279" s="4">
        <f t="shared" si="0"/>
        <v>-4.6379545958735698E-3</v>
      </c>
      <c r="E279" s="15">
        <f t="shared" si="1"/>
        <v>-0.4024527784363896</v>
      </c>
      <c r="F279" s="16" t="str">
        <f t="shared" si="2"/>
        <v>no</v>
      </c>
      <c r="G279" s="5">
        <f t="shared" si="4"/>
        <v>7.8808806520805942E-3</v>
      </c>
      <c r="L279" s="8"/>
      <c r="M279" t="str">
        <f t="shared" si="3"/>
        <v>30-Jun</v>
      </c>
      <c r="P279" s="8"/>
      <c r="T279" s="8"/>
      <c r="X279" s="8"/>
    </row>
    <row r="280" spans="1:24" x14ac:dyDescent="0.25">
      <c r="A280" s="26">
        <f>Dataset!A499</f>
        <v>45110</v>
      </c>
      <c r="B280" s="52">
        <f>Dataset!E499</f>
        <v>9.9401293366250254E-3</v>
      </c>
      <c r="C280" s="52">
        <f>Dataset!K499</f>
        <v>8.5063128611169159E-3</v>
      </c>
      <c r="D280" s="4">
        <f t="shared" si="0"/>
        <v>6.681409544282757E-3</v>
      </c>
      <c r="E280" s="15">
        <f t="shared" si="1"/>
        <v>0.5797710562670001</v>
      </c>
      <c r="F280" s="16" t="str">
        <f t="shared" si="2"/>
        <v>no</v>
      </c>
      <c r="G280" s="5">
        <f t="shared" si="4"/>
        <v>1.4562290196363351E-2</v>
      </c>
      <c r="L280" s="8"/>
      <c r="M280" t="str">
        <f t="shared" si="3"/>
        <v>03-Jul</v>
      </c>
      <c r="P280" s="8"/>
      <c r="T280" s="8"/>
      <c r="X280" s="8"/>
    </row>
    <row r="281" spans="1:24" x14ac:dyDescent="0.25">
      <c r="A281" s="26">
        <f>Dataset!A500</f>
        <v>45111</v>
      </c>
      <c r="B281" s="52">
        <f>Dataset!E500</f>
        <v>5.9429849520256095E-3</v>
      </c>
      <c r="C281" s="52">
        <f>Dataset!K500</f>
        <v>2.2810460983502256E-3</v>
      </c>
      <c r="D281" s="4">
        <f t="shared" si="0"/>
        <v>8.7370053924261957E-4</v>
      </c>
      <c r="E281" s="15">
        <f t="shared" si="1"/>
        <v>7.5814284566823154E-2</v>
      </c>
      <c r="F281" s="16" t="str">
        <f t="shared" si="2"/>
        <v>no</v>
      </c>
      <c r="G281" s="5">
        <f t="shared" si="4"/>
        <v>1.543599073560597E-2</v>
      </c>
      <c r="L281" s="8"/>
      <c r="M281" t="str">
        <f t="shared" si="3"/>
        <v>04-Jul</v>
      </c>
      <c r="P281" s="8"/>
      <c r="T281" s="8"/>
      <c r="X281" s="8"/>
    </row>
    <row r="282" spans="1:24" x14ac:dyDescent="0.25">
      <c r="A282" s="49">
        <f>Dataset!A501</f>
        <v>45112</v>
      </c>
      <c r="B282" s="52">
        <f>Dataset!E501</f>
        <v>1.8102396599897208E-3</v>
      </c>
      <c r="C282" s="52">
        <f>Dataset!K501</f>
        <v>1.4078543452948011E-2</v>
      </c>
      <c r="D282" s="4">
        <f>C282-($B$2+$B$3*B282)</f>
        <v>1.3102921067025307E-2</v>
      </c>
      <c r="E282" s="15">
        <f>D282/$B$5</f>
        <v>1.1369897828988551</v>
      </c>
      <c r="F282" s="16" t="str">
        <f>IF(ABS(E282)&lt;1.96,"no","yes")</f>
        <v>no</v>
      </c>
      <c r="G282" s="5">
        <f t="shared" si="4"/>
        <v>2.8538911802631278E-2</v>
      </c>
      <c r="L282" s="8"/>
      <c r="M282" t="str">
        <f t="shared" si="3"/>
        <v>05-Jul</v>
      </c>
      <c r="P282" s="8"/>
      <c r="T282" s="8"/>
      <c r="X282" s="8"/>
    </row>
    <row r="283" spans="1:24" x14ac:dyDescent="0.25">
      <c r="A283" s="22">
        <f>Dataset!A502</f>
        <v>45113</v>
      </c>
      <c r="B283" s="51">
        <f>Dataset!E502</f>
        <v>2.2096083591940374E-3</v>
      </c>
      <c r="C283" s="51">
        <f>Dataset!K502</f>
        <v>1.4613778705636626E-3</v>
      </c>
      <c r="E283" s="8"/>
      <c r="L283" s="8"/>
      <c r="P283" s="8"/>
      <c r="T283" s="8"/>
      <c r="X283" s="8"/>
    </row>
    <row r="284" spans="1:24" x14ac:dyDescent="0.25">
      <c r="A284" s="22">
        <f>Dataset!A503</f>
        <v>45114</v>
      </c>
      <c r="B284" s="51">
        <f>Dataset!E503</f>
        <v>5.7715108816007721E-3</v>
      </c>
      <c r="C284" s="51">
        <f>Dataset!K503</f>
        <v>-1.3550135501354976E-2</v>
      </c>
      <c r="E284" s="8"/>
      <c r="L284" s="8"/>
      <c r="P284" s="8"/>
      <c r="T284" s="8"/>
      <c r="X284" s="8"/>
    </row>
    <row r="285" spans="1:24" x14ac:dyDescent="0.25">
      <c r="A285" s="22">
        <f>Dataset!A504</f>
        <v>45117</v>
      </c>
      <c r="B285" s="51">
        <f>Dataset!E504</f>
        <v>-8.3883790261296554E-3</v>
      </c>
      <c r="C285" s="51">
        <f>Dataset!K504</f>
        <v>2.1132713440406015E-3</v>
      </c>
      <c r="E285" s="8"/>
      <c r="L285" s="8"/>
      <c r="P285" s="8"/>
      <c r="T285" s="8"/>
      <c r="X285" s="8"/>
    </row>
    <row r="286" spans="1:24" x14ac:dyDescent="0.25">
      <c r="A286" s="22">
        <f>Dataset!A505</f>
        <v>45118</v>
      </c>
      <c r="B286" s="51">
        <f>Dataset!E505</f>
        <v>-2.6527544433641026E-4</v>
      </c>
      <c r="C286" s="51">
        <f>Dataset!K505</f>
        <v>-3.637705609447428E-3</v>
      </c>
      <c r="E286" s="8"/>
      <c r="L286" s="8"/>
      <c r="P286" s="8"/>
      <c r="T286" s="8"/>
      <c r="X286" s="8"/>
    </row>
    <row r="287" spans="1:24" x14ac:dyDescent="0.25">
      <c r="A287" s="22">
        <f>Dataset!A506</f>
        <v>45119</v>
      </c>
      <c r="B287" s="51">
        <f>Dataset!E506</f>
        <v>5.4199343514751419E-3</v>
      </c>
      <c r="C287" s="51">
        <f>Dataset!K506</f>
        <v>-5.820413778507838E-4</v>
      </c>
      <c r="E287" s="8"/>
      <c r="L287" s="8"/>
      <c r="P287" s="8"/>
      <c r="T287" s="8"/>
      <c r="X287" s="8"/>
    </row>
    <row r="288" spans="1:24" x14ac:dyDescent="0.25">
      <c r="A288" s="22">
        <f>Dataset!A507</f>
        <v>45120</v>
      </c>
      <c r="B288" s="51">
        <f>Dataset!E507</f>
        <v>-1.1680701428563589E-3</v>
      </c>
      <c r="C288" s="51">
        <f>Dataset!K507</f>
        <v>1.1965268953833208E-2</v>
      </c>
      <c r="E288" s="8"/>
      <c r="L288" s="8"/>
      <c r="P288" s="8"/>
      <c r="T288" s="8"/>
      <c r="X288" s="8"/>
    </row>
    <row r="289" spans="1:24" x14ac:dyDescent="0.25">
      <c r="A289" s="22">
        <f>Dataset!A508</f>
        <v>45121</v>
      </c>
      <c r="B289" s="51">
        <f>Dataset!E508</f>
        <v>-6.3609496408512101E-4</v>
      </c>
      <c r="C289" s="51">
        <f>Dataset!K508</f>
        <v>4.5516375431620126E-3</v>
      </c>
      <c r="E289" s="8"/>
      <c r="L289" s="8"/>
      <c r="P289" s="8"/>
      <c r="T289" s="8"/>
      <c r="X289" s="8"/>
    </row>
    <row r="290" spans="1:24" x14ac:dyDescent="0.25">
      <c r="A290" s="22">
        <f>Dataset!A509</f>
        <v>45124</v>
      </c>
      <c r="B290" s="51">
        <f>Dataset!E509</f>
        <v>8.2500171365340602E-3</v>
      </c>
      <c r="C290" s="51">
        <f>Dataset!K509</f>
        <v>9.0099473985731926E-3</v>
      </c>
      <c r="E290" s="8"/>
      <c r="L290" s="8"/>
      <c r="P290" s="8"/>
      <c r="T290" s="8"/>
      <c r="X290" s="8"/>
    </row>
    <row r="291" spans="1:24" x14ac:dyDescent="0.25">
      <c r="A291" s="22">
        <f>Dataset!A510</f>
        <v>45125</v>
      </c>
      <c r="B291" s="51">
        <f>Dataset!E510</f>
        <v>6.2109388278368538E-3</v>
      </c>
      <c r="C291" s="51">
        <f>Dataset!K510</f>
        <v>6.9681015794362811E-3</v>
      </c>
      <c r="E291" s="8"/>
      <c r="L291" s="8"/>
      <c r="P291" s="8"/>
      <c r="T291" s="8"/>
      <c r="X291" s="8"/>
    </row>
    <row r="292" spans="1:24" x14ac:dyDescent="0.25">
      <c r="A292" s="22">
        <f>Dataset!A511</f>
        <v>45126</v>
      </c>
      <c r="B292" s="51">
        <f>Dataset!E511</f>
        <v>7.3839560630495349E-4</v>
      </c>
      <c r="C292" s="51">
        <f>Dataset!K511</f>
        <v>-2.0503357424778157E-3</v>
      </c>
      <c r="E292" s="8"/>
      <c r="L292" s="8"/>
      <c r="P292" s="8"/>
      <c r="T292" s="8"/>
      <c r="X292" s="8"/>
    </row>
    <row r="293" spans="1:24" x14ac:dyDescent="0.25">
      <c r="A293" s="22">
        <f>Dataset!A512</f>
        <v>45127</v>
      </c>
      <c r="B293" s="51">
        <f>Dataset!E512</f>
        <v>4.6682323892379696E-3</v>
      </c>
      <c r="C293" s="51">
        <f>Dataset!K512</f>
        <v>2.2754121937438976E-2</v>
      </c>
      <c r="E293" s="8"/>
      <c r="L293" s="8"/>
      <c r="P293" s="8"/>
      <c r="T293" s="8"/>
      <c r="X293" s="8"/>
    </row>
    <row r="294" spans="1:24" x14ac:dyDescent="0.25">
      <c r="A294" s="22">
        <f>Dataset!A513</f>
        <v>45128</v>
      </c>
      <c r="B294" s="51">
        <f>Dataset!E513</f>
        <v>5.6449716071367284E-3</v>
      </c>
      <c r="C294" s="51">
        <f>Dataset!K513</f>
        <v>1.4061872237847162E-3</v>
      </c>
      <c r="E294" s="8"/>
      <c r="L294" s="8"/>
      <c r="P294" s="8"/>
      <c r="T294" s="8"/>
      <c r="X294" s="8"/>
    </row>
    <row r="295" spans="1:24" x14ac:dyDescent="0.25">
      <c r="A295" s="22">
        <f>Dataset!A514</f>
        <v>45131</v>
      </c>
      <c r="B295" s="51">
        <f>Dataset!E514</f>
        <v>-9.5941346901953217E-3</v>
      </c>
      <c r="C295" s="51">
        <f>Dataset!K514</f>
        <v>-5.015045135406182E-3</v>
      </c>
      <c r="E295" s="8"/>
      <c r="L295" s="8"/>
      <c r="P295" s="8"/>
      <c r="T295" s="8"/>
      <c r="X295" s="8"/>
    </row>
    <row r="296" spans="1:24" x14ac:dyDescent="0.25">
      <c r="A296" s="22">
        <f>Dataset!A515</f>
        <v>45132</v>
      </c>
      <c r="B296" s="51">
        <f>Dataset!E515</f>
        <v>-2.9446776517760842E-3</v>
      </c>
      <c r="C296" s="51">
        <f>Dataset!K515</f>
        <v>2.7217741935483541E-3</v>
      </c>
      <c r="E296" s="8"/>
      <c r="L296" s="8"/>
      <c r="P296" s="8"/>
      <c r="T296" s="8"/>
      <c r="X296" s="8"/>
    </row>
    <row r="297" spans="1:24" x14ac:dyDescent="0.25">
      <c r="A297" s="22">
        <f>Dataset!A516</f>
        <v>45133</v>
      </c>
      <c r="B297" s="51">
        <f>Dataset!E516</f>
        <v>1.7207876954010715E-3</v>
      </c>
      <c r="C297" s="51">
        <f>Dataset!K516</f>
        <v>1.7593244194229474E-3</v>
      </c>
      <c r="E297" s="8"/>
      <c r="L297" s="8"/>
      <c r="P297" s="8"/>
      <c r="T297" s="8"/>
      <c r="X297" s="8"/>
    </row>
    <row r="298" spans="1:24" x14ac:dyDescent="0.25">
      <c r="A298" s="22">
        <f>Dataset!A517</f>
        <v>45134</v>
      </c>
      <c r="B298" s="51">
        <f>Dataset!E517</f>
        <v>4.791592275547929E-3</v>
      </c>
      <c r="C298" s="51">
        <f>Dataset!K517</f>
        <v>-6.2220884138692867E-3</v>
      </c>
      <c r="E298" s="8"/>
      <c r="L298" s="8"/>
      <c r="P298" s="8"/>
      <c r="T298" s="8"/>
      <c r="X298" s="8"/>
    </row>
    <row r="299" spans="1:24" x14ac:dyDescent="0.25">
      <c r="A299" s="22">
        <f>Dataset!A518</f>
        <v>45135</v>
      </c>
      <c r="B299" s="51">
        <f>Dataset!E518</f>
        <v>-3.7842588279362044E-3</v>
      </c>
      <c r="C299" s="51">
        <f>Dataset!K518</f>
        <v>6.0085836909871126E-3</v>
      </c>
      <c r="E299" s="8"/>
      <c r="L299" s="8"/>
      <c r="P299" s="8"/>
      <c r="T299" s="8"/>
      <c r="X299" s="8"/>
    </row>
    <row r="300" spans="1:24" x14ac:dyDescent="0.25">
      <c r="E300" s="8"/>
      <c r="L300" s="8"/>
      <c r="P300" s="8"/>
      <c r="T300" s="8"/>
      <c r="X300" s="8"/>
    </row>
    <row r="301" spans="1:24" x14ac:dyDescent="0.25">
      <c r="E301" s="8"/>
      <c r="L301" s="8"/>
      <c r="P301" s="8"/>
      <c r="T301" s="8"/>
      <c r="X301" s="8"/>
    </row>
    <row r="302" spans="1:24" x14ac:dyDescent="0.25">
      <c r="E302" s="8"/>
      <c r="L302" s="8"/>
      <c r="P302" s="8"/>
      <c r="T302" s="8"/>
      <c r="X302" s="8"/>
    </row>
    <row r="303" spans="1:24" x14ac:dyDescent="0.25">
      <c r="E303" s="8"/>
      <c r="L303" s="8"/>
      <c r="P303" s="8"/>
      <c r="T303" s="8"/>
      <c r="X303" s="8"/>
    </row>
    <row r="304" spans="1:24" x14ac:dyDescent="0.25">
      <c r="E304" s="8"/>
      <c r="L304" s="8"/>
      <c r="P304" s="8"/>
      <c r="T304" s="8"/>
      <c r="X304" s="8"/>
    </row>
    <row r="305" spans="1:24" x14ac:dyDescent="0.25">
      <c r="E305" s="8"/>
      <c r="L305" s="8"/>
      <c r="P305" s="8"/>
      <c r="T305" s="8"/>
      <c r="X305" s="8"/>
    </row>
    <row r="306" spans="1:24" x14ac:dyDescent="0.25">
      <c r="E306" s="8"/>
      <c r="L306" s="8"/>
      <c r="P306" s="8"/>
      <c r="T306" s="8"/>
      <c r="X306" s="8"/>
    </row>
    <row r="307" spans="1:24" x14ac:dyDescent="0.25">
      <c r="E307" s="8"/>
      <c r="L307" s="8"/>
      <c r="P307" s="8"/>
      <c r="T307" s="8"/>
      <c r="X307" s="8"/>
    </row>
    <row r="308" spans="1:24" x14ac:dyDescent="0.25">
      <c r="E308" s="8"/>
      <c r="L308" s="8"/>
      <c r="P308" s="8"/>
      <c r="T308" s="8"/>
      <c r="X308" s="8"/>
    </row>
    <row r="309" spans="1:24" x14ac:dyDescent="0.25">
      <c r="E309" s="8"/>
      <c r="L309" s="8"/>
      <c r="P309" s="8"/>
      <c r="T309" s="8"/>
      <c r="X309" s="8"/>
    </row>
    <row r="310" spans="1:24" x14ac:dyDescent="0.25">
      <c r="E310" s="8"/>
      <c r="L310" s="8"/>
      <c r="P310" s="8"/>
      <c r="T310" s="8"/>
      <c r="X310" s="8"/>
    </row>
    <row r="311" spans="1:24" x14ac:dyDescent="0.25">
      <c r="E311" s="8"/>
      <c r="L311" s="8"/>
      <c r="P311" s="8"/>
      <c r="T311" s="8"/>
      <c r="X311" s="8"/>
    </row>
    <row r="312" spans="1:24" x14ac:dyDescent="0.25">
      <c r="A312" s="21" t="s">
        <v>29</v>
      </c>
      <c r="E312" s="8"/>
      <c r="L312" s="8"/>
      <c r="P312" s="8"/>
      <c r="T312" s="8"/>
      <c r="X312" s="8"/>
    </row>
    <row r="313" spans="1:24" x14ac:dyDescent="0.25">
      <c r="A313" s="27" t="s">
        <v>30</v>
      </c>
      <c r="E313" s="8"/>
      <c r="L313" s="8"/>
      <c r="P313" s="8"/>
      <c r="T313" s="8"/>
      <c r="X313" s="8"/>
    </row>
    <row r="314" spans="1:24" x14ac:dyDescent="0.25">
      <c r="A314" s="27" t="s">
        <v>31</v>
      </c>
      <c r="E314" s="8"/>
      <c r="L314" s="8"/>
      <c r="P314" s="8"/>
      <c r="T314" s="8"/>
      <c r="X314" s="8"/>
    </row>
    <row r="315" spans="1:24" x14ac:dyDescent="0.25">
      <c r="A315" s="27" t="s">
        <v>32</v>
      </c>
      <c r="E315" s="8"/>
      <c r="L315" s="8"/>
      <c r="P315" s="8"/>
      <c r="T315" s="8"/>
      <c r="X315" s="8"/>
    </row>
    <row r="316" spans="1:24" x14ac:dyDescent="0.25">
      <c r="A316" s="27" t="s">
        <v>33</v>
      </c>
      <c r="E316" s="8"/>
      <c r="L316" s="8"/>
      <c r="P316" s="8"/>
      <c r="T316" s="8"/>
      <c r="X316" s="8"/>
    </row>
    <row r="317" spans="1:24" x14ac:dyDescent="0.25">
      <c r="A317" s="27" t="s">
        <v>34</v>
      </c>
      <c r="E317" s="8"/>
      <c r="L317" s="8"/>
      <c r="P317" s="8"/>
      <c r="T317" s="8"/>
      <c r="X317" s="8"/>
    </row>
    <row r="318" spans="1:24" x14ac:dyDescent="0.25">
      <c r="A318" s="27" t="s">
        <v>35</v>
      </c>
      <c r="E318" s="8"/>
      <c r="L318" s="8"/>
      <c r="P318" s="8"/>
      <c r="T318" s="8"/>
      <c r="X318" s="8"/>
    </row>
    <row r="319" spans="1:24" x14ac:dyDescent="0.25">
      <c r="E319" s="8"/>
      <c r="L319" s="8"/>
      <c r="P319" s="8"/>
      <c r="T319" s="8"/>
      <c r="X319" s="8"/>
    </row>
    <row r="320" spans="1:24" x14ac:dyDescent="0.25">
      <c r="E320" s="8"/>
      <c r="L320" s="8"/>
      <c r="P320" s="8"/>
      <c r="T320" s="8"/>
      <c r="X320" s="8"/>
    </row>
    <row r="321" spans="5:24" x14ac:dyDescent="0.25">
      <c r="E321" s="8"/>
      <c r="L321" s="8"/>
      <c r="P321" s="8"/>
      <c r="T321" s="8"/>
      <c r="X321" s="8"/>
    </row>
    <row r="322" spans="5:24" x14ac:dyDescent="0.25">
      <c r="E322" s="8"/>
      <c r="L322" s="8"/>
      <c r="P322" s="8"/>
      <c r="T322" s="8"/>
      <c r="X322" s="8"/>
    </row>
    <row r="323" spans="5:24" x14ac:dyDescent="0.25">
      <c r="E323" s="8"/>
      <c r="L323" s="8"/>
      <c r="P323" s="8"/>
      <c r="T323" s="8"/>
      <c r="X323" s="8"/>
    </row>
    <row r="324" spans="5:24" x14ac:dyDescent="0.25">
      <c r="E324" s="8"/>
      <c r="L324" s="8"/>
      <c r="P324" s="8"/>
      <c r="T324" s="8"/>
      <c r="X324" s="8"/>
    </row>
    <row r="325" spans="5:24" x14ac:dyDescent="0.25">
      <c r="E325" s="8"/>
      <c r="L325" s="8"/>
      <c r="P325" s="8"/>
      <c r="T325" s="8"/>
      <c r="X325" s="8"/>
    </row>
    <row r="326" spans="5:24" x14ac:dyDescent="0.25">
      <c r="E326" s="8"/>
      <c r="L326" s="8"/>
      <c r="P326" s="8"/>
      <c r="T326" s="8"/>
      <c r="X326" s="8"/>
    </row>
    <row r="327" spans="5:24" x14ac:dyDescent="0.25">
      <c r="E327" s="8"/>
      <c r="L327" s="8"/>
      <c r="P327" s="8"/>
      <c r="T327" s="8"/>
      <c r="X327" s="8"/>
    </row>
    <row r="328" spans="5:24" x14ac:dyDescent="0.25">
      <c r="E328" s="8"/>
      <c r="L328" s="8"/>
      <c r="P328" s="8"/>
      <c r="T328" s="8"/>
      <c r="X328" s="8"/>
    </row>
    <row r="329" spans="5:24" x14ac:dyDescent="0.25">
      <c r="E329" s="8"/>
      <c r="L329" s="8"/>
      <c r="P329" s="8"/>
      <c r="T329" s="8"/>
      <c r="X329" s="8"/>
    </row>
    <row r="330" spans="5:24" x14ac:dyDescent="0.25">
      <c r="E330" s="8"/>
      <c r="L330" s="8"/>
      <c r="P330" s="8"/>
      <c r="T330" s="8"/>
      <c r="X330" s="8"/>
    </row>
    <row r="331" spans="5:24" x14ac:dyDescent="0.25">
      <c r="E331" s="8"/>
      <c r="L331" s="8"/>
      <c r="P331" s="8"/>
      <c r="T331" s="8"/>
      <c r="X331" s="8"/>
    </row>
    <row r="332" spans="5:24" x14ac:dyDescent="0.25">
      <c r="E332" s="8"/>
      <c r="L332" s="8"/>
      <c r="P332" s="8"/>
      <c r="T332" s="8"/>
      <c r="X332" s="8"/>
    </row>
    <row r="333" spans="5:24" x14ac:dyDescent="0.25">
      <c r="E333" s="8"/>
      <c r="L333" s="8"/>
      <c r="P333" s="8"/>
      <c r="T333" s="8"/>
      <c r="X333" s="8"/>
    </row>
    <row r="334" spans="5:24" x14ac:dyDescent="0.25">
      <c r="E334" s="8"/>
      <c r="L334" s="8"/>
      <c r="P334" s="8"/>
      <c r="T334" s="8"/>
      <c r="X334" s="8"/>
    </row>
    <row r="335" spans="5:24" x14ac:dyDescent="0.25">
      <c r="E335" s="8"/>
      <c r="L335" s="8"/>
      <c r="P335" s="8"/>
      <c r="T335" s="8"/>
      <c r="X335" s="8"/>
    </row>
    <row r="336" spans="5:24" x14ac:dyDescent="0.25">
      <c r="E336" s="8"/>
      <c r="L336" s="8"/>
      <c r="P336" s="8"/>
      <c r="T336" s="8"/>
      <c r="X336" s="8"/>
    </row>
    <row r="337" spans="5:24" x14ac:dyDescent="0.25">
      <c r="E337" s="8"/>
      <c r="L337" s="8"/>
      <c r="P337" s="8"/>
      <c r="T337" s="8"/>
      <c r="X337" s="8"/>
    </row>
    <row r="338" spans="5:24" x14ac:dyDescent="0.25">
      <c r="E338" s="8"/>
      <c r="L338" s="8"/>
      <c r="P338" s="8"/>
      <c r="T338" s="8"/>
      <c r="X338" s="8"/>
    </row>
    <row r="339" spans="5:24" x14ac:dyDescent="0.25">
      <c r="E339" s="8"/>
      <c r="L339" s="8"/>
      <c r="P339" s="8"/>
      <c r="T339" s="8"/>
      <c r="X339" s="8"/>
    </row>
    <row r="340" spans="5:24" x14ac:dyDescent="0.25">
      <c r="E340" s="8"/>
      <c r="L340" s="8"/>
      <c r="P340" s="8"/>
      <c r="T340" s="8"/>
      <c r="X340" s="8"/>
    </row>
    <row r="341" spans="5:24" x14ac:dyDescent="0.25">
      <c r="E341" s="8"/>
      <c r="L341" s="8"/>
      <c r="P341" s="8"/>
      <c r="T341" s="8"/>
      <c r="X341" s="8"/>
    </row>
    <row r="342" spans="5:24" x14ac:dyDescent="0.25">
      <c r="E342" s="8"/>
      <c r="L342" s="8"/>
      <c r="P342" s="8"/>
      <c r="T342" s="8"/>
      <c r="X342" s="8"/>
    </row>
    <row r="343" spans="5:24" x14ac:dyDescent="0.25">
      <c r="E343" s="8"/>
      <c r="L343" s="8"/>
      <c r="P343" s="8"/>
      <c r="T343" s="8"/>
      <c r="X343" s="8"/>
    </row>
    <row r="344" spans="5:24" x14ac:dyDescent="0.25">
      <c r="E344" s="8"/>
      <c r="L344" s="8"/>
      <c r="P344" s="8"/>
      <c r="T344" s="8"/>
      <c r="X344" s="8"/>
    </row>
    <row r="345" spans="5:24" x14ac:dyDescent="0.25">
      <c r="E345" s="8"/>
      <c r="L345" s="8"/>
      <c r="P345" s="8"/>
      <c r="T345" s="8"/>
      <c r="X345" s="8"/>
    </row>
    <row r="346" spans="5:24" x14ac:dyDescent="0.25">
      <c r="E346" s="8"/>
      <c r="L346" s="8"/>
      <c r="P346" s="8"/>
      <c r="T346" s="8"/>
      <c r="X346" s="8"/>
    </row>
    <row r="347" spans="5:24" x14ac:dyDescent="0.25">
      <c r="E347" s="8"/>
      <c r="L347" s="8"/>
      <c r="P347" s="8"/>
      <c r="T347" s="8"/>
      <c r="X347" s="8"/>
    </row>
    <row r="348" spans="5:24" x14ac:dyDescent="0.25">
      <c r="E348" s="8"/>
      <c r="L348" s="8"/>
      <c r="P348" s="8"/>
      <c r="T348" s="8"/>
      <c r="X348" s="8"/>
    </row>
    <row r="349" spans="5:24" x14ac:dyDescent="0.25">
      <c r="E349" s="8"/>
      <c r="L349" s="8"/>
      <c r="P349" s="8"/>
      <c r="T349" s="8"/>
      <c r="X349" s="8"/>
    </row>
    <row r="350" spans="5:24" x14ac:dyDescent="0.25">
      <c r="E350" s="8"/>
      <c r="L350" s="8"/>
      <c r="P350" s="8"/>
      <c r="T350" s="8"/>
      <c r="X350" s="8"/>
    </row>
    <row r="351" spans="5:24" x14ac:dyDescent="0.25">
      <c r="E351" s="8"/>
      <c r="L351" s="8"/>
      <c r="P351" s="8"/>
      <c r="T351" s="8"/>
      <c r="X351" s="8"/>
    </row>
    <row r="352" spans="5:24" x14ac:dyDescent="0.25">
      <c r="E352" s="8"/>
      <c r="L352" s="8"/>
      <c r="P352" s="8"/>
      <c r="T352" s="8"/>
      <c r="X352" s="8"/>
    </row>
    <row r="353" spans="5:24" x14ac:dyDescent="0.25">
      <c r="E353" s="8"/>
      <c r="L353" s="8"/>
      <c r="P353" s="8"/>
      <c r="T353" s="8"/>
      <c r="X353" s="8"/>
    </row>
    <row r="354" spans="5:24" x14ac:dyDescent="0.25">
      <c r="E354" s="8"/>
      <c r="L354" s="8"/>
      <c r="P354" s="8"/>
      <c r="T354" s="8"/>
      <c r="X354" s="8"/>
    </row>
    <row r="355" spans="5:24" x14ac:dyDescent="0.25">
      <c r="E355" s="8"/>
      <c r="L355" s="8"/>
      <c r="P355" s="8"/>
      <c r="T355" s="8"/>
      <c r="X355" s="8"/>
    </row>
    <row r="356" spans="5:24" x14ac:dyDescent="0.25">
      <c r="E356" s="8"/>
      <c r="L356" s="8"/>
      <c r="P356" s="8"/>
      <c r="T356" s="8"/>
      <c r="X356" s="8"/>
    </row>
    <row r="357" spans="5:24" x14ac:dyDescent="0.25">
      <c r="E357" s="8"/>
      <c r="L357" s="8"/>
      <c r="P357" s="8"/>
      <c r="T357" s="8"/>
      <c r="X357" s="8"/>
    </row>
    <row r="358" spans="5:24" x14ac:dyDescent="0.25">
      <c r="E358" s="8"/>
      <c r="L358" s="8"/>
      <c r="P358" s="8"/>
      <c r="T358" s="8"/>
      <c r="X358" s="8"/>
    </row>
    <row r="359" spans="5:24" x14ac:dyDescent="0.25">
      <c r="E359" s="8"/>
      <c r="L359" s="8"/>
      <c r="P359" s="8"/>
      <c r="T359" s="8"/>
      <c r="X359" s="8"/>
    </row>
    <row r="360" spans="5:24" x14ac:dyDescent="0.25">
      <c r="E360" s="8"/>
      <c r="L360" s="8"/>
      <c r="P360" s="8"/>
      <c r="T360" s="8"/>
      <c r="X360" s="8"/>
    </row>
    <row r="361" spans="5:24" x14ac:dyDescent="0.25">
      <c r="E361" s="8"/>
      <c r="L361" s="8"/>
      <c r="P361" s="8"/>
      <c r="T361" s="8"/>
      <c r="X361" s="8"/>
    </row>
    <row r="362" spans="5:24" x14ac:dyDescent="0.25">
      <c r="E362" s="8"/>
      <c r="L362" s="8"/>
      <c r="P362" s="8"/>
      <c r="T362" s="8"/>
      <c r="X362" s="8"/>
    </row>
    <row r="363" spans="5:24" x14ac:dyDescent="0.25">
      <c r="E363" s="8"/>
      <c r="L363" s="8"/>
      <c r="P363" s="8"/>
      <c r="T363" s="8"/>
      <c r="X363" s="8"/>
    </row>
    <row r="364" spans="5:24" x14ac:dyDescent="0.25">
      <c r="E364" s="8"/>
      <c r="L364" s="8"/>
      <c r="P364" s="8"/>
      <c r="T364" s="8"/>
      <c r="X364" s="8"/>
    </row>
    <row r="365" spans="5:24" x14ac:dyDescent="0.25">
      <c r="E365" s="8"/>
      <c r="L365" s="8"/>
      <c r="P365" s="8"/>
      <c r="T365" s="8"/>
      <c r="X365" s="8"/>
    </row>
    <row r="366" spans="5:24" x14ac:dyDescent="0.25">
      <c r="E366" s="8"/>
      <c r="L366" s="8"/>
      <c r="P366" s="8"/>
      <c r="T366" s="8"/>
      <c r="X366" s="8"/>
    </row>
    <row r="367" spans="5:24" x14ac:dyDescent="0.25">
      <c r="E367" s="8"/>
      <c r="L367" s="8"/>
      <c r="P367" s="8"/>
      <c r="T367" s="8"/>
      <c r="X367" s="8"/>
    </row>
    <row r="368" spans="5:24" x14ac:dyDescent="0.25">
      <c r="E368" s="8"/>
      <c r="L368" s="8"/>
      <c r="P368" s="8"/>
      <c r="T368" s="8"/>
      <c r="X368" s="8"/>
    </row>
    <row r="369" spans="5:24" x14ac:dyDescent="0.25">
      <c r="E369" s="8"/>
      <c r="L369" s="8"/>
      <c r="P369" s="8"/>
      <c r="T369" s="8"/>
      <c r="X369" s="8"/>
    </row>
    <row r="370" spans="5:24" x14ac:dyDescent="0.25">
      <c r="E370" s="8"/>
      <c r="L370" s="8"/>
      <c r="P370" s="8"/>
      <c r="T370" s="8"/>
      <c r="X370" s="8"/>
    </row>
    <row r="371" spans="5:24" x14ac:dyDescent="0.25">
      <c r="E371" s="8"/>
      <c r="L371" s="8"/>
      <c r="P371" s="8"/>
      <c r="T371" s="8"/>
      <c r="X371" s="8"/>
    </row>
    <row r="372" spans="5:24" x14ac:dyDescent="0.25">
      <c r="E372" s="8"/>
      <c r="L372" s="8"/>
      <c r="P372" s="8"/>
      <c r="T372" s="8"/>
      <c r="X372" s="8"/>
    </row>
    <row r="373" spans="5:24" x14ac:dyDescent="0.25">
      <c r="E373" s="8"/>
      <c r="L373" s="8"/>
      <c r="P373" s="8"/>
      <c r="T373" s="8"/>
      <c r="X373" s="8"/>
    </row>
    <row r="374" spans="5:24" x14ac:dyDescent="0.25">
      <c r="E374" s="8"/>
      <c r="L374" s="8"/>
      <c r="P374" s="8"/>
      <c r="T374" s="8"/>
      <c r="X374" s="8"/>
    </row>
    <row r="375" spans="5:24" x14ac:dyDescent="0.25">
      <c r="E375" s="8"/>
      <c r="L375" s="8"/>
      <c r="P375" s="8"/>
      <c r="T375" s="8"/>
      <c r="X375" s="8"/>
    </row>
    <row r="376" spans="5:24" x14ac:dyDescent="0.25">
      <c r="E376" s="8"/>
      <c r="L376" s="8"/>
      <c r="P376" s="8"/>
      <c r="T376" s="8"/>
      <c r="X376" s="8"/>
    </row>
    <row r="377" spans="5:24" x14ac:dyDescent="0.25">
      <c r="E377" s="8"/>
      <c r="L377" s="8"/>
      <c r="P377" s="8"/>
      <c r="T377" s="8"/>
      <c r="X377" s="8"/>
    </row>
    <row r="378" spans="5:24" x14ac:dyDescent="0.25">
      <c r="E378" s="8"/>
      <c r="L378" s="8"/>
      <c r="P378" s="8"/>
      <c r="T378" s="8"/>
      <c r="X378" s="8"/>
    </row>
    <row r="379" spans="5:24" x14ac:dyDescent="0.25">
      <c r="E379" s="8"/>
      <c r="L379" s="8"/>
      <c r="P379" s="8"/>
      <c r="T379" s="8"/>
      <c r="X379" s="8"/>
    </row>
    <row r="380" spans="5:24" x14ac:dyDescent="0.25">
      <c r="E380" s="8"/>
      <c r="L380" s="8"/>
      <c r="P380" s="8"/>
      <c r="T380" s="8"/>
      <c r="X380" s="8"/>
    </row>
    <row r="381" spans="5:24" x14ac:dyDescent="0.25">
      <c r="E381" s="8"/>
      <c r="L381" s="8"/>
      <c r="P381" s="8"/>
      <c r="T381" s="8"/>
      <c r="X381" s="8"/>
    </row>
    <row r="382" spans="5:24" x14ac:dyDescent="0.25">
      <c r="E382" s="8"/>
      <c r="L382" s="8"/>
      <c r="P382" s="8"/>
      <c r="T382" s="8"/>
      <c r="X382" s="8"/>
    </row>
    <row r="383" spans="5:24" x14ac:dyDescent="0.25">
      <c r="E383" s="8"/>
      <c r="L383" s="8"/>
      <c r="P383" s="8"/>
      <c r="T383" s="8"/>
      <c r="X383" s="8"/>
    </row>
    <row r="384" spans="5:24" x14ac:dyDescent="0.25">
      <c r="E384" s="8"/>
      <c r="L384" s="8"/>
      <c r="P384" s="8"/>
      <c r="T384" s="8"/>
      <c r="X384" s="8"/>
    </row>
    <row r="385" spans="5:24" x14ac:dyDescent="0.25">
      <c r="E385" s="8"/>
      <c r="L385" s="8"/>
      <c r="P385" s="8"/>
      <c r="T385" s="8"/>
      <c r="X385" s="8"/>
    </row>
    <row r="386" spans="5:24" x14ac:dyDescent="0.25">
      <c r="E386" s="8"/>
      <c r="L386" s="8"/>
      <c r="P386" s="8"/>
      <c r="T386" s="8"/>
      <c r="X386" s="8"/>
    </row>
    <row r="387" spans="5:24" x14ac:dyDescent="0.25">
      <c r="E387" s="8"/>
      <c r="L387" s="8"/>
      <c r="P387" s="8"/>
      <c r="T387" s="8"/>
      <c r="X387" s="8"/>
    </row>
    <row r="388" spans="5:24" x14ac:dyDescent="0.25">
      <c r="E388" s="8"/>
      <c r="L388" s="8"/>
      <c r="P388" s="8"/>
      <c r="T388" s="8"/>
      <c r="X388" s="8"/>
    </row>
    <row r="389" spans="5:24" x14ac:dyDescent="0.25">
      <c r="E389" s="8"/>
      <c r="L389" s="8"/>
      <c r="P389" s="8"/>
      <c r="T389" s="8"/>
      <c r="X389" s="8"/>
    </row>
    <row r="390" spans="5:24" x14ac:dyDescent="0.25">
      <c r="E390" s="8"/>
      <c r="L390" s="8"/>
      <c r="P390" s="8"/>
      <c r="T390" s="8"/>
      <c r="X390" s="8"/>
    </row>
    <row r="391" spans="5:24" x14ac:dyDescent="0.25">
      <c r="E391" s="8"/>
      <c r="L391" s="8"/>
      <c r="P391" s="8"/>
      <c r="T391" s="8"/>
      <c r="X391" s="8"/>
    </row>
    <row r="392" spans="5:24" x14ac:dyDescent="0.25">
      <c r="E392" s="8"/>
      <c r="L392" s="8"/>
      <c r="P392" s="8"/>
      <c r="T392" s="8"/>
      <c r="X392" s="8"/>
    </row>
    <row r="393" spans="5:24" x14ac:dyDescent="0.25">
      <c r="E393" s="8"/>
      <c r="L393" s="8"/>
      <c r="P393" s="8"/>
      <c r="T393" s="8"/>
      <c r="X393" s="8"/>
    </row>
    <row r="394" spans="5:24" x14ac:dyDescent="0.25">
      <c r="E394" s="8"/>
      <c r="L394" s="8"/>
      <c r="P394" s="8"/>
      <c r="T394" s="8"/>
      <c r="X394" s="8"/>
    </row>
    <row r="395" spans="5:24" x14ac:dyDescent="0.25">
      <c r="E395" s="8"/>
      <c r="L395" s="8"/>
      <c r="P395" s="8"/>
      <c r="T395" s="8"/>
      <c r="X395" s="8"/>
    </row>
    <row r="396" spans="5:24" x14ac:dyDescent="0.25">
      <c r="E396" s="8"/>
      <c r="L396" s="8"/>
      <c r="P396" s="8"/>
      <c r="T396" s="8"/>
      <c r="X396" s="8"/>
    </row>
    <row r="397" spans="5:24" x14ac:dyDescent="0.25">
      <c r="E397" s="8"/>
      <c r="L397" s="8"/>
      <c r="P397" s="8"/>
      <c r="T397" s="8"/>
      <c r="X397" s="8"/>
    </row>
    <row r="398" spans="5:24" x14ac:dyDescent="0.25">
      <c r="E398" s="8"/>
      <c r="L398" s="8"/>
      <c r="P398" s="8"/>
      <c r="T398" s="8"/>
      <c r="X398" s="8"/>
    </row>
    <row r="399" spans="5:24" x14ac:dyDescent="0.25">
      <c r="E399" s="8"/>
      <c r="L399" s="8"/>
      <c r="P399" s="8"/>
      <c r="T399" s="8"/>
      <c r="X399" s="8"/>
    </row>
    <row r="400" spans="5:24" x14ac:dyDescent="0.25">
      <c r="E400" s="8"/>
      <c r="L400" s="8"/>
      <c r="P400" s="8"/>
      <c r="T400" s="8"/>
      <c r="X400" s="8"/>
    </row>
    <row r="401" spans="5:24" x14ac:dyDescent="0.25">
      <c r="E401" s="8"/>
      <c r="L401" s="8"/>
      <c r="P401" s="8"/>
      <c r="T401" s="8"/>
      <c r="X401" s="8"/>
    </row>
    <row r="402" spans="5:24" x14ac:dyDescent="0.25">
      <c r="E402" s="8"/>
      <c r="L402" s="8"/>
      <c r="P402" s="8"/>
      <c r="T402" s="8"/>
      <c r="X402" s="8"/>
    </row>
    <row r="403" spans="5:24" x14ac:dyDescent="0.25">
      <c r="E403" s="8"/>
      <c r="L403" s="8"/>
      <c r="P403" s="8"/>
      <c r="T403" s="8"/>
      <c r="X403" s="8"/>
    </row>
    <row r="404" spans="5:24" x14ac:dyDescent="0.25">
      <c r="E404" s="8"/>
      <c r="L404" s="8"/>
      <c r="P404" s="8"/>
      <c r="T404" s="8"/>
      <c r="X404" s="8"/>
    </row>
    <row r="405" spans="5:24" x14ac:dyDescent="0.25">
      <c r="E405" s="8"/>
      <c r="L405" s="8"/>
      <c r="P405" s="8"/>
      <c r="T405" s="8"/>
      <c r="X405" s="8"/>
    </row>
    <row r="406" spans="5:24" x14ac:dyDescent="0.25">
      <c r="E406" s="8"/>
      <c r="L406" s="8"/>
      <c r="P406" s="8"/>
      <c r="T406" s="8"/>
      <c r="X406" s="8"/>
    </row>
    <row r="407" spans="5:24" x14ac:dyDescent="0.25">
      <c r="E407" s="8"/>
      <c r="L407" s="8"/>
      <c r="P407" s="8"/>
      <c r="T407" s="8"/>
      <c r="X407" s="8"/>
    </row>
    <row r="408" spans="5:24" x14ac:dyDescent="0.25">
      <c r="E408" s="8"/>
      <c r="L408" s="8"/>
      <c r="P408" s="8"/>
      <c r="T408" s="8"/>
      <c r="X408" s="8"/>
    </row>
    <row r="409" spans="5:24" x14ac:dyDescent="0.25">
      <c r="E409" s="8"/>
      <c r="L409" s="8"/>
      <c r="P409" s="8"/>
      <c r="T409" s="8"/>
      <c r="X409" s="8"/>
    </row>
    <row r="410" spans="5:24" x14ac:dyDescent="0.25">
      <c r="E410" s="8"/>
      <c r="L410" s="8"/>
      <c r="P410" s="8"/>
      <c r="T410" s="8"/>
      <c r="X410" s="8"/>
    </row>
    <row r="411" spans="5:24" x14ac:dyDescent="0.25">
      <c r="E411" s="8"/>
      <c r="L411" s="8"/>
      <c r="P411" s="8"/>
      <c r="T411" s="8"/>
      <c r="X411" s="8"/>
    </row>
    <row r="412" spans="5:24" x14ac:dyDescent="0.25">
      <c r="E412" s="8"/>
      <c r="L412" s="8"/>
      <c r="P412" s="8"/>
      <c r="T412" s="8"/>
      <c r="X412" s="8"/>
    </row>
    <row r="413" spans="5:24" x14ac:dyDescent="0.25">
      <c r="E413" s="8"/>
      <c r="L413" s="8"/>
      <c r="P413" s="8"/>
      <c r="T413" s="8"/>
      <c r="X413" s="8"/>
    </row>
    <row r="414" spans="5:24" x14ac:dyDescent="0.25">
      <c r="E414" s="8"/>
      <c r="L414" s="8"/>
      <c r="P414" s="8"/>
      <c r="T414" s="8"/>
      <c r="X414" s="8"/>
    </row>
    <row r="415" spans="5:24" x14ac:dyDescent="0.25">
      <c r="E415" s="8"/>
      <c r="L415" s="8"/>
      <c r="P415" s="8"/>
      <c r="T415" s="8"/>
      <c r="X415" s="8"/>
    </row>
    <row r="416" spans="5:24" x14ac:dyDescent="0.25">
      <c r="E416" s="8"/>
      <c r="L416" s="8"/>
      <c r="P416" s="8"/>
      <c r="T416" s="8"/>
      <c r="X416" s="8"/>
    </row>
    <row r="417" spans="5:24" x14ac:dyDescent="0.25">
      <c r="E417" s="8"/>
      <c r="L417" s="8"/>
      <c r="P417" s="8"/>
      <c r="T417" s="8"/>
      <c r="X417" s="8"/>
    </row>
    <row r="418" spans="5:24" x14ac:dyDescent="0.25">
      <c r="E418" s="8"/>
      <c r="L418" s="8"/>
      <c r="P418" s="8"/>
      <c r="T418" s="8"/>
      <c r="X418" s="8"/>
    </row>
    <row r="419" spans="5:24" x14ac:dyDescent="0.25">
      <c r="E419" s="8"/>
      <c r="L419" s="8"/>
      <c r="P419" s="8"/>
      <c r="T419" s="8"/>
      <c r="X419" s="8"/>
    </row>
    <row r="420" spans="5:24" x14ac:dyDescent="0.25">
      <c r="E420" s="8"/>
      <c r="L420" s="8"/>
      <c r="P420" s="8"/>
      <c r="T420" s="8"/>
      <c r="X420" s="8"/>
    </row>
    <row r="421" spans="5:24" x14ac:dyDescent="0.25">
      <c r="E421" s="8"/>
      <c r="L421" s="8"/>
      <c r="P421" s="8"/>
      <c r="T421" s="8"/>
      <c r="X421" s="8"/>
    </row>
    <row r="422" spans="5:24" x14ac:dyDescent="0.25">
      <c r="E422" s="8"/>
      <c r="L422" s="8"/>
      <c r="P422" s="8"/>
      <c r="T422" s="8"/>
      <c r="X422" s="8"/>
    </row>
    <row r="423" spans="5:24" x14ac:dyDescent="0.25">
      <c r="E423" s="8"/>
      <c r="L423" s="8"/>
      <c r="P423" s="8"/>
      <c r="T423" s="8"/>
      <c r="X423" s="8"/>
    </row>
    <row r="424" spans="5:24" x14ac:dyDescent="0.25">
      <c r="E424" s="8"/>
      <c r="L424" s="8"/>
      <c r="P424" s="8"/>
      <c r="T424" s="8"/>
      <c r="X424" s="8"/>
    </row>
    <row r="425" spans="5:24" x14ac:dyDescent="0.25">
      <c r="E425" s="8"/>
      <c r="L425" s="8"/>
      <c r="P425" s="8"/>
      <c r="T425" s="8"/>
      <c r="X425" s="8"/>
    </row>
    <row r="426" spans="5:24" x14ac:dyDescent="0.25">
      <c r="E426" s="8"/>
      <c r="L426" s="8"/>
      <c r="P426" s="8"/>
      <c r="T426" s="8"/>
      <c r="X426" s="8"/>
    </row>
    <row r="427" spans="5:24" x14ac:dyDescent="0.25">
      <c r="E427" s="8"/>
      <c r="L427" s="8"/>
      <c r="P427" s="8"/>
      <c r="T427" s="8"/>
      <c r="X427" s="8"/>
    </row>
    <row r="428" spans="5:24" x14ac:dyDescent="0.25">
      <c r="E428" s="8"/>
      <c r="L428" s="8"/>
      <c r="P428" s="8"/>
      <c r="T428" s="8"/>
      <c r="X428" s="8"/>
    </row>
    <row r="429" spans="5:24" x14ac:dyDescent="0.25">
      <c r="E429" s="8"/>
      <c r="L429" s="8"/>
      <c r="P429" s="8"/>
      <c r="T429" s="8"/>
      <c r="X429" s="8"/>
    </row>
    <row r="430" spans="5:24" x14ac:dyDescent="0.25">
      <c r="E430" s="8"/>
      <c r="L430" s="8"/>
      <c r="P430" s="8"/>
      <c r="T430" s="8"/>
      <c r="X430" s="8"/>
    </row>
    <row r="431" spans="5:24" x14ac:dyDescent="0.25">
      <c r="E431" s="8"/>
      <c r="L431" s="8"/>
      <c r="P431" s="8"/>
      <c r="T431" s="8"/>
      <c r="X431" s="8"/>
    </row>
    <row r="432" spans="5:24" x14ac:dyDescent="0.25">
      <c r="E432" s="8"/>
      <c r="L432" s="8"/>
      <c r="P432" s="8"/>
      <c r="T432" s="8"/>
      <c r="X432" s="8"/>
    </row>
    <row r="433" spans="5:24" x14ac:dyDescent="0.25">
      <c r="E433" s="8"/>
      <c r="L433" s="8"/>
      <c r="P433" s="8"/>
      <c r="T433" s="8"/>
      <c r="X433" s="8"/>
    </row>
    <row r="434" spans="5:24" x14ac:dyDescent="0.25">
      <c r="E434" s="8"/>
      <c r="L434" s="8"/>
      <c r="P434" s="8"/>
      <c r="T434" s="8"/>
      <c r="X434" s="8"/>
    </row>
    <row r="435" spans="5:24" x14ac:dyDescent="0.25">
      <c r="E435" s="8"/>
      <c r="L435" s="8"/>
      <c r="P435" s="8"/>
      <c r="T435" s="8"/>
      <c r="X435" s="8"/>
    </row>
    <row r="436" spans="5:24" x14ac:dyDescent="0.25">
      <c r="E436" s="8"/>
      <c r="L436" s="8"/>
      <c r="P436" s="8"/>
      <c r="T436" s="8"/>
      <c r="X436" s="8"/>
    </row>
    <row r="437" spans="5:24" x14ac:dyDescent="0.25">
      <c r="E437" s="8"/>
      <c r="L437" s="8"/>
      <c r="P437" s="8"/>
      <c r="T437" s="8"/>
      <c r="X437" s="8"/>
    </row>
    <row r="438" spans="5:24" x14ac:dyDescent="0.25">
      <c r="E438" s="8"/>
      <c r="L438" s="8"/>
      <c r="P438" s="8"/>
      <c r="T438" s="8"/>
      <c r="X438" s="8"/>
    </row>
    <row r="439" spans="5:24" x14ac:dyDescent="0.25">
      <c r="E439" s="8"/>
      <c r="L439" s="8"/>
      <c r="P439" s="8"/>
      <c r="T439" s="8"/>
      <c r="X439" s="8"/>
    </row>
    <row r="440" spans="5:24" x14ac:dyDescent="0.25">
      <c r="E440" s="8"/>
      <c r="L440" s="8"/>
      <c r="P440" s="8"/>
      <c r="T440" s="8"/>
      <c r="X440" s="8"/>
    </row>
    <row r="441" spans="5:24" x14ac:dyDescent="0.25">
      <c r="E441" s="8"/>
      <c r="L441" s="8"/>
      <c r="P441" s="8"/>
      <c r="T441" s="8"/>
      <c r="X441" s="8"/>
    </row>
    <row r="442" spans="5:24" x14ac:dyDescent="0.25">
      <c r="E442" s="8"/>
      <c r="L442" s="8"/>
      <c r="P442" s="8"/>
      <c r="T442" s="8"/>
      <c r="X442" s="8"/>
    </row>
    <row r="443" spans="5:24" x14ac:dyDescent="0.25">
      <c r="E443" s="8"/>
      <c r="L443" s="8"/>
      <c r="P443" s="8"/>
      <c r="T443" s="8"/>
      <c r="X443" s="8"/>
    </row>
    <row r="444" spans="5:24" x14ac:dyDescent="0.25">
      <c r="E444" s="8"/>
      <c r="L444" s="8"/>
      <c r="P444" s="8"/>
      <c r="T444" s="8"/>
      <c r="X444" s="8"/>
    </row>
    <row r="445" spans="5:24" x14ac:dyDescent="0.25">
      <c r="E445" s="8"/>
      <c r="L445" s="8"/>
      <c r="P445" s="8"/>
      <c r="T445" s="8"/>
      <c r="X445" s="8"/>
    </row>
    <row r="446" spans="5:24" x14ac:dyDescent="0.25">
      <c r="E446" s="8"/>
      <c r="L446" s="8"/>
      <c r="P446" s="8"/>
      <c r="T446" s="8"/>
      <c r="X446" s="8"/>
    </row>
    <row r="447" spans="5:24" x14ac:dyDescent="0.25">
      <c r="E447" s="8"/>
      <c r="L447" s="8"/>
      <c r="P447" s="8"/>
      <c r="T447" s="8"/>
      <c r="X447" s="8"/>
    </row>
    <row r="448" spans="5:24" x14ac:dyDescent="0.25">
      <c r="E448" s="8"/>
      <c r="L448" s="8"/>
      <c r="P448" s="8"/>
      <c r="T448" s="8"/>
      <c r="X448" s="8"/>
    </row>
    <row r="449" spans="5:24" x14ac:dyDescent="0.25">
      <c r="E449" s="8"/>
      <c r="L449" s="8"/>
      <c r="P449" s="8"/>
      <c r="T449" s="8"/>
      <c r="X449" s="8"/>
    </row>
    <row r="450" spans="5:24" x14ac:dyDescent="0.25">
      <c r="E450" s="8"/>
      <c r="L450" s="8"/>
      <c r="P450" s="8"/>
      <c r="T450" s="8"/>
      <c r="X450" s="8"/>
    </row>
    <row r="451" spans="5:24" x14ac:dyDescent="0.25">
      <c r="E451" s="8"/>
      <c r="L451" s="8"/>
      <c r="P451" s="8"/>
      <c r="T451" s="8"/>
      <c r="X451" s="8"/>
    </row>
    <row r="452" spans="5:24" x14ac:dyDescent="0.25">
      <c r="E452" s="8"/>
      <c r="L452" s="8"/>
      <c r="P452" s="8"/>
      <c r="T452" s="8"/>
      <c r="X452" s="8"/>
    </row>
    <row r="453" spans="5:24" x14ac:dyDescent="0.25">
      <c r="E453" s="8"/>
      <c r="L453" s="8"/>
      <c r="P453" s="8"/>
      <c r="T453" s="8"/>
      <c r="X453" s="8"/>
    </row>
    <row r="454" spans="5:24" x14ac:dyDescent="0.25">
      <c r="E454" s="8"/>
      <c r="L454" s="8"/>
      <c r="P454" s="8"/>
      <c r="T454" s="8"/>
      <c r="X454" s="8"/>
    </row>
    <row r="455" spans="5:24" x14ac:dyDescent="0.25">
      <c r="E455" s="8"/>
      <c r="L455" s="8"/>
      <c r="P455" s="8"/>
      <c r="T455" s="8"/>
      <c r="X455" s="8"/>
    </row>
    <row r="456" spans="5:24" x14ac:dyDescent="0.25">
      <c r="E456" s="8"/>
      <c r="L456" s="8"/>
      <c r="P456" s="8"/>
      <c r="T456" s="8"/>
      <c r="X456" s="8"/>
    </row>
    <row r="457" spans="5:24" x14ac:dyDescent="0.25">
      <c r="E457" s="8"/>
      <c r="L457" s="8"/>
      <c r="P457" s="8"/>
      <c r="T457" s="8"/>
      <c r="X457" s="8"/>
    </row>
    <row r="458" spans="5:24" x14ac:dyDescent="0.25">
      <c r="E458" s="8"/>
      <c r="L458" s="8"/>
      <c r="P458" s="8"/>
      <c r="T458" s="8"/>
      <c r="X458" s="8"/>
    </row>
    <row r="459" spans="5:24" x14ac:dyDescent="0.25">
      <c r="E459" s="8"/>
      <c r="L459" s="8"/>
      <c r="P459" s="8"/>
      <c r="T459" s="8"/>
      <c r="X459" s="8"/>
    </row>
    <row r="460" spans="5:24" x14ac:dyDescent="0.25">
      <c r="E460" s="8"/>
      <c r="L460" s="8"/>
      <c r="P460" s="8"/>
      <c r="T460" s="8"/>
      <c r="X460" s="8"/>
    </row>
    <row r="461" spans="5:24" x14ac:dyDescent="0.25">
      <c r="E461" s="8"/>
      <c r="L461" s="8"/>
      <c r="P461" s="8"/>
      <c r="T461" s="8"/>
      <c r="X461" s="8"/>
    </row>
    <row r="462" spans="5:24" x14ac:dyDescent="0.25">
      <c r="E462" s="8"/>
      <c r="L462" s="8"/>
      <c r="P462" s="8"/>
      <c r="T462" s="8"/>
      <c r="X462" s="8"/>
    </row>
    <row r="463" spans="5:24" x14ac:dyDescent="0.25">
      <c r="E463" s="8"/>
      <c r="L463" s="8"/>
      <c r="P463" s="8"/>
      <c r="T463" s="8"/>
      <c r="X463" s="8"/>
    </row>
    <row r="464" spans="5:24" x14ac:dyDescent="0.25">
      <c r="E464" s="8"/>
      <c r="L464" s="8"/>
      <c r="P464" s="8"/>
      <c r="T464" s="8"/>
      <c r="X464" s="8"/>
    </row>
    <row r="465" spans="5:24" x14ac:dyDescent="0.25">
      <c r="E465" s="8"/>
      <c r="L465" s="8"/>
      <c r="P465" s="8"/>
      <c r="T465" s="8"/>
      <c r="X465" s="8"/>
    </row>
    <row r="466" spans="5:24" x14ac:dyDescent="0.25">
      <c r="E466" s="8"/>
      <c r="L466" s="8"/>
      <c r="P466" s="8"/>
      <c r="T466" s="8"/>
      <c r="X466" s="8"/>
    </row>
    <row r="467" spans="5:24" x14ac:dyDescent="0.25">
      <c r="E467" s="8"/>
      <c r="L467" s="8"/>
      <c r="P467" s="8"/>
      <c r="T467" s="8"/>
      <c r="X467" s="8"/>
    </row>
    <row r="468" spans="5:24" x14ac:dyDescent="0.25">
      <c r="E468" s="8"/>
      <c r="L468" s="8"/>
      <c r="P468" s="8"/>
      <c r="T468" s="8"/>
      <c r="X468" s="8"/>
    </row>
    <row r="469" spans="5:24" x14ac:dyDescent="0.25">
      <c r="E469" s="8"/>
      <c r="L469" s="8"/>
      <c r="P469" s="8"/>
      <c r="T469" s="8"/>
      <c r="X469" s="8"/>
    </row>
    <row r="470" spans="5:24" x14ac:dyDescent="0.25">
      <c r="E470" s="8"/>
      <c r="L470" s="8"/>
      <c r="P470" s="8"/>
      <c r="T470" s="8"/>
      <c r="X470" s="8"/>
    </row>
    <row r="471" spans="5:24" x14ac:dyDescent="0.25">
      <c r="E471" s="8"/>
      <c r="L471" s="8"/>
      <c r="P471" s="8"/>
      <c r="T471" s="8"/>
      <c r="X471" s="8"/>
    </row>
    <row r="472" spans="5:24" x14ac:dyDescent="0.25">
      <c r="E472" s="8"/>
      <c r="L472" s="8"/>
      <c r="P472" s="8"/>
      <c r="T472" s="8"/>
      <c r="X472" s="8"/>
    </row>
    <row r="473" spans="5:24" x14ac:dyDescent="0.25">
      <c r="E473" s="8"/>
      <c r="L473" s="8"/>
      <c r="P473" s="8"/>
      <c r="T473" s="8"/>
      <c r="X473" s="8"/>
    </row>
    <row r="474" spans="5:24" x14ac:dyDescent="0.25">
      <c r="E474" s="8"/>
      <c r="L474" s="8"/>
      <c r="P474" s="8"/>
      <c r="T474" s="8"/>
      <c r="X474" s="8"/>
    </row>
    <row r="475" spans="5:24" x14ac:dyDescent="0.25">
      <c r="E475" s="8"/>
      <c r="L475" s="8"/>
      <c r="P475" s="8"/>
      <c r="T475" s="8"/>
      <c r="X475" s="8"/>
    </row>
    <row r="476" spans="5:24" x14ac:dyDescent="0.25">
      <c r="E476" s="8"/>
      <c r="L476" s="8"/>
      <c r="P476" s="8"/>
      <c r="T476" s="8"/>
      <c r="X476" s="8"/>
    </row>
    <row r="477" spans="5:24" x14ac:dyDescent="0.25">
      <c r="E477" s="8"/>
      <c r="L477" s="8"/>
      <c r="P477" s="8"/>
      <c r="T477" s="8"/>
      <c r="X477" s="8"/>
    </row>
    <row r="478" spans="5:24" x14ac:dyDescent="0.25">
      <c r="E478" s="8"/>
      <c r="L478" s="8"/>
      <c r="P478" s="8"/>
      <c r="T478" s="8"/>
      <c r="X478" s="8"/>
    </row>
    <row r="479" spans="5:24" x14ac:dyDescent="0.25">
      <c r="E479" s="8"/>
      <c r="L479" s="8"/>
      <c r="P479" s="8"/>
      <c r="T479" s="8"/>
      <c r="X479" s="8"/>
    </row>
    <row r="480" spans="5:24" x14ac:dyDescent="0.25">
      <c r="E480" s="8"/>
      <c r="L480" s="8"/>
      <c r="P480" s="8"/>
      <c r="T480" s="8"/>
      <c r="X480" s="8"/>
    </row>
    <row r="481" spans="5:24" x14ac:dyDescent="0.25">
      <c r="E481" s="8"/>
      <c r="L481" s="8"/>
      <c r="P481" s="8"/>
      <c r="T481" s="8"/>
      <c r="X481" s="8"/>
    </row>
    <row r="482" spans="5:24" x14ac:dyDescent="0.25">
      <c r="E482" s="8"/>
      <c r="L482" s="8"/>
      <c r="P482" s="8"/>
      <c r="T482" s="8"/>
      <c r="X482" s="8"/>
    </row>
    <row r="483" spans="5:24" x14ac:dyDescent="0.25">
      <c r="E483" s="8"/>
      <c r="L483" s="8"/>
      <c r="P483" s="8"/>
      <c r="T483" s="8"/>
      <c r="X483" s="8"/>
    </row>
    <row r="484" spans="5:24" x14ac:dyDescent="0.25">
      <c r="E484" s="8"/>
      <c r="L484" s="8"/>
      <c r="P484" s="8"/>
      <c r="T484" s="8"/>
      <c r="X484" s="8"/>
    </row>
    <row r="485" spans="5:24" x14ac:dyDescent="0.25">
      <c r="E485" s="8"/>
      <c r="L485" s="8"/>
      <c r="P485" s="8"/>
      <c r="T485" s="8"/>
      <c r="X485" s="8"/>
    </row>
    <row r="486" spans="5:24" x14ac:dyDescent="0.25">
      <c r="E486" s="8"/>
      <c r="L486" s="8"/>
      <c r="P486" s="8"/>
      <c r="T486" s="8"/>
      <c r="X486" s="8"/>
    </row>
    <row r="487" spans="5:24" x14ac:dyDescent="0.25">
      <c r="E487" s="8"/>
      <c r="L487" s="8"/>
      <c r="P487" s="8"/>
      <c r="T487" s="8"/>
      <c r="X487" s="8"/>
    </row>
    <row r="488" spans="5:24" x14ac:dyDescent="0.25">
      <c r="E488" s="8"/>
      <c r="L488" s="8"/>
      <c r="P488" s="8"/>
      <c r="T488" s="8"/>
      <c r="X488" s="8"/>
    </row>
    <row r="489" spans="5:24" x14ac:dyDescent="0.25">
      <c r="E489" s="8"/>
      <c r="L489" s="8"/>
      <c r="P489" s="8"/>
      <c r="T489" s="8"/>
      <c r="X489" s="8"/>
    </row>
    <row r="490" spans="5:24" x14ac:dyDescent="0.25">
      <c r="E490" s="8"/>
      <c r="L490" s="8"/>
      <c r="P490" s="8"/>
      <c r="T490" s="8"/>
      <c r="X490" s="8"/>
    </row>
    <row r="491" spans="5:24" x14ac:dyDescent="0.25">
      <c r="E491" s="8"/>
      <c r="L491" s="8"/>
      <c r="P491" s="8"/>
      <c r="T491" s="8"/>
      <c r="X491" s="8"/>
    </row>
    <row r="492" spans="5:24" x14ac:dyDescent="0.25">
      <c r="E492" s="8"/>
      <c r="L492" s="8"/>
      <c r="P492" s="8"/>
      <c r="T492" s="8"/>
      <c r="X492" s="8"/>
    </row>
    <row r="493" spans="5:24" x14ac:dyDescent="0.25">
      <c r="E493" s="8"/>
      <c r="L493" s="8"/>
      <c r="P493" s="8"/>
      <c r="T493" s="8"/>
      <c r="X493" s="8"/>
    </row>
    <row r="494" spans="5:24" x14ac:dyDescent="0.25">
      <c r="E494" s="8"/>
      <c r="L494" s="8"/>
      <c r="P494" s="8"/>
      <c r="T494" s="8"/>
      <c r="X494" s="8"/>
    </row>
    <row r="495" spans="5:24" x14ac:dyDescent="0.25">
      <c r="E495" s="8"/>
      <c r="L495" s="8"/>
      <c r="P495" s="8"/>
      <c r="T495" s="8"/>
      <c r="X495" s="8"/>
    </row>
    <row r="496" spans="5:24" x14ac:dyDescent="0.25">
      <c r="E496" s="8"/>
      <c r="L496" s="8"/>
      <c r="P496" s="8"/>
      <c r="T496" s="8"/>
      <c r="X496" s="8"/>
    </row>
    <row r="497" spans="5:24" x14ac:dyDescent="0.25">
      <c r="E497" s="8"/>
      <c r="L497" s="8"/>
      <c r="P497" s="8"/>
      <c r="T497" s="8"/>
      <c r="X497" s="8"/>
    </row>
    <row r="498" spans="5:24" x14ac:dyDescent="0.25">
      <c r="E498" s="8"/>
      <c r="L498" s="8"/>
      <c r="P498" s="8"/>
      <c r="T498" s="8"/>
      <c r="X498" s="8"/>
    </row>
    <row r="499" spans="5:24" x14ac:dyDescent="0.25">
      <c r="E499" s="8"/>
      <c r="L499" s="8"/>
      <c r="P499" s="8"/>
      <c r="T499" s="8"/>
      <c r="X499" s="8"/>
    </row>
    <row r="500" spans="5:24" x14ac:dyDescent="0.25">
      <c r="E500" s="8"/>
      <c r="L500" s="8"/>
      <c r="P500" s="8"/>
      <c r="T500" s="8"/>
      <c r="X500" s="8"/>
    </row>
    <row r="501" spans="5:24" x14ac:dyDescent="0.25">
      <c r="E501" s="8"/>
      <c r="L501" s="8"/>
      <c r="P501" s="8"/>
      <c r="T501" s="8"/>
      <c r="X501" s="8"/>
    </row>
    <row r="502" spans="5:24" x14ac:dyDescent="0.25">
      <c r="E502" s="8"/>
      <c r="L502" s="8"/>
      <c r="P502" s="8"/>
      <c r="T502" s="8"/>
      <c r="X502" s="8"/>
    </row>
    <row r="503" spans="5:24" x14ac:dyDescent="0.25">
      <c r="E503" s="8"/>
      <c r="L503" s="8"/>
      <c r="P503" s="8"/>
      <c r="T503" s="8"/>
      <c r="X503" s="8"/>
    </row>
    <row r="504" spans="5:24" x14ac:dyDescent="0.25">
      <c r="E504" s="8"/>
      <c r="L504" s="8"/>
      <c r="P504" s="8"/>
      <c r="T504" s="8"/>
      <c r="X504" s="8"/>
    </row>
    <row r="505" spans="5:24" x14ac:dyDescent="0.25">
      <c r="E505" s="8"/>
      <c r="L505" s="8"/>
      <c r="P505" s="8"/>
      <c r="T505" s="8"/>
      <c r="X505" s="8"/>
    </row>
    <row r="506" spans="5:24" x14ac:dyDescent="0.25">
      <c r="E506" s="8"/>
      <c r="L506" s="8"/>
      <c r="P506" s="8"/>
      <c r="T506" s="8"/>
      <c r="X506" s="8"/>
    </row>
    <row r="507" spans="5:24" x14ac:dyDescent="0.25">
      <c r="E507" s="8"/>
      <c r="L507" s="8"/>
      <c r="P507" s="8"/>
      <c r="T507" s="8"/>
      <c r="X507" s="8"/>
    </row>
    <row r="508" spans="5:24" x14ac:dyDescent="0.25">
      <c r="E508" s="8"/>
      <c r="L508" s="8"/>
      <c r="P508" s="8"/>
      <c r="T508" s="8"/>
      <c r="X508" s="8"/>
    </row>
    <row r="509" spans="5:24" x14ac:dyDescent="0.25">
      <c r="E509" s="8"/>
      <c r="L509" s="8"/>
      <c r="P509" s="8"/>
      <c r="T509" s="8"/>
      <c r="X509" s="8"/>
    </row>
    <row r="510" spans="5:24" x14ac:dyDescent="0.25">
      <c r="E510" s="8"/>
      <c r="L510" s="8"/>
      <c r="P510" s="8"/>
      <c r="T510" s="8"/>
      <c r="X510" s="8"/>
    </row>
    <row r="511" spans="5:24" x14ac:dyDescent="0.25">
      <c r="E511" s="8"/>
      <c r="L511" s="8"/>
      <c r="P511" s="8"/>
      <c r="T511" s="8"/>
      <c r="X511" s="8"/>
    </row>
    <row r="512" spans="5:24" x14ac:dyDescent="0.25">
      <c r="E512" s="8"/>
      <c r="L512" s="8"/>
      <c r="P512" s="8"/>
      <c r="T512" s="8"/>
      <c r="X512" s="8"/>
    </row>
    <row r="513" spans="5:24" x14ac:dyDescent="0.25">
      <c r="E513" s="8"/>
      <c r="L513" s="8"/>
      <c r="P513" s="8"/>
      <c r="T513" s="8"/>
      <c r="X513" s="8"/>
    </row>
    <row r="514" spans="5:24" x14ac:dyDescent="0.25">
      <c r="E514" s="8"/>
      <c r="L514" s="8"/>
      <c r="P514" s="8"/>
      <c r="T514" s="8"/>
      <c r="X514" s="8"/>
    </row>
    <row r="515" spans="5:24" x14ac:dyDescent="0.25">
      <c r="E515" s="8"/>
      <c r="L515" s="8"/>
      <c r="P515" s="8"/>
      <c r="T515" s="8"/>
      <c r="X515" s="8"/>
    </row>
    <row r="516" spans="5:24" x14ac:dyDescent="0.25">
      <c r="E516" s="8"/>
      <c r="L516" s="8"/>
      <c r="P516" s="8"/>
      <c r="T516" s="8"/>
      <c r="X516" s="8"/>
    </row>
    <row r="517" spans="5:24" x14ac:dyDescent="0.25">
      <c r="E517" s="8"/>
      <c r="L517" s="8"/>
      <c r="P517" s="8"/>
      <c r="T517" s="8"/>
      <c r="X517" s="8"/>
    </row>
    <row r="518" spans="5:24" x14ac:dyDescent="0.25">
      <c r="E518" s="8"/>
      <c r="L518" s="8"/>
      <c r="P518" s="8"/>
      <c r="T518" s="8"/>
      <c r="X518" s="8"/>
    </row>
    <row r="519" spans="5:24" x14ac:dyDescent="0.25">
      <c r="E519" s="8"/>
      <c r="L519" s="8"/>
      <c r="P519" s="8"/>
      <c r="T519" s="8"/>
      <c r="X519" s="8"/>
    </row>
    <row r="520" spans="5:24" x14ac:dyDescent="0.25">
      <c r="E520" s="8"/>
      <c r="L520" s="8"/>
      <c r="P520" s="8"/>
      <c r="T520" s="8"/>
      <c r="X520" s="8"/>
    </row>
    <row r="521" spans="5:24" x14ac:dyDescent="0.25">
      <c r="E521" s="8"/>
      <c r="L521" s="8"/>
      <c r="P521" s="8"/>
      <c r="T521" s="8"/>
      <c r="X521" s="8"/>
    </row>
    <row r="522" spans="5:24" x14ac:dyDescent="0.25">
      <c r="E522" s="8"/>
      <c r="L522" s="8"/>
      <c r="P522" s="8"/>
      <c r="T522" s="8"/>
      <c r="X522" s="8"/>
    </row>
    <row r="523" spans="5:24" x14ac:dyDescent="0.25">
      <c r="E523" s="8"/>
      <c r="L523" s="8"/>
      <c r="P523" s="8"/>
      <c r="T523" s="8"/>
      <c r="X523" s="8"/>
    </row>
    <row r="524" spans="5:24" x14ac:dyDescent="0.25">
      <c r="E524" s="8"/>
      <c r="L524" s="8"/>
      <c r="P524" s="8"/>
      <c r="T524" s="8"/>
      <c r="X524" s="8"/>
    </row>
    <row r="525" spans="5:24" x14ac:dyDescent="0.25">
      <c r="E525" s="8"/>
      <c r="L525" s="8"/>
      <c r="P525" s="8"/>
      <c r="T525" s="8"/>
      <c r="X525" s="8"/>
    </row>
    <row r="526" spans="5:24" x14ac:dyDescent="0.25">
      <c r="E526" s="8"/>
      <c r="L526" s="8"/>
      <c r="P526" s="8"/>
      <c r="T526" s="8"/>
      <c r="X526" s="8"/>
    </row>
    <row r="527" spans="5:24" x14ac:dyDescent="0.25">
      <c r="E527" s="8"/>
      <c r="L527" s="8"/>
      <c r="P527" s="8"/>
      <c r="T527" s="8"/>
      <c r="X527" s="8"/>
    </row>
    <row r="528" spans="5:24" x14ac:dyDescent="0.25">
      <c r="E528" s="8"/>
      <c r="L528" s="8"/>
      <c r="P528" s="8"/>
      <c r="T528" s="8"/>
      <c r="X528" s="8"/>
    </row>
    <row r="529" spans="5:24" x14ac:dyDescent="0.25">
      <c r="E529" s="8"/>
      <c r="L529" s="8"/>
      <c r="P529" s="8"/>
      <c r="T529" s="8"/>
      <c r="X529" s="8"/>
    </row>
    <row r="530" spans="5:24" x14ac:dyDescent="0.25">
      <c r="E530" s="8"/>
      <c r="L530" s="8"/>
      <c r="P530" s="8"/>
      <c r="T530" s="8"/>
      <c r="X530" s="8"/>
    </row>
    <row r="531" spans="5:24" x14ac:dyDescent="0.25">
      <c r="E531" s="8"/>
      <c r="L531" s="8"/>
      <c r="P531" s="8"/>
      <c r="T531" s="8"/>
      <c r="X531" s="8"/>
    </row>
    <row r="532" spans="5:24" x14ac:dyDescent="0.25">
      <c r="E532" s="8"/>
      <c r="L532" s="8"/>
      <c r="P532" s="8"/>
      <c r="T532" s="8"/>
      <c r="X532" s="8"/>
    </row>
    <row r="533" spans="5:24" x14ac:dyDescent="0.25">
      <c r="E533" s="8"/>
      <c r="L533" s="8"/>
      <c r="P533" s="8"/>
      <c r="T533" s="8"/>
      <c r="X533" s="8"/>
    </row>
    <row r="534" spans="5:24" x14ac:dyDescent="0.25">
      <c r="E534" s="8"/>
      <c r="L534" s="8"/>
      <c r="P534" s="8"/>
      <c r="T534" s="8"/>
      <c r="X534" s="8"/>
    </row>
    <row r="535" spans="5:24" x14ac:dyDescent="0.25">
      <c r="E535" s="8"/>
      <c r="L535" s="8"/>
      <c r="P535" s="8"/>
      <c r="T535" s="8"/>
      <c r="X535" s="8"/>
    </row>
    <row r="536" spans="5:24" x14ac:dyDescent="0.25">
      <c r="E536" s="8"/>
      <c r="L536" s="8"/>
      <c r="P536" s="8"/>
      <c r="T536" s="8"/>
      <c r="X536" s="8"/>
    </row>
    <row r="537" spans="5:24" x14ac:dyDescent="0.25">
      <c r="E537" s="8"/>
      <c r="L537" s="8"/>
      <c r="P537" s="8"/>
      <c r="T537" s="8"/>
      <c r="X537" s="8"/>
    </row>
    <row r="538" spans="5:24" x14ac:dyDescent="0.25">
      <c r="E538" s="8"/>
      <c r="L538" s="8"/>
      <c r="P538" s="8"/>
      <c r="T538" s="8"/>
      <c r="X538" s="8"/>
    </row>
    <row r="539" spans="5:24" x14ac:dyDescent="0.25">
      <c r="E539" s="8"/>
      <c r="L539" s="8"/>
      <c r="P539" s="8"/>
      <c r="T539" s="8"/>
      <c r="X539" s="8"/>
    </row>
    <row r="540" spans="5:24" x14ac:dyDescent="0.25">
      <c r="E540" s="8"/>
      <c r="L540" s="8"/>
      <c r="P540" s="8"/>
      <c r="T540" s="8"/>
      <c r="X540" s="8"/>
    </row>
    <row r="541" spans="5:24" x14ac:dyDescent="0.25">
      <c r="E541" s="8"/>
      <c r="L541" s="8"/>
      <c r="P541" s="8"/>
      <c r="T541" s="8"/>
      <c r="X541" s="8"/>
    </row>
    <row r="542" spans="5:24" x14ac:dyDescent="0.25">
      <c r="E542" s="8"/>
      <c r="L542" s="8"/>
      <c r="P542" s="8"/>
      <c r="T542" s="8"/>
      <c r="X542" s="8"/>
    </row>
    <row r="543" spans="5:24" x14ac:dyDescent="0.25">
      <c r="E543" s="8"/>
      <c r="L543" s="8"/>
      <c r="P543" s="8"/>
      <c r="T543" s="8"/>
      <c r="X543" s="8"/>
    </row>
    <row r="544" spans="5:24" x14ac:dyDescent="0.25">
      <c r="E544" s="8"/>
      <c r="L544" s="8"/>
      <c r="P544" s="8"/>
      <c r="T544" s="8"/>
      <c r="X544" s="8"/>
    </row>
    <row r="545" spans="5:24" x14ac:dyDescent="0.25">
      <c r="E545" s="8"/>
      <c r="L545" s="8"/>
      <c r="P545" s="8"/>
      <c r="T545" s="8"/>
      <c r="X545" s="8"/>
    </row>
    <row r="546" spans="5:24" x14ac:dyDescent="0.25">
      <c r="E546" s="8"/>
      <c r="L546" s="8"/>
      <c r="P546" s="8"/>
      <c r="T546" s="8"/>
      <c r="X546" s="8"/>
    </row>
    <row r="547" spans="5:24" x14ac:dyDescent="0.25">
      <c r="E547" s="8"/>
      <c r="L547" s="8"/>
      <c r="P547" s="8"/>
      <c r="T547" s="8"/>
      <c r="X547" s="8"/>
    </row>
    <row r="548" spans="5:24" x14ac:dyDescent="0.25">
      <c r="E548" s="8"/>
      <c r="L548" s="8"/>
      <c r="P548" s="8"/>
      <c r="T548" s="8"/>
      <c r="X548" s="8"/>
    </row>
    <row r="549" spans="5:24" x14ac:dyDescent="0.25">
      <c r="E549" s="8"/>
      <c r="L549" s="8"/>
      <c r="P549" s="8"/>
      <c r="T549" s="8"/>
      <c r="X549" s="8"/>
    </row>
    <row r="550" spans="5:24" x14ac:dyDescent="0.25">
      <c r="E550" s="8"/>
      <c r="L550" s="8"/>
      <c r="P550" s="8"/>
      <c r="T550" s="8"/>
      <c r="X550" s="8"/>
    </row>
    <row r="551" spans="5:24" x14ac:dyDescent="0.25">
      <c r="E551" s="8"/>
      <c r="L551" s="8"/>
      <c r="P551" s="8"/>
      <c r="T551" s="8"/>
      <c r="X551" s="8"/>
    </row>
    <row r="552" spans="5:24" x14ac:dyDescent="0.25">
      <c r="E552" s="8"/>
      <c r="L552" s="8"/>
      <c r="P552" s="8"/>
      <c r="T552" s="8"/>
      <c r="X552" s="8"/>
    </row>
    <row r="553" spans="5:24" x14ac:dyDescent="0.25">
      <c r="E553" s="8"/>
      <c r="L553" s="8"/>
      <c r="P553" s="8"/>
      <c r="T553" s="8"/>
      <c r="X553" s="8"/>
    </row>
    <row r="554" spans="5:24" x14ac:dyDescent="0.25">
      <c r="E554" s="8"/>
      <c r="L554" s="8"/>
      <c r="P554" s="8"/>
      <c r="T554" s="8"/>
      <c r="X554" s="8"/>
    </row>
    <row r="555" spans="5:24" x14ac:dyDescent="0.25">
      <c r="E555" s="8"/>
      <c r="L555" s="8"/>
      <c r="P555" s="8"/>
      <c r="T555" s="8"/>
      <c r="X555" s="8"/>
    </row>
    <row r="556" spans="5:24" x14ac:dyDescent="0.25">
      <c r="E556" s="8"/>
      <c r="L556" s="8"/>
      <c r="P556" s="8"/>
      <c r="T556" s="8"/>
      <c r="X556" s="8"/>
    </row>
    <row r="557" spans="5:24" x14ac:dyDescent="0.25">
      <c r="E557" s="8"/>
      <c r="L557" s="8"/>
      <c r="P557" s="8"/>
      <c r="T557" s="8"/>
      <c r="X557" s="8"/>
    </row>
    <row r="558" spans="5:24" x14ac:dyDescent="0.25">
      <c r="E558" s="8"/>
      <c r="L558" s="8"/>
      <c r="P558" s="8"/>
      <c r="T558" s="8"/>
      <c r="X558" s="8"/>
    </row>
    <row r="559" spans="5:24" x14ac:dyDescent="0.25">
      <c r="E559" s="8"/>
      <c r="L559" s="8"/>
      <c r="P559" s="8"/>
      <c r="T559" s="8"/>
      <c r="X559" s="8"/>
    </row>
    <row r="560" spans="5:24" x14ac:dyDescent="0.25">
      <c r="E560" s="8"/>
      <c r="L560" s="8"/>
      <c r="P560" s="8"/>
      <c r="T560" s="8"/>
      <c r="X560" s="8"/>
    </row>
    <row r="561" spans="5:24" x14ac:dyDescent="0.25">
      <c r="E561" s="8"/>
      <c r="L561" s="8"/>
      <c r="P561" s="8"/>
      <c r="T561" s="8"/>
      <c r="X561" s="8"/>
    </row>
    <row r="562" spans="5:24" x14ac:dyDescent="0.25">
      <c r="E562" s="8"/>
      <c r="L562" s="8"/>
      <c r="P562" s="8"/>
      <c r="T562" s="8"/>
      <c r="X562" s="8"/>
    </row>
    <row r="563" spans="5:24" x14ac:dyDescent="0.25">
      <c r="E563" s="8"/>
      <c r="L563" s="8"/>
      <c r="P563" s="8"/>
      <c r="T563" s="8"/>
      <c r="X563" s="8"/>
    </row>
    <row r="564" spans="5:24" x14ac:dyDescent="0.25">
      <c r="E564" s="8"/>
      <c r="L564" s="8"/>
      <c r="P564" s="8"/>
      <c r="T564" s="8"/>
      <c r="X564" s="8"/>
    </row>
    <row r="565" spans="5:24" x14ac:dyDescent="0.25">
      <c r="E565" s="8"/>
      <c r="L565" s="8"/>
      <c r="P565" s="8"/>
      <c r="T565" s="8"/>
      <c r="X565" s="8"/>
    </row>
    <row r="566" spans="5:24" x14ac:dyDescent="0.25">
      <c r="E566" s="8"/>
      <c r="L566" s="8"/>
      <c r="P566" s="8"/>
      <c r="T566" s="8"/>
      <c r="X566" s="8"/>
    </row>
    <row r="567" spans="5:24" x14ac:dyDescent="0.25">
      <c r="E567" s="8"/>
      <c r="L567" s="8"/>
      <c r="P567" s="8"/>
      <c r="T567" s="8"/>
      <c r="X567" s="8"/>
    </row>
    <row r="568" spans="5:24" x14ac:dyDescent="0.25">
      <c r="E568" s="8"/>
      <c r="L568" s="8"/>
      <c r="P568" s="8"/>
      <c r="T568" s="8"/>
      <c r="X568" s="8"/>
    </row>
    <row r="569" spans="5:24" x14ac:dyDescent="0.25">
      <c r="E569" s="8"/>
      <c r="L569" s="8"/>
      <c r="P569" s="8"/>
      <c r="T569" s="8"/>
      <c r="X569" s="8"/>
    </row>
    <row r="570" spans="5:24" x14ac:dyDescent="0.25">
      <c r="E570" s="8"/>
      <c r="L570" s="8"/>
      <c r="P570" s="8"/>
      <c r="T570" s="8"/>
      <c r="X570" s="8"/>
    </row>
    <row r="571" spans="5:24" x14ac:dyDescent="0.25">
      <c r="E571" s="8"/>
      <c r="L571" s="8"/>
      <c r="P571" s="8"/>
      <c r="T571" s="8"/>
      <c r="X571" s="8"/>
    </row>
    <row r="572" spans="5:24" x14ac:dyDescent="0.25">
      <c r="E572" s="8"/>
      <c r="L572" s="8"/>
      <c r="P572" s="8"/>
      <c r="T572" s="8"/>
      <c r="X572" s="8"/>
    </row>
    <row r="573" spans="5:24" x14ac:dyDescent="0.25">
      <c r="E573" s="8"/>
      <c r="L573" s="8"/>
      <c r="P573" s="8"/>
      <c r="T573" s="8"/>
      <c r="X573" s="8"/>
    </row>
    <row r="574" spans="5:24" x14ac:dyDescent="0.25">
      <c r="E574" s="8"/>
      <c r="L574" s="8"/>
      <c r="P574" s="8"/>
      <c r="T574" s="8"/>
      <c r="X574" s="8"/>
    </row>
    <row r="575" spans="5:24" x14ac:dyDescent="0.25">
      <c r="E575" s="8"/>
      <c r="L575" s="8"/>
      <c r="P575" s="8"/>
      <c r="T575" s="8"/>
      <c r="X575" s="8"/>
    </row>
    <row r="576" spans="5:24" x14ac:dyDescent="0.25">
      <c r="E576" s="8"/>
      <c r="L576" s="8"/>
      <c r="P576" s="8"/>
      <c r="T576" s="8"/>
      <c r="X576" s="8"/>
    </row>
    <row r="577" spans="5:24" x14ac:dyDescent="0.25">
      <c r="E577" s="8"/>
      <c r="L577" s="8"/>
      <c r="P577" s="8"/>
      <c r="T577" s="8"/>
      <c r="X577" s="8"/>
    </row>
    <row r="578" spans="5:24" x14ac:dyDescent="0.25">
      <c r="E578" s="8"/>
      <c r="L578" s="8"/>
      <c r="P578" s="8"/>
      <c r="T578" s="8"/>
      <c r="X578" s="8"/>
    </row>
    <row r="579" spans="5:24" x14ac:dyDescent="0.25">
      <c r="E579" s="8"/>
      <c r="L579" s="8"/>
      <c r="P579" s="8"/>
      <c r="T579" s="8"/>
      <c r="X579" s="8"/>
    </row>
    <row r="580" spans="5:24" x14ac:dyDescent="0.25">
      <c r="E580" s="8"/>
      <c r="L580" s="8"/>
      <c r="P580" s="8"/>
      <c r="T580" s="8"/>
      <c r="X580" s="8"/>
    </row>
    <row r="581" spans="5:24" x14ac:dyDescent="0.25">
      <c r="E581" s="8"/>
      <c r="L581" s="8"/>
      <c r="P581" s="8"/>
      <c r="T581" s="8"/>
      <c r="X581" s="8"/>
    </row>
    <row r="582" spans="5:24" x14ac:dyDescent="0.25">
      <c r="E582" s="8"/>
      <c r="L582" s="8"/>
      <c r="P582" s="8"/>
      <c r="T582" s="8"/>
      <c r="X582" s="8"/>
    </row>
    <row r="583" spans="5:24" x14ac:dyDescent="0.25">
      <c r="E583" s="8"/>
      <c r="L583" s="8"/>
      <c r="P583" s="8"/>
      <c r="T583" s="8"/>
      <c r="X583" s="8"/>
    </row>
    <row r="584" spans="5:24" x14ac:dyDescent="0.25">
      <c r="E584" s="8"/>
      <c r="L584" s="8"/>
      <c r="P584" s="8"/>
      <c r="T584" s="8"/>
      <c r="X584" s="8"/>
    </row>
    <row r="585" spans="5:24" x14ac:dyDescent="0.25">
      <c r="E585" s="8"/>
      <c r="L585" s="8"/>
      <c r="P585" s="8"/>
      <c r="T585" s="8"/>
      <c r="X585" s="8"/>
    </row>
    <row r="586" spans="5:24" x14ac:dyDescent="0.25">
      <c r="E586" s="8"/>
      <c r="L586" s="8"/>
      <c r="P586" s="8"/>
      <c r="T586" s="8"/>
      <c r="X586" s="8"/>
    </row>
    <row r="587" spans="5:24" x14ac:dyDescent="0.25">
      <c r="E587" s="8"/>
      <c r="L587" s="8"/>
      <c r="P587" s="8"/>
      <c r="T587" s="8"/>
      <c r="X587" s="8"/>
    </row>
    <row r="588" spans="5:24" x14ac:dyDescent="0.25">
      <c r="E588" s="8"/>
      <c r="L588" s="8"/>
      <c r="P588" s="8"/>
      <c r="T588" s="8"/>
      <c r="X588" s="8"/>
    </row>
    <row r="589" spans="5:24" x14ac:dyDescent="0.25">
      <c r="E589" s="8"/>
      <c r="L589" s="8"/>
      <c r="P589" s="8"/>
      <c r="T589" s="8"/>
      <c r="X589" s="8"/>
    </row>
    <row r="590" spans="5:24" x14ac:dyDescent="0.25">
      <c r="E590" s="8"/>
      <c r="L590" s="8"/>
      <c r="P590" s="8"/>
      <c r="T590" s="8"/>
      <c r="X590" s="8"/>
    </row>
    <row r="591" spans="5:24" x14ac:dyDescent="0.25">
      <c r="E591" s="8"/>
      <c r="L591" s="8"/>
      <c r="P591" s="8"/>
      <c r="T591" s="8"/>
      <c r="X591" s="8"/>
    </row>
    <row r="592" spans="5:24" x14ac:dyDescent="0.25">
      <c r="E592" s="8"/>
      <c r="L592" s="8"/>
      <c r="P592" s="8"/>
      <c r="T592" s="8"/>
      <c r="X592" s="8"/>
    </row>
    <row r="593" spans="5:24" x14ac:dyDescent="0.25">
      <c r="E593" s="8"/>
      <c r="L593" s="8"/>
      <c r="P593" s="8"/>
      <c r="T593" s="8"/>
      <c r="X593" s="8"/>
    </row>
    <row r="594" spans="5:24" x14ac:dyDescent="0.25">
      <c r="E594" s="8"/>
      <c r="L594" s="8"/>
      <c r="P594" s="8"/>
      <c r="T594" s="8"/>
      <c r="X594" s="8"/>
    </row>
    <row r="595" spans="5:24" x14ac:dyDescent="0.25">
      <c r="E595" s="8"/>
      <c r="L595" s="8"/>
      <c r="P595" s="8"/>
      <c r="T595" s="8"/>
      <c r="X595" s="8"/>
    </row>
    <row r="596" spans="5:24" x14ac:dyDescent="0.25">
      <c r="E596" s="8"/>
      <c r="L596" s="8"/>
      <c r="P596" s="8"/>
      <c r="T596" s="8"/>
      <c r="X596" s="8"/>
    </row>
    <row r="597" spans="5:24" x14ac:dyDescent="0.25">
      <c r="E597" s="8"/>
      <c r="L597" s="8"/>
      <c r="P597" s="8"/>
      <c r="T597" s="8"/>
      <c r="X597" s="8"/>
    </row>
    <row r="598" spans="5:24" x14ac:dyDescent="0.25">
      <c r="E598" s="8"/>
      <c r="L598" s="8"/>
      <c r="P598" s="8"/>
      <c r="T598" s="8"/>
      <c r="X598" s="8"/>
    </row>
    <row r="599" spans="5:24" x14ac:dyDescent="0.25">
      <c r="E599" s="8"/>
      <c r="L599" s="8"/>
      <c r="P599" s="8"/>
      <c r="T599" s="8"/>
      <c r="X599" s="8"/>
    </row>
    <row r="600" spans="5:24" x14ac:dyDescent="0.25">
      <c r="E600" s="8"/>
      <c r="L600" s="8"/>
      <c r="P600" s="8"/>
      <c r="T600" s="8"/>
      <c r="X600" s="8"/>
    </row>
    <row r="601" spans="5:24" x14ac:dyDescent="0.25">
      <c r="E601" s="8"/>
      <c r="L601" s="8"/>
      <c r="P601" s="8"/>
      <c r="T601" s="8"/>
      <c r="X601" s="8"/>
    </row>
    <row r="602" spans="5:24" x14ac:dyDescent="0.25">
      <c r="E602" s="8"/>
      <c r="L602" s="8"/>
      <c r="P602" s="8"/>
      <c r="T602" s="8"/>
      <c r="X602" s="8"/>
    </row>
    <row r="603" spans="5:24" x14ac:dyDescent="0.25">
      <c r="E603" s="8"/>
      <c r="L603" s="8"/>
      <c r="P603" s="8"/>
      <c r="T603" s="8"/>
      <c r="X603" s="8"/>
    </row>
    <row r="604" spans="5:24" x14ac:dyDescent="0.25">
      <c r="E604" s="8"/>
      <c r="L604" s="8"/>
      <c r="P604" s="8"/>
      <c r="T604" s="8"/>
      <c r="X604" s="8"/>
    </row>
    <row r="605" spans="5:24" x14ac:dyDescent="0.25">
      <c r="E605" s="8"/>
      <c r="L605" s="8"/>
      <c r="P605" s="8"/>
      <c r="T605" s="8"/>
      <c r="X605" s="8"/>
    </row>
    <row r="606" spans="5:24" x14ac:dyDescent="0.25">
      <c r="E606" s="8"/>
      <c r="L606" s="8"/>
      <c r="P606" s="8"/>
      <c r="T606" s="8"/>
      <c r="X606" s="8"/>
    </row>
    <row r="607" spans="5:24" x14ac:dyDescent="0.25">
      <c r="E607" s="8"/>
      <c r="L607" s="8"/>
      <c r="P607" s="8"/>
      <c r="T607" s="8"/>
      <c r="X607" s="8"/>
    </row>
    <row r="608" spans="5:24" x14ac:dyDescent="0.25">
      <c r="E608" s="8"/>
      <c r="L608" s="8"/>
      <c r="P608" s="8"/>
      <c r="T608" s="8"/>
      <c r="X608" s="8"/>
    </row>
    <row r="609" spans="5:24" x14ac:dyDescent="0.25">
      <c r="E609" s="8"/>
      <c r="L609" s="8"/>
      <c r="P609" s="8"/>
      <c r="T609" s="8"/>
      <c r="X609" s="8"/>
    </row>
    <row r="610" spans="5:24" x14ac:dyDescent="0.25">
      <c r="E610" s="8"/>
      <c r="L610" s="8"/>
      <c r="P610" s="8"/>
      <c r="T610" s="8"/>
      <c r="X610" s="8"/>
    </row>
    <row r="611" spans="5:24" x14ac:dyDescent="0.25">
      <c r="E611" s="8"/>
      <c r="L611" s="8"/>
      <c r="P611" s="8"/>
      <c r="T611" s="8"/>
      <c r="X611" s="8"/>
    </row>
    <row r="612" spans="5:24" x14ac:dyDescent="0.25">
      <c r="E612" s="8"/>
      <c r="L612" s="8"/>
      <c r="P612" s="8"/>
      <c r="T612" s="8"/>
      <c r="X612" s="8"/>
    </row>
    <row r="613" spans="5:24" x14ac:dyDescent="0.25">
      <c r="E613" s="8"/>
      <c r="L613" s="8"/>
      <c r="P613" s="8"/>
      <c r="T613" s="8"/>
      <c r="X613" s="8"/>
    </row>
    <row r="614" spans="5:24" x14ac:dyDescent="0.25">
      <c r="E614" s="8"/>
      <c r="L614" s="8"/>
      <c r="P614" s="8"/>
      <c r="T614" s="8"/>
      <c r="X614" s="8"/>
    </row>
    <row r="615" spans="5:24" x14ac:dyDescent="0.25">
      <c r="E615" s="8"/>
      <c r="L615" s="8"/>
      <c r="P615" s="8"/>
      <c r="T615" s="8"/>
      <c r="X615" s="8"/>
    </row>
    <row r="616" spans="5:24" x14ac:dyDescent="0.25">
      <c r="E616" s="8"/>
      <c r="L616" s="8"/>
      <c r="P616" s="8"/>
      <c r="T616" s="8"/>
      <c r="X616" s="8"/>
    </row>
    <row r="617" spans="5:24" x14ac:dyDescent="0.25">
      <c r="E617" s="8"/>
      <c r="L617" s="8"/>
      <c r="P617" s="8"/>
      <c r="T617" s="8"/>
      <c r="X617" s="8"/>
    </row>
    <row r="618" spans="5:24" x14ac:dyDescent="0.25">
      <c r="E618" s="8"/>
      <c r="L618" s="8"/>
      <c r="P618" s="8"/>
      <c r="T618" s="8"/>
      <c r="X618" s="8"/>
    </row>
    <row r="619" spans="5:24" x14ac:dyDescent="0.25">
      <c r="E619" s="8"/>
      <c r="L619" s="8"/>
      <c r="P619" s="8"/>
      <c r="T619" s="8"/>
      <c r="X619" s="8"/>
    </row>
    <row r="620" spans="5:24" x14ac:dyDescent="0.25">
      <c r="E620" s="8"/>
      <c r="L620" s="8"/>
      <c r="P620" s="8"/>
      <c r="T620" s="8"/>
      <c r="X620" s="8"/>
    </row>
    <row r="621" spans="5:24" x14ac:dyDescent="0.25">
      <c r="E621" s="8"/>
      <c r="L621" s="8"/>
      <c r="P621" s="8"/>
      <c r="T621" s="8"/>
      <c r="X621" s="8"/>
    </row>
    <row r="622" spans="5:24" x14ac:dyDescent="0.25">
      <c r="E622" s="8"/>
      <c r="L622" s="8"/>
      <c r="P622" s="8"/>
      <c r="T622" s="8"/>
      <c r="X622" s="8"/>
    </row>
    <row r="623" spans="5:24" x14ac:dyDescent="0.25">
      <c r="E623" s="8"/>
      <c r="L623" s="8"/>
      <c r="P623" s="8"/>
      <c r="T623" s="8"/>
      <c r="X623" s="8"/>
    </row>
    <row r="624" spans="5:24" x14ac:dyDescent="0.25">
      <c r="E624" s="8"/>
      <c r="L624" s="8"/>
      <c r="P624" s="8"/>
      <c r="T624" s="8"/>
      <c r="X624" s="8"/>
    </row>
    <row r="625" spans="5:24" x14ac:dyDescent="0.25">
      <c r="E625" s="8"/>
      <c r="L625" s="8"/>
      <c r="P625" s="8"/>
      <c r="T625" s="8"/>
      <c r="X625" s="8"/>
    </row>
    <row r="626" spans="5:24" x14ac:dyDescent="0.25">
      <c r="E626" s="8"/>
      <c r="L626" s="8"/>
      <c r="P626" s="8"/>
      <c r="T626" s="8"/>
      <c r="X626" s="8"/>
    </row>
    <row r="627" spans="5:24" x14ac:dyDescent="0.25">
      <c r="E627" s="8"/>
      <c r="L627" s="8"/>
      <c r="P627" s="8"/>
      <c r="T627" s="8"/>
      <c r="X627" s="8"/>
    </row>
    <row r="628" spans="5:24" x14ac:dyDescent="0.25">
      <c r="E628" s="8"/>
      <c r="L628" s="8"/>
      <c r="P628" s="8"/>
      <c r="T628" s="8"/>
      <c r="X628" s="8"/>
    </row>
    <row r="629" spans="5:24" x14ac:dyDescent="0.25">
      <c r="E629" s="8"/>
      <c r="L629" s="8"/>
      <c r="P629" s="8"/>
      <c r="T629" s="8"/>
      <c r="X629" s="8"/>
    </row>
    <row r="630" spans="5:24" x14ac:dyDescent="0.25">
      <c r="E630" s="8"/>
      <c r="L630" s="8"/>
      <c r="P630" s="8"/>
      <c r="T630" s="8"/>
      <c r="X630" s="8"/>
    </row>
    <row r="631" spans="5:24" x14ac:dyDescent="0.25">
      <c r="E631" s="8"/>
      <c r="L631" s="8"/>
      <c r="P631" s="8"/>
      <c r="T631" s="8"/>
      <c r="X631" s="8"/>
    </row>
    <row r="632" spans="5:24" x14ac:dyDescent="0.25">
      <c r="E632" s="8"/>
      <c r="L632" s="8"/>
      <c r="P632" s="8"/>
      <c r="T632" s="8"/>
      <c r="X632" s="8"/>
    </row>
    <row r="633" spans="5:24" x14ac:dyDescent="0.25">
      <c r="E633" s="8"/>
      <c r="L633" s="8"/>
      <c r="P633" s="8"/>
      <c r="T633" s="8"/>
      <c r="X633" s="8"/>
    </row>
    <row r="634" spans="5:24" x14ac:dyDescent="0.25">
      <c r="E634" s="8"/>
      <c r="L634" s="8"/>
      <c r="P634" s="8"/>
      <c r="T634" s="8"/>
      <c r="X634" s="8"/>
    </row>
    <row r="635" spans="5:24" x14ac:dyDescent="0.25">
      <c r="E635" s="8"/>
      <c r="L635" s="8"/>
      <c r="P635" s="8"/>
      <c r="T635" s="8"/>
      <c r="X635" s="8"/>
    </row>
    <row r="636" spans="5:24" x14ac:dyDescent="0.25">
      <c r="E636" s="8"/>
      <c r="L636" s="8"/>
      <c r="P636" s="8"/>
      <c r="T636" s="8"/>
      <c r="X636" s="8"/>
    </row>
    <row r="637" spans="5:24" x14ac:dyDescent="0.25">
      <c r="E637" s="8"/>
      <c r="L637" s="8"/>
      <c r="P637" s="8"/>
      <c r="T637" s="8"/>
      <c r="X637" s="8"/>
    </row>
    <row r="638" spans="5:24" x14ac:dyDescent="0.25">
      <c r="E638" s="8"/>
      <c r="L638" s="8"/>
      <c r="P638" s="8"/>
      <c r="T638" s="8"/>
      <c r="X638" s="8"/>
    </row>
    <row r="639" spans="5:24" x14ac:dyDescent="0.25">
      <c r="E639" s="8"/>
      <c r="L639" s="8"/>
      <c r="P639" s="8"/>
      <c r="T639" s="8"/>
      <c r="X639" s="8"/>
    </row>
    <row r="640" spans="5:24" x14ac:dyDescent="0.25">
      <c r="E640" s="8"/>
      <c r="L640" s="8"/>
      <c r="P640" s="8"/>
      <c r="T640" s="8"/>
      <c r="X640" s="8"/>
    </row>
    <row r="641" spans="5:24" x14ac:dyDescent="0.25">
      <c r="E641" s="8"/>
      <c r="L641" s="8"/>
      <c r="P641" s="8"/>
      <c r="T641" s="8"/>
      <c r="X641" s="8"/>
    </row>
    <row r="642" spans="5:24" x14ac:dyDescent="0.25">
      <c r="E642" s="8"/>
      <c r="L642" s="8"/>
      <c r="P642" s="8"/>
      <c r="T642" s="8"/>
      <c r="X642" s="8"/>
    </row>
    <row r="643" spans="5:24" x14ac:dyDescent="0.25">
      <c r="E643" s="8"/>
      <c r="L643" s="8"/>
      <c r="P643" s="8"/>
      <c r="T643" s="8"/>
      <c r="X643" s="8"/>
    </row>
    <row r="644" spans="5:24" x14ac:dyDescent="0.25">
      <c r="E644" s="8"/>
      <c r="L644" s="8"/>
      <c r="P644" s="8"/>
      <c r="T644" s="8"/>
      <c r="X644" s="8"/>
    </row>
    <row r="645" spans="5:24" x14ac:dyDescent="0.25">
      <c r="E645" s="8"/>
      <c r="L645" s="8"/>
      <c r="P645" s="8"/>
      <c r="T645" s="8"/>
      <c r="X645" s="8"/>
    </row>
    <row r="646" spans="5:24" x14ac:dyDescent="0.25">
      <c r="E646" s="8"/>
      <c r="L646" s="8"/>
      <c r="P646" s="8"/>
      <c r="T646" s="8"/>
      <c r="X646" s="8"/>
    </row>
    <row r="647" spans="5:24" x14ac:dyDescent="0.25">
      <c r="E647" s="8"/>
      <c r="L647" s="8"/>
      <c r="P647" s="8"/>
      <c r="T647" s="8"/>
      <c r="X647" s="8"/>
    </row>
    <row r="648" spans="5:24" x14ac:dyDescent="0.25">
      <c r="E648" s="8"/>
      <c r="L648" s="8"/>
      <c r="P648" s="8"/>
      <c r="T648" s="8"/>
      <c r="X648" s="8"/>
    </row>
    <row r="649" spans="5:24" x14ac:dyDescent="0.25">
      <c r="E649" s="8"/>
      <c r="L649" s="8"/>
      <c r="P649" s="8"/>
      <c r="T649" s="8"/>
      <c r="X649" s="8"/>
    </row>
    <row r="650" spans="5:24" x14ac:dyDescent="0.25">
      <c r="E650" s="8"/>
      <c r="L650" s="8"/>
      <c r="P650" s="8"/>
      <c r="T650" s="8"/>
      <c r="X650" s="8"/>
    </row>
    <row r="651" spans="5:24" x14ac:dyDescent="0.25">
      <c r="E651" s="8"/>
      <c r="L651" s="8"/>
      <c r="P651" s="8"/>
      <c r="T651" s="8"/>
      <c r="X651" s="8"/>
    </row>
    <row r="652" spans="5:24" x14ac:dyDescent="0.25">
      <c r="E652" s="8"/>
      <c r="L652" s="8"/>
      <c r="P652" s="8"/>
      <c r="T652" s="8"/>
      <c r="X652" s="8"/>
    </row>
    <row r="653" spans="5:24" x14ac:dyDescent="0.25">
      <c r="E653" s="8"/>
      <c r="L653" s="8"/>
      <c r="P653" s="8"/>
      <c r="T653" s="8"/>
      <c r="X653" s="8"/>
    </row>
    <row r="654" spans="5:24" x14ac:dyDescent="0.25">
      <c r="E654" s="8"/>
      <c r="L654" s="8"/>
      <c r="P654" s="8"/>
      <c r="T654" s="8"/>
      <c r="X654" s="8"/>
    </row>
    <row r="655" spans="5:24" x14ac:dyDescent="0.25">
      <c r="E655" s="8"/>
      <c r="L655" s="8"/>
      <c r="P655" s="8"/>
      <c r="T655" s="8"/>
      <c r="X655" s="8"/>
    </row>
    <row r="656" spans="5:24" x14ac:dyDescent="0.25">
      <c r="E656" s="8"/>
      <c r="L656" s="8"/>
      <c r="P656" s="8"/>
      <c r="T656" s="8"/>
      <c r="X656" s="8"/>
    </row>
    <row r="657" spans="5:24" x14ac:dyDescent="0.25">
      <c r="E657" s="8"/>
      <c r="L657" s="8"/>
      <c r="P657" s="8"/>
      <c r="T657" s="8"/>
      <c r="X657" s="8"/>
    </row>
    <row r="658" spans="5:24" x14ac:dyDescent="0.25">
      <c r="E658" s="8"/>
      <c r="L658" s="8"/>
      <c r="P658" s="8"/>
      <c r="T658" s="8"/>
      <c r="X658" s="8"/>
    </row>
    <row r="659" spans="5:24" x14ac:dyDescent="0.25">
      <c r="E659" s="8"/>
      <c r="L659" s="8"/>
      <c r="P659" s="8"/>
      <c r="T659" s="8"/>
      <c r="X659" s="8"/>
    </row>
    <row r="660" spans="5:24" x14ac:dyDescent="0.25">
      <c r="E660" s="8"/>
      <c r="L660" s="8"/>
      <c r="P660" s="8"/>
      <c r="T660" s="8"/>
      <c r="X660" s="8"/>
    </row>
    <row r="661" spans="5:24" x14ac:dyDescent="0.25">
      <c r="E661" s="8"/>
      <c r="L661" s="8"/>
      <c r="P661" s="8"/>
      <c r="T661" s="8"/>
      <c r="X661" s="8"/>
    </row>
    <row r="662" spans="5:24" x14ac:dyDescent="0.25">
      <c r="E662" s="8"/>
      <c r="L662" s="8"/>
      <c r="P662" s="8"/>
      <c r="T662" s="8"/>
      <c r="X662" s="8"/>
    </row>
    <row r="663" spans="5:24" x14ac:dyDescent="0.25">
      <c r="E663" s="8"/>
      <c r="L663" s="8"/>
      <c r="P663" s="8"/>
      <c r="T663" s="8"/>
      <c r="X663" s="8"/>
    </row>
    <row r="664" spans="5:24" x14ac:dyDescent="0.25">
      <c r="E664" s="8"/>
      <c r="L664" s="8"/>
      <c r="P664" s="8"/>
      <c r="T664" s="8"/>
      <c r="X664" s="8"/>
    </row>
    <row r="665" spans="5:24" x14ac:dyDescent="0.25">
      <c r="E665" s="8"/>
      <c r="L665" s="8"/>
      <c r="P665" s="8"/>
      <c r="T665" s="8"/>
      <c r="X665" s="8"/>
    </row>
    <row r="666" spans="5:24" x14ac:dyDescent="0.25">
      <c r="E666" s="8"/>
      <c r="L666" s="8"/>
      <c r="P666" s="8"/>
      <c r="T666" s="8"/>
      <c r="X666" s="8"/>
    </row>
    <row r="667" spans="5:24" x14ac:dyDescent="0.25">
      <c r="E667" s="8"/>
      <c r="L667" s="8"/>
      <c r="P667" s="8"/>
      <c r="T667" s="8"/>
      <c r="X667" s="8"/>
    </row>
    <row r="668" spans="5:24" x14ac:dyDescent="0.25">
      <c r="E668" s="8"/>
      <c r="L668" s="8"/>
      <c r="P668" s="8"/>
      <c r="T668" s="8"/>
      <c r="X668" s="8"/>
    </row>
    <row r="669" spans="5:24" x14ac:dyDescent="0.25">
      <c r="E669" s="8"/>
      <c r="L669" s="8"/>
      <c r="P669" s="8"/>
      <c r="T669" s="8"/>
      <c r="X669" s="8"/>
    </row>
    <row r="670" spans="5:24" x14ac:dyDescent="0.25">
      <c r="E670" s="8"/>
      <c r="L670" s="8"/>
      <c r="P670" s="8"/>
      <c r="T670" s="8"/>
      <c r="X670" s="8"/>
    </row>
    <row r="671" spans="5:24" x14ac:dyDescent="0.25">
      <c r="E671" s="8"/>
      <c r="L671" s="8"/>
      <c r="P671" s="8"/>
      <c r="T671" s="8"/>
      <c r="X671" s="8"/>
    </row>
    <row r="672" spans="5:24" x14ac:dyDescent="0.25">
      <c r="E672" s="8"/>
      <c r="L672" s="8"/>
      <c r="P672" s="8"/>
      <c r="T672" s="8"/>
      <c r="X672" s="8"/>
    </row>
    <row r="673" spans="5:24" x14ac:dyDescent="0.25">
      <c r="E673" s="8"/>
      <c r="L673" s="8"/>
      <c r="P673" s="8"/>
      <c r="T673" s="8"/>
      <c r="X673" s="8"/>
    </row>
    <row r="674" spans="5:24" x14ac:dyDescent="0.25">
      <c r="E674" s="8"/>
      <c r="L674" s="8"/>
      <c r="P674" s="8"/>
      <c r="T674" s="8"/>
      <c r="X674" s="8"/>
    </row>
    <row r="675" spans="5:24" x14ac:dyDescent="0.25">
      <c r="E675" s="8"/>
      <c r="L675" s="8"/>
      <c r="P675" s="8"/>
      <c r="T675" s="8"/>
      <c r="X675" s="8"/>
    </row>
    <row r="676" spans="5:24" x14ac:dyDescent="0.25">
      <c r="E676" s="8"/>
      <c r="L676" s="8"/>
      <c r="P676" s="8"/>
      <c r="T676" s="8"/>
      <c r="X676" s="8"/>
    </row>
    <row r="677" spans="5:24" x14ac:dyDescent="0.25">
      <c r="E677" s="8"/>
      <c r="L677" s="8"/>
      <c r="P677" s="8"/>
      <c r="T677" s="8"/>
      <c r="X677" s="8"/>
    </row>
    <row r="678" spans="5:24" x14ac:dyDescent="0.25">
      <c r="E678" s="8"/>
      <c r="L678" s="8"/>
      <c r="P678" s="8"/>
      <c r="T678" s="8"/>
      <c r="X678" s="8"/>
    </row>
    <row r="679" spans="5:24" x14ac:dyDescent="0.25">
      <c r="E679" s="8"/>
      <c r="L679" s="8"/>
      <c r="P679" s="8"/>
      <c r="X679" s="8"/>
    </row>
    <row r="680" spans="5:24" x14ac:dyDescent="0.25">
      <c r="E680" s="8"/>
      <c r="L680" s="8"/>
      <c r="P680" s="8"/>
      <c r="X680" s="8"/>
    </row>
    <row r="681" spans="5:24" x14ac:dyDescent="0.25">
      <c r="E681" s="8"/>
      <c r="L681" s="8"/>
      <c r="P681" s="8"/>
      <c r="X681" s="8"/>
    </row>
    <row r="682" spans="5:24" x14ac:dyDescent="0.25">
      <c r="E682" s="8"/>
      <c r="L682" s="8"/>
      <c r="P682" s="8"/>
      <c r="X682" s="8"/>
    </row>
    <row r="683" spans="5:24" x14ac:dyDescent="0.25">
      <c r="E683" s="8"/>
      <c r="L683" s="8"/>
      <c r="P683" s="8"/>
      <c r="X683" s="8"/>
    </row>
    <row r="684" spans="5:24" x14ac:dyDescent="0.25">
      <c r="E684" s="8"/>
      <c r="L684" s="8"/>
      <c r="P684" s="8"/>
      <c r="X684" s="8"/>
    </row>
    <row r="685" spans="5:24" x14ac:dyDescent="0.25">
      <c r="E685" s="8"/>
      <c r="L685" s="8"/>
      <c r="P685" s="8"/>
      <c r="X685" s="8"/>
    </row>
    <row r="686" spans="5:24" x14ac:dyDescent="0.25">
      <c r="E686" s="8"/>
      <c r="L686" s="8"/>
      <c r="P686" s="8"/>
      <c r="X686" s="8"/>
    </row>
    <row r="687" spans="5:24" x14ac:dyDescent="0.25">
      <c r="E687" s="8"/>
      <c r="L687" s="8"/>
      <c r="P687" s="8"/>
      <c r="X687" s="8"/>
    </row>
    <row r="688" spans="5:24" x14ac:dyDescent="0.25">
      <c r="E688" s="8"/>
      <c r="L688" s="8"/>
      <c r="P688" s="8"/>
      <c r="X688" s="8"/>
    </row>
    <row r="689" spans="5:24" x14ac:dyDescent="0.25">
      <c r="E689" s="8"/>
      <c r="L689" s="8"/>
      <c r="P689" s="8"/>
      <c r="X689" s="8"/>
    </row>
    <row r="690" spans="5:24" x14ac:dyDescent="0.25">
      <c r="E690" s="8"/>
      <c r="L690" s="8"/>
      <c r="P690" s="8"/>
      <c r="X690" s="8"/>
    </row>
    <row r="691" spans="5:24" x14ac:dyDescent="0.25">
      <c r="E691" s="8"/>
      <c r="L691" s="8"/>
      <c r="P691" s="8"/>
      <c r="X691" s="8"/>
    </row>
    <row r="692" spans="5:24" x14ac:dyDescent="0.25">
      <c r="E692" s="8"/>
      <c r="L692" s="8"/>
      <c r="P692" s="8"/>
      <c r="X692" s="8"/>
    </row>
    <row r="693" spans="5:24" x14ac:dyDescent="0.25">
      <c r="E693" s="8"/>
      <c r="L693" s="8"/>
      <c r="P693" s="8"/>
      <c r="X693" s="8"/>
    </row>
    <row r="694" spans="5:24" x14ac:dyDescent="0.25">
      <c r="E694" s="8"/>
      <c r="L694" s="8"/>
      <c r="P694" s="8"/>
      <c r="X694" s="8"/>
    </row>
    <row r="695" spans="5:24" x14ac:dyDescent="0.25">
      <c r="E695" s="8"/>
      <c r="L695" s="8"/>
      <c r="P695" s="8"/>
      <c r="X695" s="8"/>
    </row>
    <row r="696" spans="5:24" x14ac:dyDescent="0.25">
      <c r="E696" s="8"/>
      <c r="L696" s="8"/>
      <c r="P696" s="8"/>
      <c r="X696" s="8"/>
    </row>
    <row r="697" spans="5:24" x14ac:dyDescent="0.25">
      <c r="E697" s="8"/>
      <c r="L697" s="8"/>
      <c r="P697" s="8"/>
      <c r="X697" s="8"/>
    </row>
    <row r="698" spans="5:24" x14ac:dyDescent="0.25">
      <c r="E698" s="8"/>
      <c r="L698" s="8"/>
      <c r="P698" s="8"/>
      <c r="X698" s="8"/>
    </row>
    <row r="699" spans="5:24" x14ac:dyDescent="0.25">
      <c r="E699" s="8"/>
      <c r="L699" s="8"/>
      <c r="P699" s="8"/>
      <c r="X699" s="8"/>
    </row>
    <row r="700" spans="5:24" x14ac:dyDescent="0.25">
      <c r="E700" s="8"/>
      <c r="L700" s="8"/>
      <c r="P700" s="8"/>
      <c r="X700" s="8"/>
    </row>
    <row r="701" spans="5:24" x14ac:dyDescent="0.25">
      <c r="E701" s="8"/>
      <c r="L701" s="8"/>
      <c r="P701" s="8"/>
      <c r="X701" s="8"/>
    </row>
    <row r="702" spans="5:24" x14ac:dyDescent="0.25">
      <c r="E702" s="8"/>
      <c r="L702" s="8"/>
      <c r="P702" s="8"/>
      <c r="X702" s="8"/>
    </row>
    <row r="703" spans="5:24" x14ac:dyDescent="0.25">
      <c r="E703" s="8"/>
      <c r="L703" s="8"/>
      <c r="P703" s="8"/>
      <c r="X703" s="8"/>
    </row>
    <row r="704" spans="5:24" x14ac:dyDescent="0.25">
      <c r="E704" s="8"/>
      <c r="L704" s="8"/>
      <c r="P704" s="8"/>
      <c r="X704" s="8"/>
    </row>
    <row r="705" spans="5:24" x14ac:dyDescent="0.25">
      <c r="E705" s="8"/>
      <c r="L705" s="8"/>
      <c r="P705" s="8"/>
      <c r="X705" s="8"/>
    </row>
    <row r="706" spans="5:24" x14ac:dyDescent="0.25">
      <c r="E706" s="8"/>
      <c r="L706" s="8"/>
      <c r="P706" s="8"/>
      <c r="X706" s="8"/>
    </row>
    <row r="707" spans="5:24" x14ac:dyDescent="0.25">
      <c r="E707" s="8"/>
      <c r="L707" s="8"/>
      <c r="P707" s="8"/>
      <c r="X707" s="8"/>
    </row>
    <row r="708" spans="5:24" x14ac:dyDescent="0.25">
      <c r="E708" s="8"/>
      <c r="L708" s="8"/>
      <c r="P708" s="8"/>
      <c r="X708" s="8"/>
    </row>
    <row r="709" spans="5:24" x14ac:dyDescent="0.25">
      <c r="E709" s="8"/>
      <c r="L709" s="8"/>
      <c r="P709" s="8"/>
      <c r="X709" s="8"/>
    </row>
    <row r="710" spans="5:24" x14ac:dyDescent="0.25">
      <c r="E710" s="8"/>
      <c r="L710" s="8"/>
      <c r="P710" s="8"/>
      <c r="X710" s="8"/>
    </row>
    <row r="711" spans="5:24" x14ac:dyDescent="0.25">
      <c r="E711" s="8"/>
      <c r="L711" s="8"/>
      <c r="P711" s="8"/>
      <c r="X711" s="8"/>
    </row>
    <row r="712" spans="5:24" x14ac:dyDescent="0.25">
      <c r="E712" s="8"/>
      <c r="L712" s="8"/>
      <c r="P712" s="8"/>
      <c r="X712" s="8"/>
    </row>
    <row r="713" spans="5:24" x14ac:dyDescent="0.25">
      <c r="E713" s="8"/>
      <c r="L713" s="8"/>
      <c r="P713" s="8"/>
      <c r="X713" s="8"/>
    </row>
    <row r="714" spans="5:24" x14ac:dyDescent="0.25">
      <c r="E714" s="8"/>
      <c r="L714" s="8"/>
      <c r="P714" s="8"/>
      <c r="X714" s="8"/>
    </row>
    <row r="715" spans="5:24" x14ac:dyDescent="0.25">
      <c r="E715" s="8"/>
      <c r="L715" s="8"/>
      <c r="P715" s="8"/>
      <c r="X715" s="8"/>
    </row>
    <row r="716" spans="5:24" x14ac:dyDescent="0.25">
      <c r="E716" s="8"/>
      <c r="L716" s="8"/>
      <c r="P716" s="8"/>
      <c r="X716" s="8"/>
    </row>
    <row r="717" spans="5:24" x14ac:dyDescent="0.25">
      <c r="E717" s="8"/>
      <c r="L717" s="8"/>
      <c r="P717" s="8"/>
      <c r="X717" s="8"/>
    </row>
    <row r="718" spans="5:24" x14ac:dyDescent="0.25">
      <c r="E718" s="8"/>
      <c r="L718" s="8"/>
      <c r="P718" s="8"/>
      <c r="X718" s="8"/>
    </row>
    <row r="719" spans="5:24" x14ac:dyDescent="0.25">
      <c r="E719" s="8"/>
      <c r="L719" s="8"/>
      <c r="P719" s="8"/>
      <c r="X719" s="8"/>
    </row>
    <row r="720" spans="5:24" x14ac:dyDescent="0.25">
      <c r="E720" s="8"/>
      <c r="L720" s="8"/>
      <c r="P720" s="8"/>
      <c r="X720" s="8"/>
    </row>
    <row r="721" spans="5:24" x14ac:dyDescent="0.25">
      <c r="E721" s="8"/>
      <c r="L721" s="8"/>
      <c r="P721" s="8"/>
      <c r="X721" s="8"/>
    </row>
    <row r="722" spans="5:24" x14ac:dyDescent="0.25">
      <c r="E722" s="8"/>
      <c r="L722" s="8"/>
      <c r="P722" s="8"/>
      <c r="X722" s="8"/>
    </row>
    <row r="723" spans="5:24" x14ac:dyDescent="0.25">
      <c r="E723" s="8"/>
      <c r="L723" s="8"/>
      <c r="P723" s="8"/>
      <c r="X723" s="8"/>
    </row>
    <row r="724" spans="5:24" x14ac:dyDescent="0.25">
      <c r="E724" s="8"/>
      <c r="L724" s="8"/>
      <c r="P724" s="8"/>
      <c r="X724" s="8"/>
    </row>
    <row r="725" spans="5:24" x14ac:dyDescent="0.25">
      <c r="E725" s="8"/>
      <c r="L725" s="8"/>
      <c r="P725" s="8"/>
      <c r="X725" s="8"/>
    </row>
    <row r="726" spans="5:24" x14ac:dyDescent="0.25">
      <c r="E726" s="8"/>
      <c r="L726" s="8"/>
      <c r="P726" s="8"/>
      <c r="X726" s="8"/>
    </row>
    <row r="727" spans="5:24" x14ac:dyDescent="0.25">
      <c r="E727" s="8"/>
      <c r="L727" s="8"/>
      <c r="P727" s="8"/>
      <c r="X727" s="8"/>
    </row>
    <row r="728" spans="5:24" x14ac:dyDescent="0.25">
      <c r="E728" s="8"/>
      <c r="L728" s="8"/>
      <c r="P728" s="8"/>
      <c r="X728" s="8"/>
    </row>
    <row r="729" spans="5:24" x14ac:dyDescent="0.25">
      <c r="E729" s="8"/>
      <c r="L729" s="8"/>
      <c r="P729" s="8"/>
      <c r="X729" s="8"/>
    </row>
    <row r="730" spans="5:24" x14ac:dyDescent="0.25">
      <c r="E730" s="8"/>
      <c r="L730" s="8"/>
      <c r="P730" s="8"/>
      <c r="X730" s="8"/>
    </row>
    <row r="731" spans="5:24" x14ac:dyDescent="0.25">
      <c r="E731" s="8"/>
      <c r="L731" s="8"/>
      <c r="P731" s="8"/>
      <c r="X731" s="8"/>
    </row>
    <row r="732" spans="5:24" x14ac:dyDescent="0.25">
      <c r="E732" s="8"/>
      <c r="L732" s="8"/>
      <c r="P732" s="8"/>
      <c r="X732" s="8"/>
    </row>
    <row r="733" spans="5:24" x14ac:dyDescent="0.25">
      <c r="E733" s="8"/>
      <c r="L733" s="8"/>
      <c r="P733" s="8"/>
      <c r="X733" s="8"/>
    </row>
    <row r="734" spans="5:24" x14ac:dyDescent="0.25">
      <c r="E734" s="8"/>
      <c r="L734" s="8"/>
      <c r="P734" s="8"/>
      <c r="X734" s="8"/>
    </row>
    <row r="735" spans="5:24" x14ac:dyDescent="0.25">
      <c r="E735" s="8"/>
      <c r="L735" s="8"/>
      <c r="P735" s="8"/>
      <c r="X735" s="8"/>
    </row>
    <row r="736" spans="5:24" x14ac:dyDescent="0.25">
      <c r="E736" s="8"/>
      <c r="L736" s="8"/>
      <c r="P736" s="8"/>
      <c r="X736" s="8"/>
    </row>
    <row r="737" spans="5:24" x14ac:dyDescent="0.25">
      <c r="E737" s="8"/>
      <c r="L737" s="8"/>
      <c r="P737" s="8"/>
      <c r="X737" s="8"/>
    </row>
    <row r="738" spans="5:24" x14ac:dyDescent="0.25">
      <c r="E738" s="8"/>
      <c r="L738" s="8"/>
      <c r="P738" s="8"/>
      <c r="X738" s="8"/>
    </row>
    <row r="739" spans="5:24" x14ac:dyDescent="0.25">
      <c r="E739" s="8"/>
      <c r="L739" s="8"/>
      <c r="P739" s="8"/>
      <c r="X739" s="8"/>
    </row>
    <row r="740" spans="5:24" x14ac:dyDescent="0.25">
      <c r="E740" s="8"/>
      <c r="L740" s="8"/>
      <c r="P740" s="8"/>
      <c r="X740" s="8"/>
    </row>
    <row r="741" spans="5:24" x14ac:dyDescent="0.25">
      <c r="E741" s="8"/>
      <c r="L741" s="8"/>
      <c r="P741" s="8"/>
      <c r="X741" s="8"/>
    </row>
    <row r="742" spans="5:24" x14ac:dyDescent="0.25">
      <c r="E742" s="8"/>
      <c r="L742" s="8"/>
      <c r="P742" s="8"/>
      <c r="X742" s="8"/>
    </row>
    <row r="743" spans="5:24" x14ac:dyDescent="0.25">
      <c r="E743" s="8"/>
      <c r="L743" s="8"/>
      <c r="P743" s="8"/>
      <c r="X743" s="8"/>
    </row>
    <row r="744" spans="5:24" x14ac:dyDescent="0.25">
      <c r="E744" s="8"/>
      <c r="L744" s="8"/>
      <c r="P744" s="8"/>
      <c r="X744" s="8"/>
    </row>
    <row r="745" spans="5:24" x14ac:dyDescent="0.25">
      <c r="E745" s="8"/>
      <c r="L745" s="8"/>
      <c r="P745" s="8"/>
      <c r="X745" s="8"/>
    </row>
    <row r="746" spans="5:24" x14ac:dyDescent="0.25">
      <c r="E746" s="8"/>
      <c r="L746" s="8"/>
      <c r="P746" s="8"/>
      <c r="X746" s="8"/>
    </row>
    <row r="747" spans="5:24" x14ac:dyDescent="0.25">
      <c r="E747" s="8"/>
      <c r="L747" s="8"/>
      <c r="P747" s="8"/>
      <c r="X747" s="8"/>
    </row>
    <row r="748" spans="5:24" x14ac:dyDescent="0.25">
      <c r="E748" s="8"/>
      <c r="L748" s="8"/>
      <c r="P748" s="8"/>
      <c r="X748" s="8"/>
    </row>
    <row r="749" spans="5:24" x14ac:dyDescent="0.25">
      <c r="E749" s="8"/>
      <c r="L749" s="8"/>
      <c r="P749" s="8"/>
      <c r="X749" s="8"/>
    </row>
    <row r="750" spans="5:24" x14ac:dyDescent="0.25">
      <c r="E750" s="8"/>
      <c r="L750" s="8"/>
      <c r="P750" s="8"/>
      <c r="X750" s="8"/>
    </row>
    <row r="751" spans="5:24" x14ac:dyDescent="0.25">
      <c r="E751" s="8"/>
      <c r="L751" s="8"/>
      <c r="P751" s="8"/>
      <c r="X751" s="8"/>
    </row>
    <row r="752" spans="5:24" x14ac:dyDescent="0.25">
      <c r="E752" s="8"/>
      <c r="L752" s="8"/>
      <c r="P752" s="8"/>
      <c r="X752" s="8"/>
    </row>
    <row r="753" spans="5:24" x14ac:dyDescent="0.25">
      <c r="E753" s="8"/>
      <c r="L753" s="8"/>
      <c r="P753" s="8"/>
      <c r="X753" s="8"/>
    </row>
    <row r="754" spans="5:24" x14ac:dyDescent="0.25">
      <c r="E754" s="8"/>
      <c r="L754" s="8"/>
      <c r="P754" s="8"/>
      <c r="X754" s="8"/>
    </row>
    <row r="755" spans="5:24" x14ac:dyDescent="0.25">
      <c r="E755" s="8"/>
      <c r="L755" s="8"/>
      <c r="P755" s="8"/>
      <c r="X755" s="8"/>
    </row>
    <row r="756" spans="5:24" x14ac:dyDescent="0.25">
      <c r="E756" s="8"/>
      <c r="L756" s="8"/>
      <c r="P756" s="8"/>
      <c r="X756" s="8"/>
    </row>
    <row r="757" spans="5:24" x14ac:dyDescent="0.25">
      <c r="E757" s="8"/>
      <c r="L757" s="8"/>
      <c r="P757" s="8"/>
      <c r="X757" s="8"/>
    </row>
    <row r="758" spans="5:24" x14ac:dyDescent="0.25">
      <c r="E758" s="8"/>
      <c r="L758" s="8"/>
      <c r="P758" s="8"/>
      <c r="X758" s="8"/>
    </row>
    <row r="759" spans="5:24" x14ac:dyDescent="0.25">
      <c r="E759" s="8"/>
      <c r="L759" s="8"/>
      <c r="P759" s="8"/>
      <c r="X759" s="8"/>
    </row>
    <row r="760" spans="5:24" x14ac:dyDescent="0.25">
      <c r="E760" s="8"/>
      <c r="L760" s="8"/>
      <c r="P760" s="8"/>
      <c r="X760" s="8"/>
    </row>
    <row r="761" spans="5:24" x14ac:dyDescent="0.25">
      <c r="E761" s="8"/>
      <c r="L761" s="8"/>
      <c r="P761" s="8"/>
      <c r="X761" s="8"/>
    </row>
    <row r="762" spans="5:24" x14ac:dyDescent="0.25">
      <c r="E762" s="8"/>
      <c r="L762" s="8"/>
      <c r="P762" s="8"/>
      <c r="X762" s="8"/>
    </row>
    <row r="763" spans="5:24" x14ac:dyDescent="0.25">
      <c r="E763" s="8"/>
      <c r="L763" s="8"/>
      <c r="P763" s="8"/>
      <c r="X763" s="8"/>
    </row>
    <row r="764" spans="5:24" x14ac:dyDescent="0.25">
      <c r="E764" s="8"/>
      <c r="L764" s="8"/>
      <c r="P764" s="8"/>
      <c r="X764" s="8"/>
    </row>
    <row r="765" spans="5:24" x14ac:dyDescent="0.25">
      <c r="E765" s="8"/>
      <c r="L765" s="8"/>
      <c r="P765" s="8"/>
      <c r="X765" s="8"/>
    </row>
    <row r="766" spans="5:24" x14ac:dyDescent="0.25">
      <c r="E766" s="8"/>
      <c r="L766" s="8"/>
      <c r="P766" s="8"/>
      <c r="X766" s="8"/>
    </row>
    <row r="767" spans="5:24" x14ac:dyDescent="0.25">
      <c r="E767" s="8"/>
      <c r="L767" s="8"/>
      <c r="P767" s="8"/>
      <c r="X767" s="8"/>
    </row>
    <row r="768" spans="5:24" x14ac:dyDescent="0.25">
      <c r="E768" s="8"/>
      <c r="L768" s="8"/>
      <c r="P768" s="8"/>
      <c r="X768" s="8"/>
    </row>
    <row r="769" spans="5:24" x14ac:dyDescent="0.25">
      <c r="E769" s="8"/>
      <c r="L769" s="8"/>
      <c r="P769" s="8"/>
      <c r="X769" s="8"/>
    </row>
    <row r="770" spans="5:24" x14ac:dyDescent="0.25">
      <c r="E770" s="8"/>
      <c r="L770" s="8"/>
      <c r="P770" s="8"/>
      <c r="X770" s="8"/>
    </row>
    <row r="771" spans="5:24" x14ac:dyDescent="0.25">
      <c r="E771" s="8"/>
      <c r="L771" s="8"/>
      <c r="P771" s="8"/>
      <c r="X771" s="8"/>
    </row>
    <row r="772" spans="5:24" x14ac:dyDescent="0.25">
      <c r="E772" s="8"/>
      <c r="L772" s="8"/>
      <c r="P772" s="8"/>
      <c r="X772" s="8"/>
    </row>
    <row r="773" spans="5:24" x14ac:dyDescent="0.25">
      <c r="E773" s="8"/>
      <c r="L773" s="8"/>
      <c r="P773" s="8"/>
      <c r="X773" s="8"/>
    </row>
    <row r="774" spans="5:24" x14ac:dyDescent="0.25">
      <c r="E774" s="8"/>
      <c r="L774" s="8"/>
      <c r="P774" s="8"/>
      <c r="X774" s="8"/>
    </row>
    <row r="775" spans="5:24" x14ac:dyDescent="0.25">
      <c r="E775" s="8"/>
      <c r="L775" s="8"/>
      <c r="P775" s="8"/>
      <c r="X775" s="8"/>
    </row>
    <row r="776" spans="5:24" x14ac:dyDescent="0.25">
      <c r="E776" s="8"/>
      <c r="L776" s="8"/>
      <c r="P776" s="8"/>
      <c r="X776" s="8"/>
    </row>
    <row r="777" spans="5:24" x14ac:dyDescent="0.25">
      <c r="E777" s="8"/>
      <c r="L777" s="8"/>
      <c r="P777" s="8"/>
      <c r="X777" s="8"/>
    </row>
    <row r="778" spans="5:24" x14ac:dyDescent="0.25">
      <c r="E778" s="8"/>
      <c r="L778" s="8"/>
      <c r="P778" s="8"/>
      <c r="X778" s="8"/>
    </row>
    <row r="779" spans="5:24" x14ac:dyDescent="0.25">
      <c r="E779" s="8"/>
      <c r="L779" s="8"/>
      <c r="P779" s="8"/>
      <c r="X779" s="8"/>
    </row>
    <row r="780" spans="5:24" x14ac:dyDescent="0.25">
      <c r="E780" s="8"/>
      <c r="L780" s="8"/>
      <c r="P780" s="8"/>
      <c r="X780" s="8"/>
    </row>
    <row r="781" spans="5:24" x14ac:dyDescent="0.25">
      <c r="E781" s="8"/>
      <c r="L781" s="8"/>
      <c r="P781" s="8"/>
      <c r="X781" s="8"/>
    </row>
    <row r="782" spans="5:24" x14ac:dyDescent="0.25">
      <c r="E782" s="8"/>
      <c r="L782" s="8"/>
      <c r="P782" s="8"/>
      <c r="X782" s="8"/>
    </row>
    <row r="783" spans="5:24" x14ac:dyDescent="0.25">
      <c r="E783" s="8"/>
      <c r="L783" s="8"/>
      <c r="P783" s="8"/>
      <c r="X783" s="8"/>
    </row>
    <row r="784" spans="5:24" x14ac:dyDescent="0.25">
      <c r="E784" s="8"/>
      <c r="L784" s="8"/>
      <c r="P784" s="8"/>
      <c r="X784" s="8"/>
    </row>
    <row r="785" spans="5:24" x14ac:dyDescent="0.25">
      <c r="E785" s="8"/>
      <c r="L785" s="8"/>
      <c r="P785" s="8"/>
      <c r="X785" s="8"/>
    </row>
    <row r="786" spans="5:24" x14ac:dyDescent="0.25">
      <c r="E786" s="8"/>
      <c r="L786" s="8"/>
      <c r="P786" s="8"/>
      <c r="X786" s="8"/>
    </row>
    <row r="787" spans="5:24" x14ac:dyDescent="0.25">
      <c r="E787" s="8"/>
      <c r="L787" s="8"/>
      <c r="P787" s="8"/>
      <c r="X787" s="8"/>
    </row>
    <row r="788" spans="5:24" x14ac:dyDescent="0.25">
      <c r="E788" s="8"/>
      <c r="L788" s="8"/>
      <c r="P788" s="8"/>
      <c r="X788" s="8"/>
    </row>
    <row r="789" spans="5:24" x14ac:dyDescent="0.25">
      <c r="E789" s="8"/>
      <c r="L789" s="8"/>
      <c r="P789" s="8"/>
      <c r="X789" s="8"/>
    </row>
    <row r="790" spans="5:24" x14ac:dyDescent="0.25">
      <c r="E790" s="8"/>
      <c r="L790" s="8"/>
      <c r="P790" s="8"/>
      <c r="X790" s="8"/>
    </row>
    <row r="791" spans="5:24" x14ac:dyDescent="0.25">
      <c r="E791" s="8"/>
      <c r="L791" s="8"/>
      <c r="P791" s="8"/>
      <c r="X791" s="8"/>
    </row>
    <row r="792" spans="5:24" x14ac:dyDescent="0.25">
      <c r="E792" s="8"/>
      <c r="L792" s="8"/>
      <c r="P792" s="8"/>
      <c r="X792" s="8"/>
    </row>
    <row r="793" spans="5:24" x14ac:dyDescent="0.25">
      <c r="E793" s="8"/>
      <c r="L793" s="8"/>
      <c r="P793" s="8"/>
      <c r="X793" s="8"/>
    </row>
    <row r="794" spans="5:24" x14ac:dyDescent="0.25">
      <c r="E794" s="8"/>
      <c r="L794" s="8"/>
      <c r="P794" s="8"/>
      <c r="X794" s="8"/>
    </row>
    <row r="795" spans="5:24" x14ac:dyDescent="0.25">
      <c r="E795" s="8"/>
      <c r="L795" s="8"/>
      <c r="P795" s="8"/>
      <c r="X795" s="8"/>
    </row>
    <row r="796" spans="5:24" x14ac:dyDescent="0.25">
      <c r="E796" s="8"/>
      <c r="L796" s="8"/>
      <c r="P796" s="8"/>
      <c r="X796" s="8"/>
    </row>
    <row r="797" spans="5:24" x14ac:dyDescent="0.25">
      <c r="E797" s="8"/>
      <c r="L797" s="8"/>
      <c r="P797" s="8"/>
      <c r="X797" s="8"/>
    </row>
    <row r="798" spans="5:24" x14ac:dyDescent="0.25">
      <c r="E798" s="8"/>
      <c r="L798" s="8"/>
      <c r="P798" s="8"/>
      <c r="X798" s="8"/>
    </row>
    <row r="799" spans="5:24" x14ac:dyDescent="0.25">
      <c r="E799" s="8"/>
      <c r="L799" s="8"/>
      <c r="P799" s="8"/>
      <c r="X799" s="8"/>
    </row>
    <row r="800" spans="5:24" x14ac:dyDescent="0.25">
      <c r="E800" s="8"/>
      <c r="L800" s="8"/>
      <c r="P800" s="8"/>
      <c r="X800" s="8"/>
    </row>
    <row r="801" spans="5:24" x14ac:dyDescent="0.25">
      <c r="E801" s="8"/>
      <c r="L801" s="8"/>
      <c r="P801" s="8"/>
      <c r="X801" s="8"/>
    </row>
    <row r="802" spans="5:24" x14ac:dyDescent="0.25">
      <c r="E802" s="8"/>
      <c r="L802" s="8"/>
      <c r="P802" s="8"/>
      <c r="X802" s="8"/>
    </row>
    <row r="803" spans="5:24" x14ac:dyDescent="0.25">
      <c r="E803" s="8"/>
      <c r="L803" s="8"/>
      <c r="P803" s="8"/>
      <c r="X803" s="8"/>
    </row>
    <row r="804" spans="5:24" x14ac:dyDescent="0.25">
      <c r="E804" s="8"/>
      <c r="L804" s="8"/>
      <c r="P804" s="8"/>
      <c r="X804" s="8"/>
    </row>
    <row r="805" spans="5:24" x14ac:dyDescent="0.25">
      <c r="E805" s="8"/>
      <c r="L805" s="8"/>
      <c r="P805" s="8"/>
      <c r="X805" s="8"/>
    </row>
    <row r="806" spans="5:24" x14ac:dyDescent="0.25">
      <c r="E806" s="8"/>
      <c r="L806" s="8"/>
      <c r="P806" s="8"/>
      <c r="X806" s="8"/>
    </row>
    <row r="807" spans="5:24" x14ac:dyDescent="0.25">
      <c r="E807" s="8"/>
      <c r="L807" s="8"/>
      <c r="P807" s="8"/>
      <c r="X807" s="8"/>
    </row>
    <row r="808" spans="5:24" x14ac:dyDescent="0.25">
      <c r="E808" s="8"/>
      <c r="L808" s="8"/>
      <c r="P808" s="8"/>
      <c r="X808" s="8"/>
    </row>
    <row r="809" spans="5:24" x14ac:dyDescent="0.25">
      <c r="E809" s="8"/>
      <c r="L809" s="8"/>
      <c r="P809" s="8"/>
      <c r="X809" s="8"/>
    </row>
    <row r="810" spans="5:24" x14ac:dyDescent="0.25">
      <c r="E810" s="8"/>
      <c r="L810" s="8"/>
      <c r="P810" s="8"/>
      <c r="X810" s="8"/>
    </row>
    <row r="811" spans="5:24" x14ac:dyDescent="0.25">
      <c r="E811" s="8"/>
      <c r="L811" s="8"/>
      <c r="P811" s="8"/>
      <c r="X811" s="8"/>
    </row>
    <row r="812" spans="5:24" x14ac:dyDescent="0.25">
      <c r="E812" s="8"/>
      <c r="L812" s="8"/>
      <c r="P812" s="8"/>
      <c r="X812" s="8"/>
    </row>
    <row r="813" spans="5:24" x14ac:dyDescent="0.25">
      <c r="E813" s="8"/>
      <c r="L813" s="8"/>
      <c r="P813" s="8"/>
      <c r="X813" s="8"/>
    </row>
    <row r="814" spans="5:24" x14ac:dyDescent="0.25">
      <c r="E814" s="8"/>
      <c r="L814" s="8"/>
      <c r="P814" s="8"/>
      <c r="X814" s="8"/>
    </row>
    <row r="815" spans="5:24" x14ac:dyDescent="0.25">
      <c r="E815" s="8"/>
      <c r="L815" s="8"/>
      <c r="P815" s="8"/>
      <c r="X815" s="8"/>
    </row>
    <row r="816" spans="5:24" x14ac:dyDescent="0.25">
      <c r="E816" s="8"/>
      <c r="L816" s="8"/>
      <c r="P816" s="8"/>
      <c r="X816" s="8"/>
    </row>
    <row r="817" spans="5:24" x14ac:dyDescent="0.25">
      <c r="E817" s="8"/>
      <c r="L817" s="8"/>
      <c r="P817" s="8"/>
      <c r="X817" s="8"/>
    </row>
    <row r="818" spans="5:24" x14ac:dyDescent="0.25">
      <c r="E818" s="8"/>
      <c r="L818" s="8"/>
      <c r="X818" s="8"/>
    </row>
    <row r="819" spans="5:24" x14ac:dyDescent="0.25">
      <c r="E819" s="8"/>
      <c r="L819" s="8"/>
      <c r="X819" s="8"/>
    </row>
    <row r="820" spans="5:24" x14ac:dyDescent="0.25">
      <c r="E820" s="8"/>
      <c r="L820" s="8"/>
      <c r="X820" s="8"/>
    </row>
    <row r="821" spans="5:24" x14ac:dyDescent="0.25">
      <c r="E821" s="8"/>
      <c r="L821" s="8"/>
      <c r="X821" s="8"/>
    </row>
    <row r="822" spans="5:24" x14ac:dyDescent="0.25">
      <c r="E822" s="8"/>
      <c r="L822" s="8"/>
      <c r="X822" s="8"/>
    </row>
    <row r="823" spans="5:24" x14ac:dyDescent="0.25">
      <c r="E823" s="8"/>
      <c r="L823" s="8"/>
      <c r="X823" s="8"/>
    </row>
    <row r="824" spans="5:24" x14ac:dyDescent="0.25">
      <c r="E824" s="8"/>
      <c r="L824" s="8"/>
      <c r="X824" s="8"/>
    </row>
    <row r="825" spans="5:24" x14ac:dyDescent="0.25">
      <c r="E825" s="8"/>
      <c r="L825" s="8"/>
      <c r="X825" s="8"/>
    </row>
    <row r="826" spans="5:24" x14ac:dyDescent="0.25">
      <c r="E826" s="8"/>
      <c r="L826" s="8"/>
      <c r="X826" s="8"/>
    </row>
    <row r="827" spans="5:24" x14ac:dyDescent="0.25">
      <c r="E827" s="8"/>
      <c r="L827" s="8"/>
      <c r="X827" s="8"/>
    </row>
    <row r="828" spans="5:24" x14ac:dyDescent="0.25">
      <c r="E828" s="8"/>
      <c r="L828" s="8"/>
      <c r="X828" s="8"/>
    </row>
    <row r="829" spans="5:24" x14ac:dyDescent="0.25">
      <c r="E829" s="8"/>
      <c r="L829" s="8"/>
      <c r="X829" s="8"/>
    </row>
    <row r="830" spans="5:24" x14ac:dyDescent="0.25">
      <c r="E830" s="8"/>
      <c r="L830" s="8"/>
      <c r="X830" s="8"/>
    </row>
    <row r="831" spans="5:24" x14ac:dyDescent="0.25">
      <c r="E831" s="8"/>
      <c r="L831" s="8"/>
      <c r="X831" s="8"/>
    </row>
    <row r="832" spans="5:24" x14ac:dyDescent="0.25">
      <c r="E832" s="8"/>
      <c r="L832" s="8"/>
      <c r="X832" s="8"/>
    </row>
    <row r="833" spans="5:24" x14ac:dyDescent="0.25">
      <c r="E833" s="8"/>
      <c r="L833" s="8"/>
      <c r="X833" s="8"/>
    </row>
    <row r="834" spans="5:24" x14ac:dyDescent="0.25">
      <c r="E834" s="8"/>
      <c r="L834" s="8"/>
      <c r="X834" s="8"/>
    </row>
    <row r="835" spans="5:24" x14ac:dyDescent="0.25">
      <c r="E835" s="8"/>
      <c r="L835" s="8"/>
      <c r="X835" s="8"/>
    </row>
    <row r="836" spans="5:24" x14ac:dyDescent="0.25">
      <c r="E836" s="8"/>
      <c r="L836" s="8"/>
      <c r="X836" s="8"/>
    </row>
    <row r="837" spans="5:24" x14ac:dyDescent="0.25">
      <c r="E837" s="8"/>
      <c r="L837" s="8"/>
      <c r="X837" s="8"/>
    </row>
    <row r="838" spans="5:24" x14ac:dyDescent="0.25">
      <c r="E838" s="8"/>
      <c r="L838" s="8"/>
      <c r="X838" s="8"/>
    </row>
    <row r="839" spans="5:24" x14ac:dyDescent="0.25">
      <c r="E839" s="8"/>
      <c r="L839" s="8"/>
      <c r="X839" s="8"/>
    </row>
    <row r="840" spans="5:24" x14ac:dyDescent="0.25">
      <c r="E840" s="8"/>
      <c r="L840" s="8"/>
      <c r="X840" s="8"/>
    </row>
    <row r="841" spans="5:24" x14ac:dyDescent="0.25">
      <c r="E841" s="8"/>
      <c r="L841" s="8"/>
      <c r="X841" s="8"/>
    </row>
    <row r="842" spans="5:24" x14ac:dyDescent="0.25">
      <c r="E842" s="8"/>
      <c r="L842" s="8"/>
      <c r="X842" s="8"/>
    </row>
    <row r="843" spans="5:24" x14ac:dyDescent="0.25">
      <c r="E843" s="8"/>
      <c r="L843" s="8"/>
      <c r="X843" s="8"/>
    </row>
    <row r="844" spans="5:24" x14ac:dyDescent="0.25">
      <c r="E844" s="8"/>
      <c r="L844" s="8"/>
      <c r="X844" s="8"/>
    </row>
    <row r="845" spans="5:24" x14ac:dyDescent="0.25">
      <c r="E845" s="8"/>
      <c r="L845" s="8"/>
      <c r="X845" s="8"/>
    </row>
    <row r="846" spans="5:24" x14ac:dyDescent="0.25">
      <c r="E846" s="8"/>
      <c r="L846" s="8"/>
      <c r="X846" s="8"/>
    </row>
    <row r="847" spans="5:24" x14ac:dyDescent="0.25">
      <c r="E847" s="8"/>
      <c r="L847" s="8"/>
      <c r="X847" s="8"/>
    </row>
    <row r="848" spans="5:24" x14ac:dyDescent="0.25">
      <c r="E848" s="8"/>
      <c r="L848" s="8"/>
      <c r="X848" s="8"/>
    </row>
    <row r="849" spans="5:24" x14ac:dyDescent="0.25">
      <c r="E849" s="8"/>
      <c r="L849" s="8"/>
      <c r="X849" s="8"/>
    </row>
    <row r="850" spans="5:24" x14ac:dyDescent="0.25">
      <c r="E850" s="8"/>
      <c r="L850" s="8"/>
      <c r="X850" s="8"/>
    </row>
    <row r="851" spans="5:24" x14ac:dyDescent="0.25">
      <c r="E851" s="8"/>
      <c r="L851" s="8"/>
      <c r="X851" s="8"/>
    </row>
    <row r="852" spans="5:24" x14ac:dyDescent="0.25">
      <c r="E852" s="8"/>
      <c r="L852" s="8"/>
      <c r="X852" s="8"/>
    </row>
    <row r="853" spans="5:24" x14ac:dyDescent="0.25">
      <c r="E853" s="8"/>
      <c r="L853" s="8"/>
      <c r="X853" s="8"/>
    </row>
    <row r="854" spans="5:24" x14ac:dyDescent="0.25">
      <c r="E854" s="8"/>
      <c r="L854" s="8"/>
      <c r="X854" s="8"/>
    </row>
    <row r="855" spans="5:24" x14ac:dyDescent="0.25">
      <c r="E855" s="8"/>
      <c r="L855" s="8"/>
      <c r="X855" s="8"/>
    </row>
    <row r="856" spans="5:24" x14ac:dyDescent="0.25">
      <c r="E856" s="8"/>
      <c r="L856" s="8"/>
      <c r="X856" s="8"/>
    </row>
    <row r="857" spans="5:24" x14ac:dyDescent="0.25">
      <c r="E857" s="8"/>
      <c r="L857" s="8"/>
      <c r="X857" s="8"/>
    </row>
    <row r="858" spans="5:24" x14ac:dyDescent="0.25">
      <c r="E858" s="8"/>
      <c r="L858" s="8"/>
      <c r="X858" s="8"/>
    </row>
    <row r="859" spans="5:24" x14ac:dyDescent="0.25">
      <c r="E859" s="8"/>
      <c r="L859" s="8"/>
      <c r="X859" s="8"/>
    </row>
    <row r="860" spans="5:24" x14ac:dyDescent="0.25">
      <c r="E860" s="8"/>
      <c r="L860" s="8"/>
      <c r="X860" s="8"/>
    </row>
    <row r="861" spans="5:24" x14ac:dyDescent="0.25">
      <c r="E861" s="8"/>
      <c r="L861" s="8"/>
      <c r="X861" s="8"/>
    </row>
    <row r="862" spans="5:24" x14ac:dyDescent="0.25">
      <c r="E862" s="8"/>
      <c r="L862" s="8"/>
      <c r="X862" s="8"/>
    </row>
    <row r="863" spans="5:24" x14ac:dyDescent="0.25">
      <c r="E863" s="8"/>
      <c r="L863" s="8"/>
      <c r="X863" s="8"/>
    </row>
    <row r="864" spans="5:24" x14ac:dyDescent="0.25">
      <c r="E864" s="8"/>
      <c r="L864" s="8"/>
      <c r="X864" s="8"/>
    </row>
    <row r="865" spans="5:24" x14ac:dyDescent="0.25">
      <c r="E865" s="8"/>
      <c r="L865" s="8"/>
      <c r="X865" s="8"/>
    </row>
    <row r="866" spans="5:24" x14ac:dyDescent="0.25">
      <c r="E866" s="8"/>
      <c r="L866" s="8"/>
      <c r="X866" s="8"/>
    </row>
    <row r="867" spans="5:24" x14ac:dyDescent="0.25">
      <c r="E867" s="8"/>
      <c r="L867" s="8"/>
      <c r="X867" s="8"/>
    </row>
    <row r="868" spans="5:24" x14ac:dyDescent="0.25">
      <c r="E868" s="8"/>
      <c r="L868" s="8"/>
      <c r="X868" s="8"/>
    </row>
    <row r="869" spans="5:24" x14ac:dyDescent="0.25">
      <c r="E869" s="8"/>
      <c r="L869" s="8"/>
      <c r="X869" s="8"/>
    </row>
    <row r="870" spans="5:24" x14ac:dyDescent="0.25">
      <c r="E870" s="8"/>
      <c r="L870" s="8"/>
      <c r="X870" s="8"/>
    </row>
    <row r="871" spans="5:24" x14ac:dyDescent="0.25">
      <c r="E871" s="8"/>
      <c r="L871" s="8"/>
      <c r="X871" s="8"/>
    </row>
    <row r="872" spans="5:24" x14ac:dyDescent="0.25">
      <c r="E872" s="8"/>
      <c r="L872" s="8"/>
      <c r="X872" s="8"/>
    </row>
    <row r="873" spans="5:24" x14ac:dyDescent="0.25">
      <c r="E873" s="8"/>
      <c r="L873" s="8"/>
      <c r="X873" s="8"/>
    </row>
    <row r="874" spans="5:24" x14ac:dyDescent="0.25">
      <c r="E874" s="8"/>
      <c r="L874" s="8"/>
      <c r="X874" s="8"/>
    </row>
    <row r="875" spans="5:24" x14ac:dyDescent="0.25">
      <c r="E875" s="8"/>
      <c r="L875" s="8"/>
      <c r="X875" s="8"/>
    </row>
    <row r="876" spans="5:24" x14ac:dyDescent="0.25">
      <c r="E876" s="8"/>
      <c r="L876" s="8"/>
      <c r="X876" s="8"/>
    </row>
    <row r="877" spans="5:24" x14ac:dyDescent="0.25">
      <c r="E877" s="8"/>
      <c r="L877" s="8"/>
      <c r="X877" s="8"/>
    </row>
    <row r="878" spans="5:24" x14ac:dyDescent="0.25">
      <c r="E878" s="8"/>
      <c r="L878" s="8"/>
      <c r="X878" s="8"/>
    </row>
    <row r="879" spans="5:24" x14ac:dyDescent="0.25">
      <c r="E879" s="8"/>
      <c r="L879" s="8"/>
      <c r="X879" s="8"/>
    </row>
    <row r="880" spans="5:24" x14ac:dyDescent="0.25">
      <c r="E880" s="8"/>
      <c r="L880" s="8"/>
      <c r="X880" s="8"/>
    </row>
    <row r="881" spans="5:24" x14ac:dyDescent="0.25">
      <c r="E881" s="8"/>
      <c r="L881" s="8"/>
      <c r="X881" s="8"/>
    </row>
    <row r="882" spans="5:24" x14ac:dyDescent="0.25">
      <c r="E882" s="8"/>
      <c r="L882" s="8"/>
      <c r="X882" s="8"/>
    </row>
    <row r="883" spans="5:24" x14ac:dyDescent="0.25">
      <c r="E883" s="8"/>
      <c r="L883" s="8"/>
      <c r="X883" s="8"/>
    </row>
    <row r="884" spans="5:24" x14ac:dyDescent="0.25">
      <c r="E884" s="8"/>
      <c r="L884" s="8"/>
      <c r="X884" s="8"/>
    </row>
    <row r="885" spans="5:24" x14ac:dyDescent="0.25">
      <c r="E885" s="8"/>
      <c r="L885" s="8"/>
      <c r="X885" s="8"/>
    </row>
    <row r="886" spans="5:24" x14ac:dyDescent="0.25">
      <c r="E886" s="8"/>
      <c r="L886" s="8"/>
      <c r="X886" s="8"/>
    </row>
    <row r="887" spans="5:24" x14ac:dyDescent="0.25">
      <c r="E887" s="8"/>
      <c r="L887" s="8"/>
      <c r="X887" s="8"/>
    </row>
    <row r="888" spans="5:24" x14ac:dyDescent="0.25">
      <c r="E888" s="8"/>
      <c r="L888" s="8"/>
      <c r="X888" s="8"/>
    </row>
    <row r="889" spans="5:24" x14ac:dyDescent="0.25">
      <c r="E889" s="8"/>
      <c r="L889" s="8"/>
      <c r="X889" s="8"/>
    </row>
    <row r="890" spans="5:24" x14ac:dyDescent="0.25">
      <c r="E890" s="8"/>
      <c r="L890" s="8"/>
      <c r="X890" s="8"/>
    </row>
    <row r="891" spans="5:24" x14ac:dyDescent="0.25">
      <c r="E891" s="8"/>
      <c r="L891" s="8"/>
      <c r="X891" s="8"/>
    </row>
    <row r="892" spans="5:24" x14ac:dyDescent="0.25">
      <c r="E892" s="8"/>
      <c r="L892" s="8"/>
      <c r="X892" s="8"/>
    </row>
    <row r="893" spans="5:24" x14ac:dyDescent="0.25">
      <c r="E893" s="8"/>
      <c r="L893" s="8"/>
      <c r="X893" s="8"/>
    </row>
    <row r="894" spans="5:24" x14ac:dyDescent="0.25">
      <c r="E894" s="8"/>
      <c r="L894" s="8"/>
      <c r="X894" s="8"/>
    </row>
    <row r="895" spans="5:24" x14ac:dyDescent="0.25">
      <c r="E895" s="8"/>
      <c r="L895" s="8"/>
      <c r="X895" s="8"/>
    </row>
    <row r="896" spans="5:24" x14ac:dyDescent="0.25">
      <c r="E896" s="8"/>
      <c r="L896" s="8"/>
      <c r="X896" s="8"/>
    </row>
    <row r="897" spans="5:24" x14ac:dyDescent="0.25">
      <c r="E897" s="8"/>
      <c r="L897" s="8"/>
      <c r="X897" s="8"/>
    </row>
    <row r="898" spans="5:24" x14ac:dyDescent="0.25">
      <c r="E898" s="8"/>
      <c r="L898" s="8"/>
      <c r="X898" s="8"/>
    </row>
    <row r="899" spans="5:24" x14ac:dyDescent="0.25">
      <c r="E899" s="8"/>
      <c r="L899" s="8"/>
      <c r="X899" s="8"/>
    </row>
    <row r="900" spans="5:24" x14ac:dyDescent="0.25">
      <c r="E900" s="8"/>
      <c r="L900" s="8"/>
      <c r="X900" s="8"/>
    </row>
    <row r="901" spans="5:24" x14ac:dyDescent="0.25">
      <c r="E901" s="8"/>
      <c r="L901" s="8"/>
      <c r="X901" s="8"/>
    </row>
    <row r="902" spans="5:24" x14ac:dyDescent="0.25">
      <c r="E902" s="8"/>
      <c r="L902" s="8"/>
      <c r="X902" s="8"/>
    </row>
    <row r="903" spans="5:24" x14ac:dyDescent="0.25">
      <c r="E903" s="8"/>
      <c r="L903" s="8"/>
      <c r="X903" s="8"/>
    </row>
    <row r="904" spans="5:24" x14ac:dyDescent="0.25">
      <c r="E904" s="8"/>
      <c r="L904" s="8"/>
      <c r="X904" s="8"/>
    </row>
    <row r="905" spans="5:24" x14ac:dyDescent="0.25">
      <c r="E905" s="8"/>
      <c r="L905" s="8"/>
      <c r="X905" s="8"/>
    </row>
    <row r="906" spans="5:24" x14ac:dyDescent="0.25">
      <c r="E906" s="8"/>
      <c r="L906" s="8"/>
      <c r="X906" s="8"/>
    </row>
    <row r="907" spans="5:24" x14ac:dyDescent="0.25">
      <c r="E907" s="8"/>
      <c r="L907" s="8"/>
      <c r="X907" s="8"/>
    </row>
    <row r="908" spans="5:24" x14ac:dyDescent="0.25">
      <c r="E908" s="8"/>
      <c r="L908" s="8"/>
      <c r="X908" s="8"/>
    </row>
    <row r="909" spans="5:24" x14ac:dyDescent="0.25">
      <c r="E909" s="8"/>
      <c r="L909" s="8"/>
      <c r="X909" s="8"/>
    </row>
    <row r="910" spans="5:24" x14ac:dyDescent="0.25">
      <c r="E910" s="8"/>
      <c r="L910" s="8"/>
      <c r="X910" s="8"/>
    </row>
    <row r="911" spans="5:24" x14ac:dyDescent="0.25">
      <c r="E911" s="8"/>
      <c r="L911" s="8"/>
      <c r="X911" s="8"/>
    </row>
    <row r="912" spans="5:24" x14ac:dyDescent="0.25">
      <c r="E912" s="8"/>
      <c r="L912" s="8"/>
      <c r="X912" s="8"/>
    </row>
    <row r="913" spans="5:24" x14ac:dyDescent="0.25">
      <c r="E913" s="8"/>
      <c r="L913" s="8"/>
      <c r="X913" s="8"/>
    </row>
    <row r="914" spans="5:24" x14ac:dyDescent="0.25">
      <c r="E914" s="8"/>
      <c r="L914" s="8"/>
      <c r="X914" s="8"/>
    </row>
    <row r="915" spans="5:24" x14ac:dyDescent="0.25">
      <c r="E915" s="8"/>
      <c r="L915" s="8"/>
      <c r="X915" s="8"/>
    </row>
    <row r="916" spans="5:24" x14ac:dyDescent="0.25">
      <c r="E916" s="8"/>
      <c r="L916" s="8"/>
      <c r="X916" s="8"/>
    </row>
    <row r="917" spans="5:24" x14ac:dyDescent="0.25">
      <c r="E917" s="8"/>
      <c r="L917" s="8"/>
      <c r="X917" s="8"/>
    </row>
    <row r="918" spans="5:24" x14ac:dyDescent="0.25">
      <c r="E918" s="8"/>
      <c r="L918" s="8"/>
      <c r="X918" s="8"/>
    </row>
    <row r="919" spans="5:24" x14ac:dyDescent="0.25">
      <c r="E919" s="8"/>
      <c r="L919" s="8"/>
      <c r="X919" s="8"/>
    </row>
    <row r="920" spans="5:24" x14ac:dyDescent="0.25">
      <c r="E920" s="8"/>
      <c r="L920" s="8"/>
      <c r="X920" s="8"/>
    </row>
    <row r="921" spans="5:24" x14ac:dyDescent="0.25">
      <c r="E921" s="8"/>
      <c r="L921" s="8"/>
      <c r="X921" s="8"/>
    </row>
    <row r="922" spans="5:24" x14ac:dyDescent="0.25">
      <c r="E922" s="8"/>
      <c r="L922" s="8"/>
      <c r="X922" s="8"/>
    </row>
    <row r="923" spans="5:24" x14ac:dyDescent="0.25">
      <c r="E923" s="8"/>
      <c r="L923" s="8"/>
      <c r="X923" s="8"/>
    </row>
    <row r="924" spans="5:24" x14ac:dyDescent="0.25">
      <c r="E924" s="8"/>
      <c r="L924" s="8"/>
      <c r="X924" s="8"/>
    </row>
    <row r="925" spans="5:24" x14ac:dyDescent="0.25">
      <c r="E925" s="8"/>
      <c r="L925" s="8"/>
      <c r="X925" s="8"/>
    </row>
    <row r="926" spans="5:24" x14ac:dyDescent="0.25">
      <c r="E926" s="8"/>
      <c r="L926" s="8"/>
      <c r="X926" s="8"/>
    </row>
    <row r="927" spans="5:24" x14ac:dyDescent="0.25">
      <c r="E927" s="8"/>
      <c r="L927" s="8"/>
      <c r="X927" s="8"/>
    </row>
    <row r="928" spans="5:24" x14ac:dyDescent="0.25">
      <c r="E928" s="8"/>
      <c r="L928" s="8"/>
      <c r="X928" s="8"/>
    </row>
    <row r="929" spans="5:24" x14ac:dyDescent="0.25">
      <c r="E929" s="8"/>
      <c r="L929" s="8"/>
      <c r="X929" s="8"/>
    </row>
    <row r="930" spans="5:24" x14ac:dyDescent="0.25">
      <c r="E930" s="8"/>
      <c r="L930" s="8"/>
      <c r="X930" s="8"/>
    </row>
    <row r="931" spans="5:24" x14ac:dyDescent="0.25">
      <c r="E931" s="8"/>
      <c r="L931" s="8"/>
      <c r="X931" s="8"/>
    </row>
    <row r="932" spans="5:24" x14ac:dyDescent="0.25">
      <c r="E932" s="8"/>
      <c r="L932" s="8"/>
      <c r="X932" s="8"/>
    </row>
    <row r="933" spans="5:24" x14ac:dyDescent="0.25">
      <c r="E933" s="8"/>
      <c r="L933" s="8"/>
      <c r="X933" s="8"/>
    </row>
    <row r="934" spans="5:24" x14ac:dyDescent="0.25">
      <c r="E934" s="8"/>
      <c r="L934" s="8"/>
      <c r="X934" s="8"/>
    </row>
    <row r="935" spans="5:24" x14ac:dyDescent="0.25">
      <c r="E935" s="8"/>
      <c r="L935" s="8"/>
      <c r="X935" s="8"/>
    </row>
    <row r="936" spans="5:24" x14ac:dyDescent="0.25">
      <c r="E936" s="8"/>
      <c r="L936" s="8"/>
      <c r="X936" s="8"/>
    </row>
    <row r="937" spans="5:24" x14ac:dyDescent="0.25">
      <c r="E937" s="8"/>
      <c r="L937" s="8"/>
      <c r="X937" s="8"/>
    </row>
    <row r="938" spans="5:24" x14ac:dyDescent="0.25">
      <c r="E938" s="8"/>
      <c r="L938" s="8"/>
      <c r="X938" s="8"/>
    </row>
    <row r="939" spans="5:24" x14ac:dyDescent="0.25">
      <c r="E939" s="8"/>
      <c r="L939" s="8"/>
      <c r="X939" s="8"/>
    </row>
    <row r="940" spans="5:24" x14ac:dyDescent="0.25">
      <c r="E940" s="8"/>
      <c r="L940" s="8"/>
      <c r="X940" s="8"/>
    </row>
    <row r="941" spans="5:24" x14ac:dyDescent="0.25">
      <c r="E941" s="8"/>
      <c r="L941" s="8"/>
      <c r="X941" s="8"/>
    </row>
    <row r="942" spans="5:24" x14ac:dyDescent="0.25">
      <c r="E942" s="8"/>
      <c r="L942" s="8"/>
      <c r="X942" s="8"/>
    </row>
    <row r="943" spans="5:24" x14ac:dyDescent="0.25">
      <c r="E943" s="8"/>
      <c r="L943" s="8"/>
      <c r="X943" s="8"/>
    </row>
    <row r="944" spans="5:24" x14ac:dyDescent="0.25">
      <c r="E944" s="8"/>
      <c r="L944" s="8"/>
      <c r="X944" s="8"/>
    </row>
    <row r="945" spans="5:24" x14ac:dyDescent="0.25">
      <c r="E945" s="8"/>
      <c r="L945" s="8"/>
      <c r="X945" s="8"/>
    </row>
    <row r="946" spans="5:24" x14ac:dyDescent="0.25">
      <c r="E946" s="8"/>
      <c r="L946" s="8"/>
      <c r="X946" s="8"/>
    </row>
    <row r="947" spans="5:24" x14ac:dyDescent="0.25">
      <c r="E947" s="8"/>
      <c r="L947" s="8"/>
      <c r="X947" s="8"/>
    </row>
    <row r="948" spans="5:24" x14ac:dyDescent="0.25">
      <c r="E948" s="8"/>
      <c r="L948" s="8"/>
      <c r="X948" s="8"/>
    </row>
    <row r="949" spans="5:24" x14ac:dyDescent="0.25">
      <c r="E949" s="8"/>
      <c r="L949" s="8"/>
      <c r="X949" s="8"/>
    </row>
    <row r="950" spans="5:24" x14ac:dyDescent="0.25">
      <c r="E950" s="8"/>
      <c r="L950" s="8"/>
      <c r="X950" s="8"/>
    </row>
    <row r="951" spans="5:24" x14ac:dyDescent="0.25">
      <c r="E951" s="8"/>
      <c r="L951" s="8"/>
      <c r="X951" s="8"/>
    </row>
    <row r="952" spans="5:24" x14ac:dyDescent="0.25">
      <c r="E952" s="8"/>
      <c r="L952" s="8"/>
      <c r="X952" s="8"/>
    </row>
    <row r="953" spans="5:24" x14ac:dyDescent="0.25">
      <c r="E953" s="8"/>
      <c r="L953" s="8"/>
      <c r="X953" s="8"/>
    </row>
    <row r="954" spans="5:24" x14ac:dyDescent="0.25">
      <c r="E954" s="8"/>
      <c r="L954" s="8"/>
      <c r="X954" s="8"/>
    </row>
    <row r="955" spans="5:24" x14ac:dyDescent="0.25">
      <c r="E955" s="8"/>
      <c r="L955" s="8"/>
      <c r="X955" s="8"/>
    </row>
    <row r="956" spans="5:24" x14ac:dyDescent="0.25">
      <c r="E956" s="8"/>
      <c r="L956" s="8"/>
      <c r="X956" s="8"/>
    </row>
    <row r="957" spans="5:24" x14ac:dyDescent="0.25">
      <c r="E957" s="8"/>
      <c r="L957" s="8"/>
      <c r="X957" s="8"/>
    </row>
    <row r="958" spans="5:24" x14ac:dyDescent="0.25">
      <c r="E958" s="8"/>
      <c r="L958" s="8"/>
      <c r="X958" s="8"/>
    </row>
    <row r="959" spans="5:24" x14ac:dyDescent="0.25">
      <c r="E959" s="8"/>
      <c r="L959" s="8"/>
      <c r="X959" s="8"/>
    </row>
    <row r="960" spans="5:24" x14ac:dyDescent="0.25">
      <c r="E960" s="8"/>
      <c r="L960" s="8"/>
      <c r="X960" s="8"/>
    </row>
    <row r="961" spans="5:24" x14ac:dyDescent="0.25">
      <c r="E961" s="8"/>
      <c r="L961" s="8"/>
      <c r="X961" s="8"/>
    </row>
    <row r="962" spans="5:24" x14ac:dyDescent="0.25">
      <c r="E962" s="8"/>
      <c r="L962" s="8"/>
      <c r="X962" s="8"/>
    </row>
    <row r="963" spans="5:24" x14ac:dyDescent="0.25">
      <c r="E963" s="8"/>
      <c r="L963" s="8"/>
      <c r="X963" s="8"/>
    </row>
    <row r="964" spans="5:24" x14ac:dyDescent="0.25">
      <c r="E964" s="8"/>
      <c r="L964" s="8"/>
      <c r="X964" s="8"/>
    </row>
    <row r="965" spans="5:24" x14ac:dyDescent="0.25">
      <c r="E965" s="8"/>
      <c r="L965" s="8"/>
      <c r="X965" s="8"/>
    </row>
    <row r="966" spans="5:24" x14ac:dyDescent="0.25">
      <c r="E966" s="8"/>
      <c r="L966" s="8"/>
      <c r="X966" s="8"/>
    </row>
    <row r="967" spans="5:24" x14ac:dyDescent="0.25">
      <c r="E967" s="8"/>
      <c r="L967" s="8"/>
      <c r="X967" s="8"/>
    </row>
    <row r="968" spans="5:24" x14ac:dyDescent="0.25">
      <c r="E968" s="8"/>
      <c r="L968" s="8"/>
      <c r="X968" s="8"/>
    </row>
    <row r="969" spans="5:24" x14ac:dyDescent="0.25">
      <c r="E969" s="8"/>
      <c r="L969" s="8"/>
      <c r="X969" s="8"/>
    </row>
    <row r="970" spans="5:24" x14ac:dyDescent="0.25">
      <c r="E970" s="8"/>
      <c r="L970" s="8"/>
      <c r="X970" s="8"/>
    </row>
    <row r="971" spans="5:24" x14ac:dyDescent="0.25">
      <c r="E971" s="8"/>
      <c r="L971" s="8"/>
      <c r="X971" s="8"/>
    </row>
    <row r="972" spans="5:24" x14ac:dyDescent="0.25">
      <c r="E972" s="8"/>
      <c r="L972" s="8"/>
      <c r="X972" s="8"/>
    </row>
    <row r="973" spans="5:24" x14ac:dyDescent="0.25">
      <c r="E973" s="8"/>
      <c r="L973" s="8"/>
      <c r="X973" s="8"/>
    </row>
    <row r="974" spans="5:24" x14ac:dyDescent="0.25">
      <c r="E974" s="8"/>
      <c r="L974" s="8"/>
      <c r="X974" s="8"/>
    </row>
    <row r="975" spans="5:24" x14ac:dyDescent="0.25">
      <c r="E975" s="8"/>
      <c r="L975" s="8"/>
      <c r="X975" s="8"/>
    </row>
    <row r="976" spans="5:24" x14ac:dyDescent="0.25">
      <c r="E976" s="8"/>
      <c r="L976" s="8"/>
      <c r="X976" s="8"/>
    </row>
    <row r="977" spans="5:24" x14ac:dyDescent="0.25">
      <c r="E977" s="8"/>
      <c r="L977" s="8"/>
      <c r="X977" s="8"/>
    </row>
    <row r="978" spans="5:24" x14ac:dyDescent="0.25">
      <c r="E978" s="8"/>
      <c r="L978" s="8"/>
      <c r="X978" s="8"/>
    </row>
    <row r="979" spans="5:24" x14ac:dyDescent="0.25">
      <c r="E979" s="8"/>
      <c r="L979" s="8"/>
      <c r="X979" s="8"/>
    </row>
    <row r="980" spans="5:24" x14ac:dyDescent="0.25">
      <c r="E980" s="8"/>
      <c r="L980" s="8"/>
      <c r="X980" s="8"/>
    </row>
    <row r="981" spans="5:24" x14ac:dyDescent="0.25">
      <c r="E981" s="8"/>
      <c r="L981" s="8"/>
      <c r="X981" s="8"/>
    </row>
    <row r="982" spans="5:24" x14ac:dyDescent="0.25">
      <c r="E982" s="8"/>
      <c r="L982" s="8"/>
      <c r="X982" s="8"/>
    </row>
    <row r="983" spans="5:24" x14ac:dyDescent="0.25">
      <c r="E983" s="8"/>
      <c r="L983" s="8"/>
      <c r="X983" s="8"/>
    </row>
    <row r="984" spans="5:24" x14ac:dyDescent="0.25">
      <c r="E984" s="8"/>
      <c r="L984" s="8"/>
      <c r="X984" s="8"/>
    </row>
    <row r="985" spans="5:24" x14ac:dyDescent="0.25">
      <c r="E985" s="8"/>
      <c r="L985" s="8"/>
      <c r="X985" s="8"/>
    </row>
    <row r="986" spans="5:24" x14ac:dyDescent="0.25">
      <c r="E986" s="8"/>
      <c r="L986" s="8"/>
      <c r="X986" s="8"/>
    </row>
    <row r="987" spans="5:24" x14ac:dyDescent="0.25">
      <c r="E987" s="8"/>
      <c r="L987" s="8"/>
      <c r="X987" s="8"/>
    </row>
    <row r="988" spans="5:24" x14ac:dyDescent="0.25">
      <c r="E988" s="8"/>
      <c r="L988" s="8"/>
      <c r="X988" s="8"/>
    </row>
    <row r="989" spans="5:24" x14ac:dyDescent="0.25">
      <c r="E989" s="8"/>
      <c r="L989" s="8"/>
      <c r="X989" s="8"/>
    </row>
    <row r="990" spans="5:24" x14ac:dyDescent="0.25">
      <c r="E990" s="8"/>
      <c r="L990" s="8"/>
      <c r="X990" s="8"/>
    </row>
    <row r="991" spans="5:24" x14ac:dyDescent="0.25">
      <c r="E991" s="8"/>
      <c r="L991" s="8"/>
      <c r="X991" s="8"/>
    </row>
    <row r="992" spans="5:24" x14ac:dyDescent="0.25">
      <c r="E992" s="8"/>
      <c r="L992" s="8"/>
      <c r="X992" s="8"/>
    </row>
    <row r="993" spans="5:24" x14ac:dyDescent="0.25">
      <c r="E993" s="8"/>
      <c r="L993" s="8"/>
      <c r="X993" s="8"/>
    </row>
    <row r="994" spans="5:24" x14ac:dyDescent="0.25">
      <c r="E994" s="8"/>
      <c r="L994" s="8"/>
      <c r="X994" s="8"/>
    </row>
    <row r="995" spans="5:24" x14ac:dyDescent="0.25">
      <c r="E995" s="8"/>
      <c r="L995" s="8"/>
      <c r="X995" s="8"/>
    </row>
    <row r="996" spans="5:24" x14ac:dyDescent="0.25">
      <c r="E996" s="8"/>
      <c r="L996" s="8"/>
      <c r="X996" s="8"/>
    </row>
    <row r="997" spans="5:24" x14ac:dyDescent="0.25">
      <c r="E997" s="8"/>
      <c r="L997" s="8"/>
      <c r="X997" s="8"/>
    </row>
    <row r="998" spans="5:24" x14ac:dyDescent="0.25">
      <c r="E998" s="8"/>
      <c r="L998" s="8"/>
      <c r="X998" s="8"/>
    </row>
    <row r="999" spans="5:24" x14ac:dyDescent="0.25">
      <c r="E999" s="8"/>
      <c r="L999" s="8"/>
      <c r="X999" s="8"/>
    </row>
    <row r="1000" spans="5:24" x14ac:dyDescent="0.25">
      <c r="E1000" s="8"/>
      <c r="L1000" s="8"/>
      <c r="X1000" s="8"/>
    </row>
    <row r="1001" spans="5:24" x14ac:dyDescent="0.25">
      <c r="E1001" s="8"/>
      <c r="L1001" s="8"/>
      <c r="X1001" s="8"/>
    </row>
    <row r="1002" spans="5:24" x14ac:dyDescent="0.25">
      <c r="E1002" s="8"/>
      <c r="L1002" s="8"/>
      <c r="X1002" s="8"/>
    </row>
    <row r="1003" spans="5:24" x14ac:dyDescent="0.25">
      <c r="E1003" s="8"/>
      <c r="L1003" s="8"/>
      <c r="X1003" s="8"/>
    </row>
    <row r="1004" spans="5:24" x14ac:dyDescent="0.25">
      <c r="E1004" s="8"/>
      <c r="L1004" s="8"/>
      <c r="X1004" s="8"/>
    </row>
    <row r="1005" spans="5:24" x14ac:dyDescent="0.25">
      <c r="E1005" s="8"/>
      <c r="L1005" s="8"/>
      <c r="X1005" s="8"/>
    </row>
    <row r="1006" spans="5:24" x14ac:dyDescent="0.25">
      <c r="E1006" s="8"/>
      <c r="L1006" s="8"/>
      <c r="X1006" s="8"/>
    </row>
    <row r="1007" spans="5:24" x14ac:dyDescent="0.25">
      <c r="E1007" s="8"/>
      <c r="L1007" s="8"/>
      <c r="X1007" s="8"/>
    </row>
    <row r="1008" spans="5:24" x14ac:dyDescent="0.25">
      <c r="E1008" s="8"/>
      <c r="L1008" s="8"/>
      <c r="X1008" s="8"/>
    </row>
    <row r="1009" spans="5:24" x14ac:dyDescent="0.25">
      <c r="E1009" s="8"/>
      <c r="L1009" s="8"/>
      <c r="X1009" s="8"/>
    </row>
    <row r="1010" spans="5:24" x14ac:dyDescent="0.25">
      <c r="E1010" s="8"/>
      <c r="L1010" s="8"/>
      <c r="X1010" s="8"/>
    </row>
    <row r="1011" spans="5:24" x14ac:dyDescent="0.25">
      <c r="E1011" s="8"/>
      <c r="L1011" s="8"/>
      <c r="X1011" s="8"/>
    </row>
    <row r="1012" spans="5:24" x14ac:dyDescent="0.25">
      <c r="E1012" s="8"/>
      <c r="L1012" s="8"/>
      <c r="X1012" s="8"/>
    </row>
    <row r="1013" spans="5:24" x14ac:dyDescent="0.25">
      <c r="E1013" s="8"/>
      <c r="L1013" s="8"/>
      <c r="X1013" s="8"/>
    </row>
    <row r="1014" spans="5:24" x14ac:dyDescent="0.25">
      <c r="E1014" s="8"/>
    </row>
  </sheetData>
  <mergeCells count="2">
    <mergeCell ref="A1:H1"/>
    <mergeCell ref="D9:G9"/>
  </mergeCells>
  <phoneticPr fontId="5" type="noConversion"/>
  <printOptions headings="1" gridLines="1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E7B7-D6A7-4EAF-A34E-197EFC1F6953}">
  <dimension ref="A1:N18"/>
  <sheetViews>
    <sheetView workbookViewId="0">
      <selection activeCell="F9" sqref="F9"/>
    </sheetView>
  </sheetViews>
  <sheetFormatPr defaultRowHeight="13.2" x14ac:dyDescent="0.25"/>
  <cols>
    <col min="1" max="1" width="15.21875" style="21" customWidth="1"/>
    <col min="2" max="2" width="11.6640625" customWidth="1"/>
    <col min="3" max="3" width="10.33203125" customWidth="1"/>
    <col min="4" max="4" width="11.5546875" customWidth="1"/>
    <col min="5" max="5" width="3.6640625" customWidth="1"/>
    <col min="6" max="6" width="14.109375" customWidth="1"/>
    <col min="7" max="7" width="12.33203125" bestFit="1" customWidth="1"/>
    <col min="8" max="8" width="11.6640625" bestFit="1" customWidth="1"/>
    <col min="9" max="9" width="13.33203125" bestFit="1" customWidth="1"/>
    <col min="16" max="17" width="12" bestFit="1" customWidth="1"/>
  </cols>
  <sheetData>
    <row r="1" spans="1:14" ht="42.75" customHeight="1" x14ac:dyDescent="0.25">
      <c r="A1" s="72" t="s">
        <v>1103</v>
      </c>
      <c r="B1" s="72"/>
      <c r="C1" s="72"/>
      <c r="D1" s="72"/>
      <c r="E1" s="72"/>
      <c r="F1" s="72"/>
      <c r="G1" s="72"/>
      <c r="H1" s="72"/>
      <c r="I1" s="72"/>
    </row>
    <row r="2" spans="1:14" s="14" customFormat="1" ht="51.75" customHeight="1" x14ac:dyDescent="0.25">
      <c r="A2" s="24"/>
      <c r="B2" s="24" t="s">
        <v>41</v>
      </c>
      <c r="C2" s="14" t="s">
        <v>1106</v>
      </c>
      <c r="D2" s="14" t="s">
        <v>1107</v>
      </c>
    </row>
    <row r="3" spans="1:14" s="31" customFormat="1" ht="12.75" customHeight="1" x14ac:dyDescent="0.25">
      <c r="A3" s="53" t="s">
        <v>1105</v>
      </c>
      <c r="B3" s="33">
        <v>323100</v>
      </c>
      <c r="C3" s="34">
        <f>Dataset!G494</f>
        <v>563.04999999999995</v>
      </c>
      <c r="D3" s="37">
        <f>B3*C3/1000</f>
        <v>181921.45499999999</v>
      </c>
      <c r="E3" s="32"/>
      <c r="F3" s="32"/>
      <c r="G3" s="32"/>
      <c r="H3" s="32"/>
    </row>
    <row r="4" spans="1:14" s="31" customFormat="1" ht="12.75" customHeight="1" x14ac:dyDescent="0.25">
      <c r="A4" s="54" t="s">
        <v>1100</v>
      </c>
      <c r="B4" s="33">
        <v>6957400</v>
      </c>
      <c r="C4" s="34" t="str">
        <f>Dataset!J494</f>
        <v>923.50</v>
      </c>
      <c r="D4" s="37">
        <f>B4*C4/1000</f>
        <v>6425158.9000000004</v>
      </c>
      <c r="E4" s="32"/>
      <c r="F4" s="32"/>
      <c r="G4" s="32"/>
      <c r="H4" s="32"/>
    </row>
    <row r="5" spans="1:14" s="31" customFormat="1" ht="12.75" customHeight="1" x14ac:dyDescent="0.25">
      <c r="A5" s="29"/>
      <c r="B5" s="30"/>
      <c r="C5" s="32"/>
      <c r="D5" s="32"/>
      <c r="E5" s="70"/>
      <c r="F5" s="70"/>
      <c r="G5" s="70"/>
      <c r="I5" s="19"/>
    </row>
    <row r="6" spans="1:14" s="31" customFormat="1" ht="12.75" customHeight="1" x14ac:dyDescent="0.25">
      <c r="A6" s="29"/>
      <c r="B6" s="30"/>
      <c r="C6" s="32"/>
      <c r="D6" s="32"/>
      <c r="E6" s="70"/>
      <c r="F6" s="70"/>
      <c r="G6" s="70"/>
      <c r="I6" s="19"/>
    </row>
    <row r="7" spans="1:14" s="31" customFormat="1" ht="12.75" customHeight="1" x14ac:dyDescent="0.25">
      <c r="A7" s="29"/>
      <c r="B7" s="30"/>
      <c r="C7" s="32"/>
      <c r="D7" s="32"/>
      <c r="E7" s="32"/>
      <c r="F7" s="32"/>
      <c r="G7" s="32"/>
      <c r="H7" s="32"/>
      <c r="N7" s="55"/>
    </row>
    <row r="8" spans="1:14" ht="12.75" customHeight="1" x14ac:dyDescent="0.25">
      <c r="B8" s="28"/>
      <c r="C8" s="20"/>
      <c r="D8" s="20"/>
      <c r="E8" s="20"/>
      <c r="F8" s="20"/>
      <c r="G8" s="70"/>
      <c r="H8" s="70"/>
      <c r="I8" s="70"/>
      <c r="N8" s="55"/>
    </row>
    <row r="9" spans="1:14" ht="12.75" customHeight="1" x14ac:dyDescent="0.25">
      <c r="B9" s="28"/>
      <c r="C9" s="20"/>
      <c r="D9" s="20"/>
      <c r="E9" s="20"/>
      <c r="F9" s="20"/>
      <c r="G9" s="70"/>
      <c r="H9" s="70"/>
      <c r="I9" s="70"/>
    </row>
    <row r="10" spans="1:14" ht="24.75" customHeight="1" x14ac:dyDescent="0.25">
      <c r="A10" s="24" t="s">
        <v>0</v>
      </c>
      <c r="B10" s="74" t="s">
        <v>42</v>
      </c>
      <c r="C10" s="74"/>
      <c r="D10" s="74"/>
      <c r="E10" s="14"/>
      <c r="F10" s="74" t="s">
        <v>1108</v>
      </c>
      <c r="G10" s="74"/>
      <c r="H10" s="74"/>
    </row>
    <row r="11" spans="1:14" x14ac:dyDescent="0.25">
      <c r="B11" s="56" t="s">
        <v>1099</v>
      </c>
      <c r="C11" s="56" t="s">
        <v>1100</v>
      </c>
      <c r="D11" s="18" t="s">
        <v>40</v>
      </c>
      <c r="E11" s="18"/>
      <c r="F11" s="56" t="s">
        <v>1099</v>
      </c>
      <c r="G11" s="56" t="s">
        <v>1100</v>
      </c>
      <c r="H11" s="18" t="s">
        <v>40</v>
      </c>
    </row>
    <row r="12" spans="1:14" x14ac:dyDescent="0.25">
      <c r="A12" s="22">
        <f>'ICICI Securities'!A276</f>
        <v>45103</v>
      </c>
      <c r="B12" s="5">
        <f>'ICICI Securities'!D276</f>
        <v>0.10446144588030382</v>
      </c>
      <c r="C12" s="5">
        <f>'ICICI Bank'!D276</f>
        <v>4.2805659293756754E-3</v>
      </c>
      <c r="D12" s="5">
        <f t="shared" ref="D12:D17" si="0">B12+C12</f>
        <v>0.10874201180967949</v>
      </c>
      <c r="E12" s="5"/>
      <c r="F12" s="35">
        <f>$D$3*SUM($B$12:B12)/1000</f>
        <v>19.003778225948622</v>
      </c>
      <c r="G12" s="35">
        <f>$D$4*SUM($C$12:C12)/1000</f>
        <v>27.503316278164892</v>
      </c>
      <c r="H12" s="35">
        <f t="shared" ref="H12:H17" si="1">F12+G12</f>
        <v>46.50709450411351</v>
      </c>
      <c r="I12" t="e">
        <f ca="1">getformula(H12)</f>
        <v>#NAME?</v>
      </c>
    </row>
    <row r="13" spans="1:14" x14ac:dyDescent="0.25">
      <c r="A13" s="22">
        <f>'ICICI Securities'!A277</f>
        <v>45104</v>
      </c>
      <c r="B13" s="5">
        <f>'ICICI Securities'!D277</f>
        <v>-2.8255942112986453E-2</v>
      </c>
      <c r="C13" s="5">
        <f>'ICICI Bank'!D277</f>
        <v>8.2274009023990367E-3</v>
      </c>
      <c r="D13" s="5">
        <f t="shared" si="0"/>
        <v>-2.0028541210587416E-2</v>
      </c>
      <c r="E13" s="5"/>
      <c r="F13" s="35">
        <f>$D$3*SUM($B$12:B13)/1000</f>
        <v>13.863416124358354</v>
      </c>
      <c r="G13" s="35">
        <f>$D$4*SUM($C$12:C13)/1000</f>
        <v>80.365674410082093</v>
      </c>
      <c r="H13" s="35">
        <f t="shared" si="1"/>
        <v>94.229090534440445</v>
      </c>
    </row>
    <row r="14" spans="1:14" x14ac:dyDescent="0.25">
      <c r="A14" s="22">
        <f>'ICICI Securities'!A278</f>
        <v>45105</v>
      </c>
      <c r="B14" s="5">
        <f>'ICICI Securities'!D278</f>
        <v>1.2756302551793736E-2</v>
      </c>
      <c r="C14" s="6">
        <f>'ICICI Bank'!D278</f>
        <v>1.0868416179452478E-5</v>
      </c>
      <c r="D14" s="6">
        <f t="shared" si="0"/>
        <v>1.2767170967973189E-2</v>
      </c>
      <c r="E14" s="6"/>
      <c r="F14" s="35">
        <f>$D$3*SUM($B$12:B14)/1000</f>
        <v>16.184061245000883</v>
      </c>
      <c r="G14" s="35">
        <f>$D$4*SUM($C$12:C14)/1000</f>
        <v>80.435505711026423</v>
      </c>
      <c r="H14" s="36">
        <f t="shared" si="1"/>
        <v>96.619566956027313</v>
      </c>
    </row>
    <row r="15" spans="1:14" x14ac:dyDescent="0.25">
      <c r="A15" s="57">
        <f>'ICICI Securities'!A279</f>
        <v>45107</v>
      </c>
      <c r="B15" s="5">
        <f>'ICICI Securities'!D279</f>
        <v>-1.0771435026716193E-2</v>
      </c>
      <c r="C15" s="6">
        <f>'ICICI Bank'!D279</f>
        <v>-4.6379545958735698E-3</v>
      </c>
      <c r="D15" s="6">
        <f t="shared" si="0"/>
        <v>-1.5409389622589763E-2</v>
      </c>
      <c r="E15" s="6"/>
      <c r="F15" s="35">
        <f>$D$3*SUM($B$12:B15)/1000</f>
        <v>14.224506112502707</v>
      </c>
      <c r="G15" s="35">
        <f>$D$4*SUM($C$12:C15)/1000</f>
        <v>50.635910461553436</v>
      </c>
      <c r="H15" s="36">
        <f t="shared" si="1"/>
        <v>64.860416574056146</v>
      </c>
    </row>
    <row r="16" spans="1:14" x14ac:dyDescent="0.25">
      <c r="A16" s="22">
        <f>'ICICI Securities'!A280</f>
        <v>45110</v>
      </c>
      <c r="B16" s="5">
        <f>'ICICI Securities'!D280</f>
        <v>-3.3867150834390133E-3</v>
      </c>
      <c r="C16" s="5">
        <f>'ICICI Bank'!D280</f>
        <v>6.681409544282757E-3</v>
      </c>
      <c r="D16" s="5">
        <f t="shared" si="0"/>
        <v>3.2946944608437437E-3</v>
      </c>
      <c r="E16" s="5"/>
      <c r="F16" s="35">
        <f>$D$3*SUM($B$12:B16)/1000</f>
        <v>13.608389976853035</v>
      </c>
      <c r="G16" s="35">
        <f>$D$4*SUM($C$12:C16)/1000</f>
        <v>93.565028459546738</v>
      </c>
      <c r="H16" s="35">
        <f t="shared" si="1"/>
        <v>107.17341843639977</v>
      </c>
    </row>
    <row r="17" spans="1:8" x14ac:dyDescent="0.25">
      <c r="A17" s="22">
        <f>'ICICI Securities'!A281</f>
        <v>45111</v>
      </c>
      <c r="B17" s="5">
        <f>'ICICI Securities'!D281</f>
        <v>-3.6501421416513494E-3</v>
      </c>
      <c r="C17" s="5">
        <f>'ICICI Bank'!D281</f>
        <v>8.7370053924261957E-4</v>
      </c>
      <c r="D17" s="5">
        <f t="shared" si="0"/>
        <v>-2.7764416024087298E-3</v>
      </c>
      <c r="E17" s="5"/>
      <c r="F17" s="35">
        <f>$D$3*SUM($B$12:B17)/1000</f>
        <v>12.944350807487005</v>
      </c>
      <c r="G17" s="35">
        <f>$D$4*SUM($C$12:C17)/1000</f>
        <v>99.178693255196251</v>
      </c>
      <c r="H17" s="35">
        <f t="shared" si="1"/>
        <v>112.12304406268325</v>
      </c>
    </row>
    <row r="18" spans="1:8" x14ac:dyDescent="0.25">
      <c r="A18" s="22">
        <f>'ICICI Securities'!A282</f>
        <v>45112</v>
      </c>
      <c r="B18" s="5">
        <f>'ICICI Securities'!D282</f>
        <v>1.210110216279854E-3</v>
      </c>
      <c r="C18" s="5">
        <f>'ICICI Bank'!D282</f>
        <v>1.3102921067025307E-2</v>
      </c>
      <c r="D18" s="5">
        <f>B18+C18</f>
        <v>1.4313031283305161E-2</v>
      </c>
      <c r="F18" s="35">
        <f>$D$3*SUM($B$12:B18)/1000</f>
        <v>13.164495818743003</v>
      </c>
      <c r="G18" s="35">
        <f>$D$4*SUM($C$12:C18)/1000</f>
        <v>183.3670431649914</v>
      </c>
      <c r="H18" s="35">
        <f>F18+G18</f>
        <v>196.53153898373441</v>
      </c>
    </row>
  </sheetData>
  <mergeCells count="3">
    <mergeCell ref="A1:I1"/>
    <mergeCell ref="B10:D10"/>
    <mergeCell ref="F10:H10"/>
  </mergeCells>
  <phoneticPr fontId="5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18E-98BD-4CCE-86F3-C4AC236DAA26}">
  <dimension ref="A1:N1098"/>
  <sheetViews>
    <sheetView zoomScale="70" workbookViewId="0">
      <selection activeCell="L3" sqref="L3"/>
    </sheetView>
  </sheetViews>
  <sheetFormatPr defaultRowHeight="13.2" x14ac:dyDescent="0.25"/>
  <cols>
    <col min="1" max="1" width="11.21875" bestFit="1" customWidth="1"/>
    <col min="2" max="2" width="14.44140625" bestFit="1" customWidth="1"/>
    <col min="3" max="3" width="10.109375" bestFit="1" customWidth="1"/>
    <col min="5" max="5" width="10.33203125" bestFit="1" customWidth="1"/>
    <col min="13" max="13" width="11.21875" bestFit="1" customWidth="1"/>
    <col min="14" max="14" width="9" bestFit="1" customWidth="1"/>
  </cols>
  <sheetData>
    <row r="1" spans="1:14" x14ac:dyDescent="0.25">
      <c r="D1" s="41"/>
      <c r="E1" s="40"/>
      <c r="F1" s="40"/>
      <c r="H1" s="40"/>
      <c r="I1" s="40"/>
      <c r="K1" s="40"/>
    </row>
    <row r="2" spans="1:14" x14ac:dyDescent="0.25">
      <c r="A2" s="42" t="s">
        <v>0</v>
      </c>
      <c r="B2" s="41" t="s">
        <v>1100</v>
      </c>
      <c r="C2" s="41" t="s">
        <v>1099</v>
      </c>
      <c r="E2" s="43"/>
      <c r="F2" s="43"/>
      <c r="H2" s="43"/>
      <c r="I2" s="43"/>
      <c r="K2" s="43"/>
    </row>
    <row r="3" spans="1:14" x14ac:dyDescent="0.25">
      <c r="A3" s="8">
        <v>44378</v>
      </c>
      <c r="B3" s="15">
        <v>630.85</v>
      </c>
      <c r="C3" s="15">
        <v>660.15</v>
      </c>
      <c r="L3" t="s">
        <v>22</v>
      </c>
      <c r="M3" s="8">
        <v>45106</v>
      </c>
      <c r="N3">
        <v>0</v>
      </c>
    </row>
    <row r="4" spans="1:14" x14ac:dyDescent="0.25">
      <c r="A4" s="8">
        <v>44379</v>
      </c>
      <c r="B4" s="15">
        <v>640.25</v>
      </c>
      <c r="C4" s="15">
        <v>692.75</v>
      </c>
      <c r="E4" s="45"/>
      <c r="H4" s="45"/>
      <c r="K4" s="45"/>
      <c r="M4" s="8">
        <v>45106</v>
      </c>
      <c r="N4">
        <v>800</v>
      </c>
    </row>
    <row r="5" spans="1:14" x14ac:dyDescent="0.25">
      <c r="A5" s="8">
        <v>44382</v>
      </c>
      <c r="B5" s="15">
        <v>647.85</v>
      </c>
      <c r="C5" s="15">
        <v>688.9</v>
      </c>
      <c r="E5" s="45"/>
      <c r="H5" s="45"/>
      <c r="K5" s="45"/>
    </row>
    <row r="6" spans="1:14" x14ac:dyDescent="0.25">
      <c r="A6" s="8">
        <v>44383</v>
      </c>
      <c r="B6" s="15">
        <v>650.29999999999995</v>
      </c>
      <c r="C6" s="15">
        <v>712.25</v>
      </c>
      <c r="E6" s="45"/>
      <c r="H6" s="45"/>
      <c r="K6" s="45"/>
      <c r="L6" t="s">
        <v>22</v>
      </c>
      <c r="M6" s="8">
        <v>45740</v>
      </c>
      <c r="N6">
        <v>0</v>
      </c>
    </row>
    <row r="7" spans="1:14" x14ac:dyDescent="0.25">
      <c r="A7" s="8">
        <v>44384</v>
      </c>
      <c r="B7" s="15">
        <v>654</v>
      </c>
      <c r="C7" s="15">
        <v>717.2</v>
      </c>
      <c r="E7" s="45"/>
      <c r="H7" s="45"/>
      <c r="K7" s="45"/>
      <c r="M7" s="8">
        <v>45740</v>
      </c>
      <c r="N7">
        <v>800</v>
      </c>
    </row>
    <row r="8" spans="1:14" x14ac:dyDescent="0.25">
      <c r="A8" s="8">
        <v>44385</v>
      </c>
      <c r="B8" s="15">
        <v>641.9</v>
      </c>
      <c r="C8" s="15">
        <v>706.7</v>
      </c>
      <c r="H8" s="45"/>
      <c r="K8" s="45"/>
    </row>
    <row r="9" spans="1:14" x14ac:dyDescent="0.25">
      <c r="A9" s="8">
        <v>44386</v>
      </c>
      <c r="B9" s="15">
        <v>638.54999999999995</v>
      </c>
      <c r="C9" s="15">
        <v>714.95</v>
      </c>
      <c r="H9" s="45"/>
      <c r="K9" s="45"/>
    </row>
    <row r="10" spans="1:14" x14ac:dyDescent="0.25">
      <c r="A10" s="8">
        <v>44389</v>
      </c>
      <c r="B10" s="15">
        <v>646.25</v>
      </c>
      <c r="C10" s="15">
        <v>701.75</v>
      </c>
      <c r="H10" s="45"/>
      <c r="K10" s="45"/>
    </row>
    <row r="11" spans="1:14" x14ac:dyDescent="0.25">
      <c r="A11" s="8">
        <v>44390</v>
      </c>
      <c r="B11" s="15">
        <v>664.95</v>
      </c>
      <c r="C11" s="15">
        <v>690</v>
      </c>
      <c r="H11" s="45"/>
      <c r="K11" s="45"/>
    </row>
    <row r="12" spans="1:14" x14ac:dyDescent="0.25">
      <c r="A12" s="8">
        <v>44391</v>
      </c>
      <c r="B12" s="15">
        <v>664.35</v>
      </c>
      <c r="C12" s="15">
        <v>707.05</v>
      </c>
      <c r="H12" s="45"/>
      <c r="K12" s="45"/>
    </row>
    <row r="13" spans="1:14" x14ac:dyDescent="0.25">
      <c r="A13" s="8">
        <v>44392</v>
      </c>
      <c r="B13" s="15">
        <v>667.45</v>
      </c>
      <c r="C13" s="15">
        <v>726.55</v>
      </c>
      <c r="E13" s="45"/>
      <c r="H13" s="45"/>
      <c r="K13" s="45"/>
    </row>
    <row r="14" spans="1:14" x14ac:dyDescent="0.25">
      <c r="A14" s="8">
        <v>44393</v>
      </c>
      <c r="B14" s="15">
        <v>660.3</v>
      </c>
      <c r="C14" s="15">
        <v>764.35</v>
      </c>
      <c r="E14" s="45"/>
      <c r="H14" s="45"/>
      <c r="K14" s="45"/>
    </row>
    <row r="15" spans="1:14" x14ac:dyDescent="0.25">
      <c r="A15" s="8">
        <v>44396</v>
      </c>
      <c r="B15" s="15">
        <v>655.9</v>
      </c>
      <c r="C15" s="15">
        <v>774.6</v>
      </c>
      <c r="E15" s="45"/>
      <c r="H15" s="45"/>
      <c r="K15" s="45"/>
    </row>
    <row r="16" spans="1:14" x14ac:dyDescent="0.25">
      <c r="A16" s="8">
        <v>44397</v>
      </c>
      <c r="B16" s="15">
        <v>641.9</v>
      </c>
      <c r="C16" s="15">
        <v>760.15</v>
      </c>
      <c r="E16" s="45"/>
      <c r="H16" s="45"/>
      <c r="K16" s="45"/>
    </row>
    <row r="17" spans="1:11" x14ac:dyDescent="0.25">
      <c r="A17" s="8">
        <v>44399</v>
      </c>
      <c r="B17" s="15">
        <v>655.95</v>
      </c>
      <c r="C17" s="15">
        <v>743.8</v>
      </c>
      <c r="E17" s="45"/>
      <c r="H17" s="45"/>
      <c r="K17" s="45"/>
    </row>
    <row r="18" spans="1:11" x14ac:dyDescent="0.25">
      <c r="A18" s="8">
        <v>44400</v>
      </c>
      <c r="B18" s="15">
        <v>676.65</v>
      </c>
      <c r="C18" s="15">
        <v>725.45</v>
      </c>
      <c r="E18" s="45"/>
      <c r="H18" s="45"/>
      <c r="K18" s="45"/>
    </row>
    <row r="19" spans="1:11" x14ac:dyDescent="0.25">
      <c r="A19" s="8">
        <v>44403</v>
      </c>
      <c r="B19" s="15">
        <v>676.75</v>
      </c>
      <c r="C19" s="15">
        <v>713.05</v>
      </c>
      <c r="E19" s="45"/>
      <c r="H19" s="45"/>
      <c r="K19" s="45"/>
    </row>
    <row r="20" spans="1:11" x14ac:dyDescent="0.25">
      <c r="A20" s="8">
        <v>44404</v>
      </c>
      <c r="B20" s="15">
        <v>677.45</v>
      </c>
      <c r="C20" s="15">
        <v>732</v>
      </c>
      <c r="E20" s="45"/>
      <c r="H20" s="45"/>
      <c r="K20" s="45"/>
    </row>
    <row r="21" spans="1:11" x14ac:dyDescent="0.25">
      <c r="A21" s="8">
        <v>44405</v>
      </c>
      <c r="B21" s="15">
        <v>685.05</v>
      </c>
      <c r="C21" s="15">
        <v>728</v>
      </c>
      <c r="E21" s="45"/>
      <c r="H21" s="45"/>
      <c r="K21" s="45"/>
    </row>
    <row r="22" spans="1:11" x14ac:dyDescent="0.25">
      <c r="A22" s="8">
        <v>44406</v>
      </c>
      <c r="B22" s="15">
        <v>687.5</v>
      </c>
      <c r="C22" s="15">
        <v>723.85</v>
      </c>
      <c r="E22" s="45"/>
      <c r="H22" s="45"/>
      <c r="K22" s="45"/>
    </row>
    <row r="23" spans="1:11" x14ac:dyDescent="0.25">
      <c r="A23" s="8">
        <v>44407</v>
      </c>
      <c r="B23" s="15">
        <v>682.5</v>
      </c>
      <c r="C23" s="15">
        <v>725</v>
      </c>
      <c r="E23" s="45"/>
      <c r="H23" s="45"/>
      <c r="K23" s="45"/>
    </row>
    <row r="24" spans="1:11" x14ac:dyDescent="0.25">
      <c r="A24" s="8">
        <v>44410</v>
      </c>
      <c r="B24" s="15">
        <v>681.4</v>
      </c>
      <c r="C24" s="15">
        <v>744.55</v>
      </c>
      <c r="E24" s="45"/>
      <c r="H24" s="45"/>
      <c r="K24" s="45"/>
    </row>
    <row r="25" spans="1:11" x14ac:dyDescent="0.25">
      <c r="A25" s="8">
        <v>44411</v>
      </c>
      <c r="B25" s="15">
        <v>690.4</v>
      </c>
      <c r="C25" s="15">
        <v>741.6</v>
      </c>
      <c r="E25" s="45"/>
      <c r="H25" s="45"/>
      <c r="K25" s="45"/>
    </row>
    <row r="26" spans="1:11" x14ac:dyDescent="0.25">
      <c r="A26" s="8">
        <v>44412</v>
      </c>
      <c r="B26" s="15">
        <v>714.65</v>
      </c>
      <c r="C26" s="15">
        <v>723.4</v>
      </c>
      <c r="E26" s="45"/>
      <c r="H26" s="45"/>
      <c r="K26" s="45"/>
    </row>
    <row r="27" spans="1:11" x14ac:dyDescent="0.25">
      <c r="A27" s="8">
        <v>44413</v>
      </c>
      <c r="B27" s="15">
        <v>702.45</v>
      </c>
      <c r="C27" s="15">
        <v>720.55</v>
      </c>
      <c r="E27" s="45"/>
      <c r="H27" s="45"/>
      <c r="K27" s="45"/>
    </row>
    <row r="28" spans="1:11" x14ac:dyDescent="0.25">
      <c r="A28" s="8">
        <v>44414</v>
      </c>
      <c r="B28" s="15">
        <v>697.65</v>
      </c>
      <c r="C28" s="15">
        <v>708.8</v>
      </c>
      <c r="E28" s="45"/>
      <c r="H28" s="45"/>
      <c r="K28" s="45"/>
    </row>
    <row r="29" spans="1:11" x14ac:dyDescent="0.25">
      <c r="A29" s="8">
        <v>44417</v>
      </c>
      <c r="B29" s="15">
        <v>702.85</v>
      </c>
      <c r="C29" s="15">
        <v>714.3</v>
      </c>
      <c r="E29" s="45"/>
      <c r="H29" s="45"/>
      <c r="K29" s="45"/>
    </row>
    <row r="30" spans="1:11" x14ac:dyDescent="0.25">
      <c r="A30" s="8">
        <v>44418</v>
      </c>
      <c r="B30" s="15">
        <v>700.9</v>
      </c>
      <c r="C30" s="15">
        <v>687.15</v>
      </c>
      <c r="E30" s="45"/>
      <c r="H30" s="45"/>
      <c r="K30" s="45"/>
    </row>
    <row r="31" spans="1:11" x14ac:dyDescent="0.25">
      <c r="A31" s="8">
        <v>44419</v>
      </c>
      <c r="B31" s="15">
        <v>693.55</v>
      </c>
      <c r="C31" s="15">
        <v>693.05</v>
      </c>
      <c r="E31" s="45"/>
      <c r="H31" s="45"/>
      <c r="K31" s="45"/>
    </row>
    <row r="32" spans="1:11" x14ac:dyDescent="0.25">
      <c r="A32" s="8">
        <v>44420</v>
      </c>
      <c r="B32" s="15">
        <v>701.35</v>
      </c>
      <c r="C32" s="15">
        <v>707.9</v>
      </c>
      <c r="E32" s="45"/>
      <c r="H32" s="45"/>
      <c r="K32" s="45"/>
    </row>
    <row r="33" spans="1:11" x14ac:dyDescent="0.25">
      <c r="A33" s="8">
        <v>44421</v>
      </c>
      <c r="B33" s="15">
        <v>704.8</v>
      </c>
      <c r="C33" s="15">
        <v>718.55</v>
      </c>
      <c r="E33" s="45"/>
      <c r="H33" s="45"/>
      <c r="K33" s="45"/>
    </row>
    <row r="34" spans="1:11" x14ac:dyDescent="0.25">
      <c r="A34" s="8">
        <v>44424</v>
      </c>
      <c r="B34" s="15">
        <v>702.65</v>
      </c>
      <c r="C34" s="15">
        <v>700.5</v>
      </c>
      <c r="E34" s="45"/>
      <c r="H34" s="45"/>
      <c r="K34" s="45"/>
    </row>
    <row r="35" spans="1:11" x14ac:dyDescent="0.25">
      <c r="A35" s="8">
        <v>44425</v>
      </c>
      <c r="B35" s="15">
        <v>701.2</v>
      </c>
      <c r="C35" s="15">
        <v>712.75</v>
      </c>
      <c r="E35" s="45"/>
      <c r="H35" s="45"/>
      <c r="K35" s="45"/>
    </row>
    <row r="36" spans="1:11" x14ac:dyDescent="0.25">
      <c r="A36" s="8">
        <v>44426</v>
      </c>
      <c r="B36" s="15">
        <v>688.3</v>
      </c>
      <c r="C36" s="15">
        <v>717.9</v>
      </c>
      <c r="E36" s="45"/>
      <c r="H36" s="45"/>
      <c r="K36" s="45"/>
    </row>
    <row r="37" spans="1:11" x14ac:dyDescent="0.25">
      <c r="A37" s="8">
        <v>44428</v>
      </c>
      <c r="B37" s="15">
        <v>680.7</v>
      </c>
      <c r="C37" s="15">
        <v>683.4</v>
      </c>
      <c r="E37" s="45"/>
      <c r="H37" s="45"/>
      <c r="K37" s="45"/>
    </row>
    <row r="38" spans="1:11" x14ac:dyDescent="0.25">
      <c r="A38" s="8">
        <v>44431</v>
      </c>
      <c r="B38" s="15">
        <v>682.7</v>
      </c>
      <c r="C38" s="15">
        <v>668.55</v>
      </c>
      <c r="E38" s="45"/>
      <c r="H38" s="45"/>
      <c r="K38" s="45"/>
    </row>
    <row r="39" spans="1:11" x14ac:dyDescent="0.25">
      <c r="A39" s="8">
        <v>44432</v>
      </c>
      <c r="B39" s="15">
        <v>694.45</v>
      </c>
      <c r="C39" s="15">
        <v>687.3</v>
      </c>
      <c r="E39" s="45"/>
      <c r="H39" s="45"/>
      <c r="K39" s="45"/>
    </row>
    <row r="40" spans="1:11" x14ac:dyDescent="0.25">
      <c r="A40" s="8">
        <v>44433</v>
      </c>
      <c r="B40" s="15">
        <v>691.05</v>
      </c>
      <c r="C40" s="15">
        <v>692.2</v>
      </c>
      <c r="E40" s="45"/>
      <c r="H40" s="45"/>
      <c r="K40" s="45"/>
    </row>
    <row r="41" spans="1:11" x14ac:dyDescent="0.25">
      <c r="A41" s="8">
        <v>44434</v>
      </c>
      <c r="B41" s="15">
        <v>698.8</v>
      </c>
      <c r="C41" s="15">
        <v>699.9</v>
      </c>
      <c r="E41" s="45"/>
      <c r="H41" s="45"/>
      <c r="K41" s="45"/>
    </row>
    <row r="42" spans="1:11" x14ac:dyDescent="0.25">
      <c r="A42" s="8">
        <v>44435</v>
      </c>
      <c r="B42" s="15">
        <v>699.75</v>
      </c>
      <c r="C42" s="15">
        <v>705.65</v>
      </c>
      <c r="E42" s="45"/>
      <c r="H42" s="45"/>
      <c r="K42" s="45"/>
    </row>
    <row r="43" spans="1:11" x14ac:dyDescent="0.25">
      <c r="A43" s="8">
        <v>44438</v>
      </c>
      <c r="B43" s="15">
        <v>713.65</v>
      </c>
      <c r="C43" s="15">
        <v>729.2</v>
      </c>
      <c r="E43" s="45"/>
      <c r="H43" s="45"/>
      <c r="K43" s="45"/>
    </row>
    <row r="44" spans="1:11" x14ac:dyDescent="0.25">
      <c r="A44" s="8">
        <v>44439</v>
      </c>
      <c r="B44" s="15">
        <v>719.05</v>
      </c>
      <c r="C44" s="15">
        <v>721.6</v>
      </c>
      <c r="E44" s="45"/>
      <c r="H44" s="45"/>
      <c r="K44" s="45"/>
    </row>
    <row r="45" spans="1:11" x14ac:dyDescent="0.25">
      <c r="A45" s="8">
        <v>44440</v>
      </c>
      <c r="B45" s="15">
        <v>719.9</v>
      </c>
      <c r="C45" s="15">
        <v>744.05</v>
      </c>
      <c r="E45" s="45"/>
      <c r="H45" s="45"/>
      <c r="K45" s="45"/>
    </row>
    <row r="46" spans="1:11" x14ac:dyDescent="0.25">
      <c r="A46" s="8">
        <v>44441</v>
      </c>
      <c r="B46" s="15">
        <v>725.15</v>
      </c>
      <c r="C46" s="15">
        <v>768.15</v>
      </c>
      <c r="E46" s="45"/>
      <c r="H46" s="45"/>
      <c r="K46" s="45"/>
    </row>
    <row r="47" spans="1:11" x14ac:dyDescent="0.25">
      <c r="A47" s="8">
        <v>44442</v>
      </c>
      <c r="B47" s="15">
        <v>724.3</v>
      </c>
      <c r="C47" s="15">
        <v>772.25</v>
      </c>
      <c r="E47" s="45"/>
      <c r="H47" s="45"/>
      <c r="K47" s="45"/>
    </row>
    <row r="48" spans="1:11" x14ac:dyDescent="0.25">
      <c r="A48" s="8">
        <v>44445</v>
      </c>
      <c r="B48" s="15">
        <v>721.15</v>
      </c>
      <c r="C48" s="15">
        <v>753.35</v>
      </c>
      <c r="E48" s="45"/>
      <c r="H48" s="45"/>
      <c r="K48" s="45"/>
    </row>
    <row r="49" spans="1:11" x14ac:dyDescent="0.25">
      <c r="A49" s="8">
        <v>44446</v>
      </c>
      <c r="B49" s="15">
        <v>716.9</v>
      </c>
      <c r="C49" s="15">
        <v>730.4</v>
      </c>
      <c r="E49" s="45"/>
      <c r="H49" s="45"/>
      <c r="K49" s="45"/>
    </row>
    <row r="50" spans="1:11" x14ac:dyDescent="0.25">
      <c r="A50" s="8">
        <v>44447</v>
      </c>
      <c r="B50" s="15">
        <v>720.95</v>
      </c>
      <c r="C50" s="15">
        <v>728.85</v>
      </c>
      <c r="E50" s="45"/>
      <c r="H50" s="45"/>
      <c r="K50" s="45"/>
    </row>
    <row r="51" spans="1:11" x14ac:dyDescent="0.25">
      <c r="A51" s="8">
        <v>44448</v>
      </c>
      <c r="B51" s="15">
        <v>720.25</v>
      </c>
      <c r="C51" s="15">
        <v>725.2</v>
      </c>
      <c r="E51" s="45"/>
      <c r="H51" s="45"/>
      <c r="K51" s="45"/>
    </row>
    <row r="52" spans="1:11" x14ac:dyDescent="0.25">
      <c r="A52" s="8">
        <v>44452</v>
      </c>
      <c r="B52" s="15">
        <v>707.4</v>
      </c>
      <c r="C52" s="15">
        <v>716.45</v>
      </c>
      <c r="E52" s="45"/>
      <c r="H52" s="45"/>
      <c r="K52" s="45"/>
    </row>
    <row r="53" spans="1:11" x14ac:dyDescent="0.25">
      <c r="A53" s="8">
        <v>44453</v>
      </c>
      <c r="B53" s="15">
        <v>707.45</v>
      </c>
      <c r="C53" s="15">
        <v>732.3</v>
      </c>
      <c r="E53" s="45"/>
      <c r="H53" s="45"/>
      <c r="K53" s="45"/>
    </row>
    <row r="54" spans="1:11" x14ac:dyDescent="0.25">
      <c r="A54" s="8">
        <v>44454</v>
      </c>
      <c r="B54" s="15">
        <v>714.35</v>
      </c>
      <c r="C54" s="15">
        <v>753.9</v>
      </c>
      <c r="E54" s="45"/>
      <c r="H54" s="45"/>
      <c r="K54" s="45"/>
    </row>
    <row r="55" spans="1:11" x14ac:dyDescent="0.25">
      <c r="A55" s="8">
        <v>44455</v>
      </c>
      <c r="B55" s="15">
        <v>727.2</v>
      </c>
      <c r="C55" s="15">
        <v>754.3</v>
      </c>
      <c r="E55" s="45"/>
      <c r="H55" s="45"/>
      <c r="K55" s="45"/>
    </row>
    <row r="56" spans="1:11" x14ac:dyDescent="0.25">
      <c r="A56" s="8">
        <v>44456</v>
      </c>
      <c r="B56" s="15">
        <v>720.15</v>
      </c>
      <c r="C56" s="15">
        <v>735.6</v>
      </c>
      <c r="E56" s="45"/>
      <c r="H56" s="45"/>
      <c r="K56" s="45"/>
    </row>
    <row r="57" spans="1:11" x14ac:dyDescent="0.25">
      <c r="A57" s="8">
        <v>44459</v>
      </c>
      <c r="B57" s="15">
        <v>710</v>
      </c>
      <c r="C57" s="15">
        <v>744.4</v>
      </c>
      <c r="E57" s="45"/>
      <c r="H57" s="45"/>
      <c r="K57" s="45"/>
    </row>
    <row r="58" spans="1:11" x14ac:dyDescent="0.25">
      <c r="A58" s="8">
        <v>44460</v>
      </c>
      <c r="B58" s="15">
        <v>711.85</v>
      </c>
      <c r="C58" s="15">
        <v>728.95</v>
      </c>
      <c r="E58" s="45"/>
      <c r="H58" s="45"/>
      <c r="K58" s="45"/>
    </row>
    <row r="59" spans="1:11" x14ac:dyDescent="0.25">
      <c r="A59" s="8">
        <v>44461</v>
      </c>
      <c r="B59" s="15">
        <v>703.35</v>
      </c>
      <c r="C59" s="15">
        <v>744.35</v>
      </c>
      <c r="E59" s="45"/>
      <c r="H59" s="45"/>
      <c r="K59" s="45"/>
    </row>
    <row r="60" spans="1:11" x14ac:dyDescent="0.25">
      <c r="A60" s="8">
        <v>44462</v>
      </c>
      <c r="B60" s="15">
        <v>717</v>
      </c>
      <c r="C60" s="15">
        <v>750.25</v>
      </c>
      <c r="E60" s="45"/>
      <c r="H60" s="45"/>
      <c r="K60" s="45"/>
    </row>
    <row r="61" spans="1:11" x14ac:dyDescent="0.25">
      <c r="A61" s="8">
        <v>44463</v>
      </c>
      <c r="B61" s="15">
        <v>722.95</v>
      </c>
      <c r="C61" s="15">
        <v>747.75</v>
      </c>
      <c r="E61" s="45"/>
      <c r="H61" s="45"/>
      <c r="K61" s="45"/>
    </row>
    <row r="62" spans="1:11" x14ac:dyDescent="0.25">
      <c r="A62" s="8">
        <v>44466</v>
      </c>
      <c r="B62" s="15">
        <v>730</v>
      </c>
      <c r="C62" s="15">
        <v>737.65</v>
      </c>
      <c r="E62" s="45"/>
      <c r="H62" s="45"/>
      <c r="K62" s="45"/>
    </row>
    <row r="63" spans="1:11" x14ac:dyDescent="0.25">
      <c r="A63" s="8">
        <v>44467</v>
      </c>
      <c r="B63" s="15">
        <v>717.15</v>
      </c>
      <c r="C63" s="15">
        <v>749.6</v>
      </c>
      <c r="E63" s="45"/>
      <c r="H63" s="45"/>
      <c r="K63" s="45"/>
    </row>
    <row r="64" spans="1:11" x14ac:dyDescent="0.25">
      <c r="A64" s="8">
        <v>44468</v>
      </c>
      <c r="B64" s="15">
        <v>709.5</v>
      </c>
      <c r="C64" s="15">
        <v>759.1</v>
      </c>
      <c r="E64" s="45"/>
      <c r="H64" s="45"/>
      <c r="K64" s="45"/>
    </row>
    <row r="65" spans="1:11" x14ac:dyDescent="0.25">
      <c r="A65" s="8">
        <v>44469</v>
      </c>
      <c r="B65" s="15">
        <v>700.85</v>
      </c>
      <c r="C65" s="15">
        <v>758.35</v>
      </c>
      <c r="E65" s="45"/>
      <c r="H65" s="45"/>
      <c r="K65" s="45"/>
    </row>
    <row r="66" spans="1:11" x14ac:dyDescent="0.25">
      <c r="A66" s="8">
        <v>44470</v>
      </c>
      <c r="B66" s="15">
        <v>692.35</v>
      </c>
      <c r="C66" s="15">
        <v>761.95</v>
      </c>
      <c r="E66" s="45"/>
      <c r="H66" s="45"/>
      <c r="K66" s="45"/>
    </row>
    <row r="67" spans="1:11" x14ac:dyDescent="0.25">
      <c r="A67" s="8">
        <v>44473</v>
      </c>
      <c r="B67" s="15">
        <v>700.2</v>
      </c>
      <c r="C67" s="15">
        <v>784.85</v>
      </c>
      <c r="E67" s="45"/>
      <c r="H67" s="45"/>
      <c r="K67" s="45"/>
    </row>
    <row r="68" spans="1:11" x14ac:dyDescent="0.25">
      <c r="A68" s="8">
        <v>44474</v>
      </c>
      <c r="B68" s="15">
        <v>697.1</v>
      </c>
      <c r="C68" s="15">
        <v>759</v>
      </c>
      <c r="E68" s="45"/>
      <c r="H68" s="45"/>
      <c r="K68" s="45"/>
    </row>
    <row r="69" spans="1:11" x14ac:dyDescent="0.25">
      <c r="A69" s="8">
        <v>44475</v>
      </c>
      <c r="B69" s="15">
        <v>689.5</v>
      </c>
      <c r="C69" s="15">
        <v>743.85</v>
      </c>
      <c r="E69" s="45"/>
      <c r="H69" s="45"/>
      <c r="K69" s="45"/>
    </row>
    <row r="70" spans="1:11" x14ac:dyDescent="0.25">
      <c r="A70" s="8">
        <v>44476</v>
      </c>
      <c r="B70" s="15">
        <v>702.2</v>
      </c>
      <c r="C70" s="15">
        <v>758.7</v>
      </c>
      <c r="E70" s="45"/>
      <c r="H70" s="45"/>
      <c r="K70" s="45"/>
    </row>
    <row r="71" spans="1:11" x14ac:dyDescent="0.25">
      <c r="A71" s="8">
        <v>44477</v>
      </c>
      <c r="B71" s="15">
        <v>703.4</v>
      </c>
      <c r="C71" s="15">
        <v>755.95</v>
      </c>
      <c r="E71" s="45"/>
      <c r="H71" s="45"/>
      <c r="K71" s="45"/>
    </row>
    <row r="72" spans="1:11" x14ac:dyDescent="0.25">
      <c r="A72" s="8">
        <v>44480</v>
      </c>
      <c r="B72" s="15">
        <v>713.3</v>
      </c>
      <c r="C72" s="15">
        <v>816.55</v>
      </c>
      <c r="E72" s="45"/>
      <c r="H72" s="45"/>
      <c r="K72" s="45"/>
    </row>
    <row r="73" spans="1:11" x14ac:dyDescent="0.25">
      <c r="A73" s="8">
        <v>44481</v>
      </c>
      <c r="B73" s="15">
        <v>708.6</v>
      </c>
      <c r="C73" s="15">
        <v>843.3</v>
      </c>
      <c r="E73" s="45"/>
      <c r="H73" s="45"/>
      <c r="K73" s="45"/>
    </row>
    <row r="74" spans="1:11" x14ac:dyDescent="0.25">
      <c r="A74" s="8">
        <v>44482</v>
      </c>
      <c r="B74" s="15">
        <v>709.95</v>
      </c>
      <c r="C74" s="15">
        <v>877.3</v>
      </c>
      <c r="E74" s="45"/>
      <c r="H74" s="45"/>
      <c r="K74" s="45"/>
    </row>
    <row r="75" spans="1:11" x14ac:dyDescent="0.25">
      <c r="A75" s="8">
        <v>44483</v>
      </c>
      <c r="B75" s="15">
        <v>727.3</v>
      </c>
      <c r="C75" s="15">
        <v>878.5</v>
      </c>
      <c r="E75" s="45"/>
      <c r="H75" s="45"/>
      <c r="K75" s="45"/>
    </row>
    <row r="76" spans="1:11" x14ac:dyDescent="0.25">
      <c r="A76" s="8">
        <v>44487</v>
      </c>
      <c r="B76" s="15">
        <v>745.45</v>
      </c>
      <c r="C76" s="15">
        <v>843.4</v>
      </c>
      <c r="E76" s="45"/>
      <c r="H76" s="45"/>
      <c r="K76" s="45"/>
    </row>
    <row r="77" spans="1:11" x14ac:dyDescent="0.25">
      <c r="A77" s="8">
        <v>44488</v>
      </c>
      <c r="B77" s="15">
        <v>747.45</v>
      </c>
      <c r="C77" s="15">
        <v>819.75</v>
      </c>
      <c r="E77" s="45"/>
      <c r="H77" s="45"/>
      <c r="K77" s="45"/>
    </row>
    <row r="78" spans="1:11" x14ac:dyDescent="0.25">
      <c r="A78" s="8">
        <v>44489</v>
      </c>
      <c r="B78" s="15">
        <v>745.85</v>
      </c>
      <c r="C78" s="15">
        <v>797.15</v>
      </c>
      <c r="E78" s="45"/>
      <c r="H78" s="45"/>
      <c r="K78" s="45"/>
    </row>
    <row r="79" spans="1:11" x14ac:dyDescent="0.25">
      <c r="A79" s="8">
        <v>44490</v>
      </c>
      <c r="B79" s="15">
        <v>755.5</v>
      </c>
      <c r="C79" s="15">
        <v>771.8</v>
      </c>
      <c r="E79" s="45"/>
      <c r="H79" s="45"/>
      <c r="K79" s="45"/>
    </row>
    <row r="80" spans="1:11" x14ac:dyDescent="0.25">
      <c r="A80" s="8">
        <v>44491</v>
      </c>
      <c r="B80" s="15">
        <v>759.3</v>
      </c>
      <c r="C80" s="15">
        <v>784.3</v>
      </c>
      <c r="E80" s="45"/>
      <c r="H80" s="45"/>
      <c r="K80" s="45"/>
    </row>
    <row r="81" spans="1:11" x14ac:dyDescent="0.25">
      <c r="A81" s="8">
        <v>44494</v>
      </c>
      <c r="B81" s="15">
        <v>841.7</v>
      </c>
      <c r="C81" s="15">
        <v>752.25</v>
      </c>
      <c r="E81" s="45"/>
      <c r="H81" s="45"/>
      <c r="K81" s="45"/>
    </row>
    <row r="82" spans="1:11" x14ac:dyDescent="0.25">
      <c r="A82" s="8">
        <v>44495</v>
      </c>
      <c r="B82" s="15">
        <v>829.4</v>
      </c>
      <c r="C82" s="15">
        <v>762.65</v>
      </c>
      <c r="E82" s="45"/>
      <c r="H82" s="45"/>
      <c r="K82" s="45"/>
    </row>
    <row r="83" spans="1:11" x14ac:dyDescent="0.25">
      <c r="A83" s="8">
        <v>44496</v>
      </c>
      <c r="B83" s="15">
        <v>835</v>
      </c>
      <c r="C83" s="15">
        <v>745.1</v>
      </c>
      <c r="E83" s="45"/>
      <c r="H83" s="45"/>
      <c r="K83" s="45"/>
    </row>
    <row r="84" spans="1:11" x14ac:dyDescent="0.25">
      <c r="A84" s="8">
        <v>44497</v>
      </c>
      <c r="B84" s="15">
        <v>798.7</v>
      </c>
      <c r="C84" s="15">
        <v>713.1</v>
      </c>
      <c r="E84" s="45"/>
      <c r="H84" s="45"/>
      <c r="K84" s="45"/>
    </row>
    <row r="85" spans="1:11" x14ac:dyDescent="0.25">
      <c r="A85" s="8">
        <v>44498</v>
      </c>
      <c r="B85" s="15">
        <v>802.05</v>
      </c>
      <c r="C85" s="15">
        <v>738</v>
      </c>
      <c r="E85" s="45"/>
      <c r="H85" s="45"/>
      <c r="K85" s="45"/>
    </row>
    <row r="86" spans="1:11" x14ac:dyDescent="0.25">
      <c r="A86" s="8">
        <v>44501</v>
      </c>
      <c r="B86" s="15">
        <v>803.9</v>
      </c>
      <c r="C86" s="15">
        <v>764.75</v>
      </c>
      <c r="E86" s="45"/>
      <c r="H86" s="45"/>
      <c r="K86" s="45"/>
    </row>
    <row r="87" spans="1:11" x14ac:dyDescent="0.25">
      <c r="A87" s="8">
        <v>44502</v>
      </c>
      <c r="B87" s="15">
        <v>800.95</v>
      </c>
      <c r="C87" s="15">
        <v>762.15</v>
      </c>
      <c r="E87" s="45"/>
      <c r="H87" s="45"/>
      <c r="K87" s="45"/>
    </row>
    <row r="88" spans="1:11" x14ac:dyDescent="0.25">
      <c r="A88" s="8">
        <v>44503</v>
      </c>
      <c r="B88" s="15">
        <v>785.95</v>
      </c>
      <c r="C88" s="15">
        <v>743.15</v>
      </c>
      <c r="E88" s="45"/>
      <c r="H88" s="45"/>
      <c r="K88" s="45"/>
    </row>
    <row r="89" spans="1:11" x14ac:dyDescent="0.25">
      <c r="A89" s="8">
        <v>44504</v>
      </c>
      <c r="B89" s="15">
        <v>782.1</v>
      </c>
      <c r="C89" s="15">
        <v>757.95</v>
      </c>
      <c r="E89" s="45"/>
      <c r="H89" s="45"/>
      <c r="K89" s="45"/>
    </row>
    <row r="90" spans="1:11" x14ac:dyDescent="0.25">
      <c r="A90" s="8">
        <v>44508</v>
      </c>
      <c r="B90" s="15">
        <v>780.15</v>
      </c>
      <c r="C90" s="15">
        <v>789.8</v>
      </c>
      <c r="E90" s="45"/>
      <c r="H90" s="45"/>
      <c r="K90" s="45"/>
    </row>
    <row r="91" spans="1:11" x14ac:dyDescent="0.25">
      <c r="A91" s="8">
        <v>44509</v>
      </c>
      <c r="B91" s="15">
        <v>786.55</v>
      </c>
      <c r="C91" s="15">
        <v>779.15</v>
      </c>
      <c r="E91" s="45"/>
      <c r="H91" s="45"/>
      <c r="K91" s="45"/>
    </row>
    <row r="92" spans="1:11" x14ac:dyDescent="0.25">
      <c r="A92" s="8">
        <v>44510</v>
      </c>
      <c r="B92" s="15">
        <v>780.9</v>
      </c>
      <c r="C92" s="15">
        <v>780.2</v>
      </c>
      <c r="E92" s="45"/>
      <c r="H92" s="45"/>
      <c r="K92" s="45"/>
    </row>
    <row r="93" spans="1:11" x14ac:dyDescent="0.25">
      <c r="A93" s="8">
        <v>44511</v>
      </c>
      <c r="B93" s="15">
        <v>771.45</v>
      </c>
      <c r="C93" s="15">
        <v>778.45</v>
      </c>
      <c r="E93" s="45"/>
      <c r="H93" s="45"/>
      <c r="K93" s="45"/>
    </row>
    <row r="94" spans="1:11" x14ac:dyDescent="0.25">
      <c r="A94" s="8">
        <v>44512</v>
      </c>
      <c r="B94" s="15">
        <v>776.6</v>
      </c>
      <c r="C94" s="15">
        <v>801.7</v>
      </c>
      <c r="E94" s="45"/>
      <c r="H94" s="45"/>
      <c r="K94" s="45"/>
    </row>
    <row r="95" spans="1:11" x14ac:dyDescent="0.25">
      <c r="A95" s="8">
        <v>44515</v>
      </c>
      <c r="B95" s="15">
        <v>773.3</v>
      </c>
      <c r="C95" s="15">
        <v>791.1</v>
      </c>
      <c r="E95" s="45"/>
      <c r="H95" s="45"/>
      <c r="K95" s="45"/>
    </row>
    <row r="96" spans="1:11" x14ac:dyDescent="0.25">
      <c r="A96" s="8">
        <v>44516</v>
      </c>
      <c r="B96" s="15">
        <v>764.05</v>
      </c>
      <c r="C96" s="15">
        <v>794.65</v>
      </c>
      <c r="E96" s="45"/>
      <c r="H96" s="45"/>
      <c r="K96" s="45"/>
    </row>
    <row r="97" spans="1:11" x14ac:dyDescent="0.25">
      <c r="A97" s="8">
        <v>44517</v>
      </c>
      <c r="B97" s="15">
        <v>761.3</v>
      </c>
      <c r="C97" s="15">
        <v>784.2</v>
      </c>
      <c r="E97" s="45"/>
      <c r="H97" s="45"/>
      <c r="K97" s="45"/>
    </row>
    <row r="98" spans="1:11" x14ac:dyDescent="0.25">
      <c r="A98" s="8">
        <v>44518</v>
      </c>
      <c r="B98" s="15">
        <v>762.9</v>
      </c>
      <c r="C98" s="15">
        <v>789.7</v>
      </c>
      <c r="E98" s="45"/>
      <c r="H98" s="45"/>
      <c r="K98" s="45"/>
    </row>
    <row r="99" spans="1:11" x14ac:dyDescent="0.25">
      <c r="A99" s="8">
        <v>44522</v>
      </c>
      <c r="B99" s="15">
        <v>752</v>
      </c>
      <c r="C99" s="15">
        <v>780.75</v>
      </c>
      <c r="E99" s="45"/>
      <c r="H99" s="45"/>
      <c r="K99" s="45"/>
    </row>
    <row r="100" spans="1:11" x14ac:dyDescent="0.25">
      <c r="A100" s="8">
        <v>44523</v>
      </c>
      <c r="B100" s="15">
        <v>751.85</v>
      </c>
      <c r="C100" s="15">
        <v>781.05</v>
      </c>
      <c r="E100" s="45"/>
      <c r="H100" s="45"/>
      <c r="K100" s="45"/>
    </row>
    <row r="101" spans="1:11" x14ac:dyDescent="0.25">
      <c r="A101" s="8">
        <v>44524</v>
      </c>
      <c r="B101" s="15">
        <v>760.2</v>
      </c>
      <c r="C101" s="15">
        <v>771.95</v>
      </c>
      <c r="E101" s="45"/>
      <c r="H101" s="45"/>
      <c r="K101" s="45"/>
    </row>
    <row r="102" spans="1:11" x14ac:dyDescent="0.25">
      <c r="A102" s="8">
        <v>44525</v>
      </c>
      <c r="B102" s="15">
        <v>751.05</v>
      </c>
      <c r="C102" s="15">
        <v>775.4</v>
      </c>
      <c r="E102" s="45"/>
      <c r="H102" s="45"/>
      <c r="K102" s="45"/>
    </row>
    <row r="103" spans="1:11" x14ac:dyDescent="0.25">
      <c r="A103" s="8">
        <v>44526</v>
      </c>
      <c r="B103" s="15">
        <v>722.2</v>
      </c>
      <c r="C103" s="15">
        <v>759.05</v>
      </c>
      <c r="E103" s="45"/>
      <c r="H103" s="45"/>
      <c r="K103" s="45"/>
    </row>
    <row r="104" spans="1:11" x14ac:dyDescent="0.25">
      <c r="A104" s="8">
        <v>44529</v>
      </c>
      <c r="B104" s="15">
        <v>718.4</v>
      </c>
      <c r="C104" s="15">
        <v>742.25</v>
      </c>
      <c r="E104" s="45"/>
      <c r="H104" s="45"/>
      <c r="K104" s="45"/>
    </row>
    <row r="105" spans="1:11" x14ac:dyDescent="0.25">
      <c r="A105" s="8">
        <v>44530</v>
      </c>
      <c r="B105" s="15">
        <v>714.35</v>
      </c>
      <c r="C105" s="15">
        <v>732</v>
      </c>
      <c r="E105" s="45"/>
      <c r="H105" s="45"/>
      <c r="K105" s="45"/>
    </row>
    <row r="106" spans="1:11" x14ac:dyDescent="0.25">
      <c r="A106" s="8">
        <v>44531</v>
      </c>
      <c r="B106" s="15">
        <v>727.7</v>
      </c>
      <c r="C106" s="15">
        <v>746.55</v>
      </c>
      <c r="E106" s="45"/>
      <c r="H106" s="45"/>
      <c r="K106" s="45"/>
    </row>
    <row r="107" spans="1:11" x14ac:dyDescent="0.25">
      <c r="A107" s="8">
        <v>44532</v>
      </c>
      <c r="B107" s="15">
        <v>722.4</v>
      </c>
      <c r="C107" s="15">
        <v>747.4</v>
      </c>
      <c r="E107" s="45"/>
      <c r="H107" s="45"/>
      <c r="K107" s="45"/>
    </row>
    <row r="108" spans="1:11" x14ac:dyDescent="0.25">
      <c r="A108" s="8">
        <v>44533</v>
      </c>
      <c r="B108" s="15">
        <v>716.3</v>
      </c>
      <c r="C108" s="15">
        <v>769.3</v>
      </c>
      <c r="E108" s="45"/>
      <c r="H108" s="45"/>
      <c r="K108" s="45"/>
    </row>
    <row r="109" spans="1:11" x14ac:dyDescent="0.25">
      <c r="A109" s="8">
        <v>44536</v>
      </c>
      <c r="B109" s="15">
        <v>709.55</v>
      </c>
      <c r="C109" s="15">
        <v>740.3</v>
      </c>
      <c r="E109" s="45"/>
      <c r="H109" s="45"/>
      <c r="K109" s="45"/>
    </row>
    <row r="110" spans="1:11" x14ac:dyDescent="0.25">
      <c r="A110" s="8">
        <v>44537</v>
      </c>
      <c r="B110" s="15">
        <v>734.65</v>
      </c>
      <c r="C110" s="15">
        <v>771.2</v>
      </c>
      <c r="E110" s="45"/>
      <c r="H110" s="45"/>
      <c r="K110" s="45"/>
    </row>
    <row r="111" spans="1:11" x14ac:dyDescent="0.25">
      <c r="A111" s="8">
        <v>44538</v>
      </c>
      <c r="B111" s="15">
        <v>753.4</v>
      </c>
      <c r="C111" s="15">
        <v>783.4</v>
      </c>
      <c r="E111" s="45"/>
      <c r="H111" s="45"/>
      <c r="K111" s="45"/>
    </row>
    <row r="112" spans="1:11" x14ac:dyDescent="0.25">
      <c r="A112" s="8">
        <v>44539</v>
      </c>
      <c r="B112" s="15">
        <v>755</v>
      </c>
      <c r="C112" s="15">
        <v>782.5</v>
      </c>
      <c r="E112" s="45"/>
      <c r="H112" s="45"/>
      <c r="K112" s="45"/>
    </row>
    <row r="113" spans="1:11" x14ac:dyDescent="0.25">
      <c r="A113" s="8">
        <v>44540</v>
      </c>
      <c r="B113" s="15">
        <v>758</v>
      </c>
      <c r="C113" s="15">
        <v>783.45</v>
      </c>
      <c r="E113" s="45"/>
      <c r="H113" s="45"/>
      <c r="K113" s="45"/>
    </row>
    <row r="114" spans="1:11" x14ac:dyDescent="0.25">
      <c r="A114" s="8">
        <v>44543</v>
      </c>
      <c r="B114" s="15">
        <v>754</v>
      </c>
      <c r="C114" s="15">
        <v>790.55</v>
      </c>
      <c r="E114" s="45"/>
      <c r="H114" s="45"/>
      <c r="K114" s="45"/>
    </row>
    <row r="115" spans="1:11" x14ac:dyDescent="0.25">
      <c r="A115" s="8">
        <v>44544</v>
      </c>
      <c r="B115" s="15">
        <v>758.65</v>
      </c>
      <c r="C115" s="15">
        <v>785.55</v>
      </c>
      <c r="E115" s="45"/>
      <c r="H115" s="45"/>
      <c r="K115" s="45"/>
    </row>
    <row r="116" spans="1:11" x14ac:dyDescent="0.25">
      <c r="A116" s="8">
        <v>44545</v>
      </c>
      <c r="B116" s="15">
        <v>752.25</v>
      </c>
      <c r="C116" s="15">
        <v>784.8</v>
      </c>
      <c r="E116" s="45"/>
      <c r="H116" s="45"/>
      <c r="K116" s="45"/>
    </row>
    <row r="117" spans="1:11" x14ac:dyDescent="0.25">
      <c r="A117" s="8">
        <v>44546</v>
      </c>
      <c r="B117" s="15">
        <v>741.15</v>
      </c>
      <c r="C117" s="15">
        <v>782.55</v>
      </c>
      <c r="E117" s="45"/>
      <c r="H117" s="45"/>
      <c r="K117" s="45"/>
    </row>
    <row r="118" spans="1:11" x14ac:dyDescent="0.25">
      <c r="A118" s="8">
        <v>44547</v>
      </c>
      <c r="B118" s="15">
        <v>728.3</v>
      </c>
      <c r="C118" s="15">
        <v>778.45</v>
      </c>
      <c r="E118" s="45"/>
      <c r="H118" s="45"/>
      <c r="K118" s="45"/>
    </row>
    <row r="119" spans="1:11" x14ac:dyDescent="0.25">
      <c r="A119" s="8">
        <v>44550</v>
      </c>
      <c r="B119" s="15">
        <v>709.95</v>
      </c>
      <c r="C119" s="15">
        <v>763.9</v>
      </c>
      <c r="E119" s="45"/>
      <c r="H119" s="45"/>
      <c r="K119" s="45"/>
    </row>
    <row r="120" spans="1:11" x14ac:dyDescent="0.25">
      <c r="A120" s="8">
        <v>44551</v>
      </c>
      <c r="B120" s="15">
        <v>720.35</v>
      </c>
      <c r="C120" s="15">
        <v>756.4</v>
      </c>
      <c r="E120" s="45"/>
      <c r="H120" s="45"/>
      <c r="K120" s="45"/>
    </row>
    <row r="121" spans="1:11" x14ac:dyDescent="0.25">
      <c r="A121" s="8">
        <v>44552</v>
      </c>
      <c r="B121" s="15">
        <v>732.8</v>
      </c>
      <c r="C121" s="15">
        <v>758.75</v>
      </c>
      <c r="E121" s="45"/>
      <c r="H121" s="45"/>
      <c r="K121" s="45"/>
    </row>
    <row r="122" spans="1:11" x14ac:dyDescent="0.25">
      <c r="A122" s="8">
        <v>44553</v>
      </c>
      <c r="B122" s="15">
        <v>731.3</v>
      </c>
      <c r="C122" s="15">
        <v>752.15</v>
      </c>
      <c r="E122" s="45"/>
      <c r="H122" s="45"/>
      <c r="K122" s="45"/>
    </row>
    <row r="123" spans="1:11" x14ac:dyDescent="0.25">
      <c r="A123" s="8">
        <v>44554</v>
      </c>
      <c r="B123" s="15">
        <v>727.1</v>
      </c>
      <c r="C123" s="15">
        <v>758.55</v>
      </c>
      <c r="E123" s="45"/>
      <c r="H123" s="45"/>
      <c r="K123" s="45"/>
    </row>
    <row r="124" spans="1:11" x14ac:dyDescent="0.25">
      <c r="A124" s="8">
        <v>44557</v>
      </c>
      <c r="B124" s="15">
        <v>736</v>
      </c>
      <c r="C124" s="15">
        <v>766.95</v>
      </c>
      <c r="E124" s="45"/>
      <c r="H124" s="45"/>
      <c r="K124" s="45"/>
    </row>
    <row r="125" spans="1:11" x14ac:dyDescent="0.25">
      <c r="A125" s="8">
        <v>44558</v>
      </c>
      <c r="B125" s="15">
        <v>735.8</v>
      </c>
      <c r="C125" s="15">
        <v>786.85</v>
      </c>
      <c r="E125" s="45"/>
      <c r="H125" s="45"/>
      <c r="K125" s="45"/>
    </row>
    <row r="126" spans="1:11" x14ac:dyDescent="0.25">
      <c r="A126" s="8">
        <v>44559</v>
      </c>
      <c r="B126" s="15">
        <v>735.7</v>
      </c>
      <c r="C126" s="15">
        <v>782.15</v>
      </c>
      <c r="E126" s="45"/>
      <c r="H126" s="45"/>
      <c r="K126" s="45"/>
    </row>
    <row r="127" spans="1:11" x14ac:dyDescent="0.25">
      <c r="A127" s="8">
        <v>44560</v>
      </c>
      <c r="B127" s="15">
        <v>735.7</v>
      </c>
      <c r="C127" s="15">
        <v>788.05</v>
      </c>
      <c r="E127" s="45"/>
      <c r="H127" s="45"/>
      <c r="K127" s="45"/>
    </row>
    <row r="128" spans="1:11" x14ac:dyDescent="0.25">
      <c r="A128" s="8">
        <v>44561</v>
      </c>
      <c r="B128" s="15">
        <v>740.15</v>
      </c>
      <c r="C128" s="15">
        <v>791.75</v>
      </c>
      <c r="E128" s="45"/>
      <c r="H128" s="45"/>
      <c r="K128" s="45"/>
    </row>
    <row r="129" spans="1:11" x14ac:dyDescent="0.25">
      <c r="A129" s="8">
        <v>44564</v>
      </c>
      <c r="B129" s="15">
        <v>764.7</v>
      </c>
      <c r="C129" s="15">
        <v>790.25</v>
      </c>
      <c r="E129" s="45"/>
      <c r="H129" s="45"/>
      <c r="K129" s="45"/>
    </row>
    <row r="130" spans="1:11" x14ac:dyDescent="0.25">
      <c r="A130" s="8">
        <v>44565</v>
      </c>
      <c r="B130" s="15">
        <v>772.85</v>
      </c>
      <c r="C130" s="15">
        <v>787.45</v>
      </c>
      <c r="E130" s="45"/>
      <c r="H130" s="45"/>
      <c r="K130" s="45"/>
    </row>
    <row r="131" spans="1:11" x14ac:dyDescent="0.25">
      <c r="A131" s="8">
        <v>44566</v>
      </c>
      <c r="B131" s="15">
        <v>788.05</v>
      </c>
      <c r="C131" s="15">
        <v>778.4</v>
      </c>
      <c r="E131" s="45"/>
      <c r="H131" s="45"/>
      <c r="K131" s="45"/>
    </row>
    <row r="132" spans="1:11" x14ac:dyDescent="0.25">
      <c r="A132" s="8">
        <v>44567</v>
      </c>
      <c r="B132" s="15">
        <v>785.05</v>
      </c>
      <c r="C132" s="15">
        <v>773.65</v>
      </c>
      <c r="E132" s="45"/>
      <c r="H132" s="45"/>
      <c r="K132" s="45"/>
    </row>
    <row r="133" spans="1:11" x14ac:dyDescent="0.25">
      <c r="A133" s="8">
        <v>44568</v>
      </c>
      <c r="B133" s="15">
        <v>793.25</v>
      </c>
      <c r="C133" s="15">
        <v>768.65</v>
      </c>
      <c r="E133" s="45"/>
      <c r="H133" s="45"/>
      <c r="K133" s="45"/>
    </row>
    <row r="134" spans="1:11" x14ac:dyDescent="0.25">
      <c r="A134" s="8">
        <v>44571</v>
      </c>
      <c r="B134" s="15">
        <v>810.75</v>
      </c>
      <c r="C134" s="15">
        <v>784.3</v>
      </c>
      <c r="E134" s="45"/>
      <c r="H134" s="45"/>
      <c r="K134" s="45"/>
    </row>
    <row r="135" spans="1:11" x14ac:dyDescent="0.25">
      <c r="A135" s="8">
        <v>44572</v>
      </c>
      <c r="B135" s="15">
        <v>810.65</v>
      </c>
      <c r="C135" s="15">
        <v>783.95</v>
      </c>
      <c r="E135" s="45"/>
      <c r="H135" s="45"/>
      <c r="K135" s="45"/>
    </row>
    <row r="136" spans="1:11" x14ac:dyDescent="0.25">
      <c r="A136" s="8">
        <v>44573</v>
      </c>
      <c r="B136" s="15">
        <v>823.75</v>
      </c>
      <c r="C136" s="15">
        <v>791.25</v>
      </c>
      <c r="E136" s="45"/>
      <c r="H136" s="45"/>
      <c r="K136" s="45"/>
    </row>
    <row r="137" spans="1:11" x14ac:dyDescent="0.25">
      <c r="A137" s="8">
        <v>44574</v>
      </c>
      <c r="B137" s="15">
        <v>824.7</v>
      </c>
      <c r="C137" s="15">
        <v>800</v>
      </c>
      <c r="E137" s="45"/>
      <c r="H137" s="45"/>
      <c r="K137" s="45"/>
    </row>
    <row r="138" spans="1:11" x14ac:dyDescent="0.25">
      <c r="A138" s="8">
        <v>44575</v>
      </c>
      <c r="B138" s="15">
        <v>820</v>
      </c>
      <c r="C138" s="15">
        <v>820.4</v>
      </c>
      <c r="E138" s="45"/>
      <c r="H138" s="45"/>
      <c r="K138" s="45"/>
    </row>
    <row r="139" spans="1:11" x14ac:dyDescent="0.25">
      <c r="A139" s="8">
        <v>44578</v>
      </c>
      <c r="B139" s="15">
        <v>819.3</v>
      </c>
      <c r="C139" s="15">
        <v>823.45</v>
      </c>
      <c r="E139" s="45"/>
      <c r="H139" s="45"/>
      <c r="K139" s="45"/>
    </row>
    <row r="140" spans="1:11" x14ac:dyDescent="0.25">
      <c r="A140" s="8">
        <v>44579</v>
      </c>
      <c r="B140" s="15">
        <v>823.1</v>
      </c>
      <c r="C140" s="15">
        <v>819.6</v>
      </c>
      <c r="E140" s="45"/>
      <c r="H140" s="45"/>
      <c r="K140" s="45"/>
    </row>
    <row r="141" spans="1:11" x14ac:dyDescent="0.25">
      <c r="A141" s="8">
        <v>44580</v>
      </c>
      <c r="B141" s="15">
        <v>808.6</v>
      </c>
      <c r="C141" s="15">
        <v>787.65</v>
      </c>
      <c r="E141" s="45"/>
      <c r="H141" s="45"/>
      <c r="K141" s="45"/>
    </row>
    <row r="142" spans="1:11" x14ac:dyDescent="0.25">
      <c r="A142" s="8">
        <v>44581</v>
      </c>
      <c r="B142" s="15">
        <v>810.25</v>
      </c>
      <c r="C142" s="15">
        <v>804.25</v>
      </c>
      <c r="E142" s="45"/>
      <c r="H142" s="45"/>
      <c r="K142" s="45"/>
    </row>
    <row r="143" spans="1:11" x14ac:dyDescent="0.25">
      <c r="A143" s="8">
        <v>44582</v>
      </c>
      <c r="B143" s="15">
        <v>804.5</v>
      </c>
      <c r="C143" s="15">
        <v>777.95</v>
      </c>
      <c r="E143" s="45"/>
      <c r="H143" s="45"/>
      <c r="K143" s="45"/>
    </row>
    <row r="144" spans="1:11" x14ac:dyDescent="0.25">
      <c r="A144" s="8">
        <v>44585</v>
      </c>
      <c r="B144" s="15">
        <v>798.45</v>
      </c>
      <c r="C144" s="15">
        <v>717</v>
      </c>
      <c r="E144" s="45"/>
      <c r="H144" s="45"/>
      <c r="K144" s="45"/>
    </row>
    <row r="145" spans="1:11" x14ac:dyDescent="0.25">
      <c r="A145" s="8">
        <v>44586</v>
      </c>
      <c r="B145" s="15">
        <v>801.65</v>
      </c>
      <c r="C145" s="15">
        <v>722.65</v>
      </c>
      <c r="E145" s="45"/>
      <c r="H145" s="45"/>
      <c r="K145" s="45"/>
    </row>
    <row r="146" spans="1:11" x14ac:dyDescent="0.25">
      <c r="A146" s="8">
        <v>44588</v>
      </c>
      <c r="B146" s="15">
        <v>794.65</v>
      </c>
      <c r="C146" s="15">
        <v>700.65</v>
      </c>
      <c r="E146" s="45"/>
      <c r="H146" s="45"/>
      <c r="K146" s="45"/>
    </row>
    <row r="147" spans="1:11" x14ac:dyDescent="0.25">
      <c r="A147" s="8">
        <v>44589</v>
      </c>
      <c r="B147" s="15">
        <v>781.15</v>
      </c>
      <c r="C147" s="15">
        <v>720.9</v>
      </c>
      <c r="E147" s="45"/>
      <c r="H147" s="45"/>
      <c r="K147" s="45"/>
    </row>
    <row r="148" spans="1:11" x14ac:dyDescent="0.25">
      <c r="A148" s="8">
        <v>44592</v>
      </c>
      <c r="B148" s="15">
        <v>788.8</v>
      </c>
      <c r="C148" s="15">
        <v>721.2</v>
      </c>
      <c r="E148" s="45"/>
      <c r="H148" s="45"/>
      <c r="K148" s="45"/>
    </row>
    <row r="149" spans="1:11" x14ac:dyDescent="0.25">
      <c r="A149" s="8">
        <v>44593</v>
      </c>
      <c r="B149" s="15">
        <v>810.3</v>
      </c>
      <c r="C149" s="15">
        <v>727.35</v>
      </c>
      <c r="E149" s="45"/>
      <c r="H149" s="45"/>
      <c r="K149" s="45"/>
    </row>
    <row r="150" spans="1:11" x14ac:dyDescent="0.25">
      <c r="A150" s="8">
        <v>44594</v>
      </c>
      <c r="B150" s="15">
        <v>813.75</v>
      </c>
      <c r="C150" s="15">
        <v>746.55</v>
      </c>
      <c r="E150" s="45"/>
      <c r="H150" s="45"/>
      <c r="K150" s="45"/>
    </row>
    <row r="151" spans="1:11" x14ac:dyDescent="0.25">
      <c r="A151" s="8">
        <v>44595</v>
      </c>
      <c r="B151" s="15">
        <v>808.95</v>
      </c>
      <c r="C151" s="15">
        <v>725.15</v>
      </c>
      <c r="E151" s="45"/>
      <c r="H151" s="45"/>
      <c r="K151" s="45"/>
    </row>
    <row r="152" spans="1:11" x14ac:dyDescent="0.25">
      <c r="A152" s="8">
        <v>44596</v>
      </c>
      <c r="B152" s="15">
        <v>805.05</v>
      </c>
      <c r="C152" s="15">
        <v>733.4</v>
      </c>
      <c r="E152" s="45"/>
      <c r="H152" s="45"/>
      <c r="K152" s="45"/>
    </row>
    <row r="153" spans="1:11" x14ac:dyDescent="0.25">
      <c r="A153" s="8">
        <v>44599</v>
      </c>
      <c r="B153" s="15">
        <v>786.4</v>
      </c>
      <c r="C153" s="15">
        <v>715.45</v>
      </c>
      <c r="E153" s="45"/>
      <c r="H153" s="45"/>
      <c r="K153" s="45"/>
    </row>
    <row r="154" spans="1:11" x14ac:dyDescent="0.25">
      <c r="A154" s="8">
        <v>44600</v>
      </c>
      <c r="B154" s="15">
        <v>792.5</v>
      </c>
      <c r="C154" s="15">
        <v>737.5</v>
      </c>
      <c r="E154" s="45"/>
      <c r="H154" s="45"/>
      <c r="K154" s="45"/>
    </row>
    <row r="155" spans="1:11" x14ac:dyDescent="0.25">
      <c r="A155" s="8">
        <v>44601</v>
      </c>
      <c r="B155" s="15">
        <v>802.8</v>
      </c>
      <c r="C155" s="15">
        <v>734.7</v>
      </c>
      <c r="E155" s="45"/>
      <c r="H155" s="45"/>
      <c r="K155" s="45"/>
    </row>
    <row r="156" spans="1:11" x14ac:dyDescent="0.25">
      <c r="A156" s="8">
        <v>44602</v>
      </c>
      <c r="B156" s="15">
        <v>805.5</v>
      </c>
      <c r="C156" s="15">
        <v>737.75</v>
      </c>
      <c r="E156" s="45"/>
      <c r="H156" s="45"/>
      <c r="K156" s="45"/>
    </row>
    <row r="157" spans="1:11" x14ac:dyDescent="0.25">
      <c r="A157" s="8">
        <v>44603</v>
      </c>
      <c r="B157" s="15">
        <v>790.8</v>
      </c>
      <c r="C157" s="15">
        <v>729.05</v>
      </c>
      <c r="E157" s="45"/>
      <c r="H157" s="45"/>
      <c r="K157" s="45"/>
    </row>
    <row r="158" spans="1:11" x14ac:dyDescent="0.25">
      <c r="A158" s="8">
        <v>44606</v>
      </c>
      <c r="B158" s="15">
        <v>753.7</v>
      </c>
      <c r="C158" s="15">
        <v>723.55</v>
      </c>
      <c r="E158" s="45"/>
      <c r="H158" s="45"/>
      <c r="K158" s="45"/>
    </row>
    <row r="159" spans="1:11" x14ac:dyDescent="0.25">
      <c r="A159" s="8">
        <v>44607</v>
      </c>
      <c r="B159" s="15">
        <v>776.05</v>
      </c>
      <c r="C159" s="15">
        <v>721.3</v>
      </c>
      <c r="E159" s="45"/>
      <c r="H159" s="45"/>
      <c r="K159" s="45"/>
    </row>
    <row r="160" spans="1:11" x14ac:dyDescent="0.25">
      <c r="A160" s="8">
        <v>44608</v>
      </c>
      <c r="B160" s="15">
        <v>764.05</v>
      </c>
      <c r="C160" s="15">
        <v>712.25</v>
      </c>
      <c r="E160" s="45"/>
      <c r="H160" s="45"/>
      <c r="K160" s="45"/>
    </row>
    <row r="161" spans="1:11" x14ac:dyDescent="0.25">
      <c r="A161" s="8">
        <v>44609</v>
      </c>
      <c r="B161" s="15">
        <v>750.35</v>
      </c>
      <c r="C161" s="15">
        <v>703.7</v>
      </c>
      <c r="E161" s="45"/>
      <c r="H161" s="45"/>
      <c r="K161" s="45"/>
    </row>
    <row r="162" spans="1:11" x14ac:dyDescent="0.25">
      <c r="A162" s="8">
        <v>44610</v>
      </c>
      <c r="B162" s="15">
        <v>748.9</v>
      </c>
      <c r="C162" s="15">
        <v>695.6</v>
      </c>
      <c r="E162" s="45"/>
      <c r="H162" s="45"/>
      <c r="K162" s="45"/>
    </row>
    <row r="163" spans="1:11" x14ac:dyDescent="0.25">
      <c r="A163" s="8">
        <v>44613</v>
      </c>
      <c r="B163" s="15">
        <v>754.45</v>
      </c>
      <c r="C163" s="15">
        <v>655.45</v>
      </c>
      <c r="E163" s="45"/>
      <c r="H163" s="45"/>
      <c r="K163" s="45"/>
    </row>
    <row r="164" spans="1:11" x14ac:dyDescent="0.25">
      <c r="A164" s="8">
        <v>44614</v>
      </c>
      <c r="B164" s="15">
        <v>751.3</v>
      </c>
      <c r="C164" s="15">
        <v>632.15</v>
      </c>
      <c r="E164" s="45"/>
      <c r="H164" s="45"/>
      <c r="K164" s="45"/>
    </row>
    <row r="165" spans="1:11" x14ac:dyDescent="0.25">
      <c r="A165" s="8">
        <v>44615</v>
      </c>
      <c r="B165" s="15">
        <v>744.6</v>
      </c>
      <c r="C165" s="15">
        <v>650.85</v>
      </c>
      <c r="E165" s="45"/>
      <c r="H165" s="45"/>
      <c r="K165" s="45"/>
    </row>
    <row r="166" spans="1:11" x14ac:dyDescent="0.25">
      <c r="A166" s="8">
        <v>44616</v>
      </c>
      <c r="B166" s="15">
        <v>707.4</v>
      </c>
      <c r="C166" s="15">
        <v>632.20000000000005</v>
      </c>
      <c r="E166" s="45"/>
      <c r="H166" s="45"/>
      <c r="K166" s="45"/>
    </row>
    <row r="167" spans="1:11" x14ac:dyDescent="0.25">
      <c r="A167" s="8">
        <v>44617</v>
      </c>
      <c r="B167" s="15">
        <v>730.05</v>
      </c>
      <c r="C167" s="15">
        <v>642.5</v>
      </c>
      <c r="E167" s="45"/>
      <c r="H167" s="45"/>
      <c r="K167" s="45"/>
    </row>
    <row r="168" spans="1:11" x14ac:dyDescent="0.25">
      <c r="A168" s="8">
        <v>44620</v>
      </c>
      <c r="B168" s="15">
        <v>742.7</v>
      </c>
      <c r="C168" s="15">
        <v>665.95</v>
      </c>
      <c r="E168" s="45"/>
      <c r="H168" s="45"/>
      <c r="K168" s="45"/>
    </row>
    <row r="169" spans="1:11" x14ac:dyDescent="0.25">
      <c r="A169" s="8">
        <v>44622</v>
      </c>
      <c r="B169" s="15">
        <v>714.85</v>
      </c>
      <c r="C169" s="15">
        <v>648.1</v>
      </c>
      <c r="E169" s="45"/>
      <c r="H169" s="45"/>
      <c r="K169" s="45"/>
    </row>
    <row r="170" spans="1:11" x14ac:dyDescent="0.25">
      <c r="A170" s="8">
        <v>44623</v>
      </c>
      <c r="B170" s="15">
        <v>698.3</v>
      </c>
      <c r="C170" s="15">
        <v>633.04999999999995</v>
      </c>
      <c r="E170" s="45"/>
      <c r="H170" s="45"/>
      <c r="K170" s="45"/>
    </row>
    <row r="171" spans="1:11" x14ac:dyDescent="0.25">
      <c r="A171" s="8">
        <v>44624</v>
      </c>
      <c r="B171" s="15">
        <v>688.05</v>
      </c>
      <c r="C171" s="15">
        <v>612.20000000000005</v>
      </c>
      <c r="E171" s="45"/>
      <c r="H171" s="45"/>
      <c r="K171" s="45"/>
    </row>
    <row r="172" spans="1:11" x14ac:dyDescent="0.25">
      <c r="A172" s="8">
        <v>44627</v>
      </c>
      <c r="B172" s="15">
        <v>653.75</v>
      </c>
      <c r="C172" s="15">
        <v>593.1</v>
      </c>
      <c r="E172" s="45"/>
      <c r="H172" s="45"/>
      <c r="K172" s="45"/>
    </row>
    <row r="173" spans="1:11" x14ac:dyDescent="0.25">
      <c r="A173" s="8">
        <v>44628</v>
      </c>
      <c r="B173" s="15">
        <v>665</v>
      </c>
      <c r="C173" s="15">
        <v>599.04999999999995</v>
      </c>
      <c r="E173" s="45"/>
      <c r="H173" s="45"/>
      <c r="K173" s="45"/>
    </row>
    <row r="174" spans="1:11" x14ac:dyDescent="0.25">
      <c r="A174" s="8">
        <v>44629</v>
      </c>
      <c r="B174" s="15">
        <v>667.45</v>
      </c>
      <c r="C174" s="15">
        <v>606.95000000000005</v>
      </c>
      <c r="E174" s="45"/>
      <c r="H174" s="45"/>
      <c r="K174" s="45"/>
    </row>
    <row r="175" spans="1:11" x14ac:dyDescent="0.25">
      <c r="A175" s="8">
        <v>44630</v>
      </c>
      <c r="B175" s="15">
        <v>676.6</v>
      </c>
      <c r="C175" s="15">
        <v>608.9</v>
      </c>
      <c r="E175" s="45"/>
      <c r="H175" s="45"/>
      <c r="K175" s="45"/>
    </row>
    <row r="176" spans="1:11" x14ac:dyDescent="0.25">
      <c r="A176" s="8">
        <v>44631</v>
      </c>
      <c r="B176" s="15">
        <v>677.9</v>
      </c>
      <c r="C176" s="15">
        <v>608.79999999999995</v>
      </c>
      <c r="E176" s="45"/>
      <c r="H176" s="45"/>
      <c r="K176" s="45"/>
    </row>
    <row r="177" spans="1:11" x14ac:dyDescent="0.25">
      <c r="A177" s="8">
        <v>44634</v>
      </c>
      <c r="B177" s="15">
        <v>696.15</v>
      </c>
      <c r="C177" s="15">
        <v>593.6</v>
      </c>
      <c r="E177" s="45"/>
      <c r="H177" s="45"/>
      <c r="K177" s="45"/>
    </row>
    <row r="178" spans="1:11" x14ac:dyDescent="0.25">
      <c r="A178" s="8">
        <v>44635</v>
      </c>
      <c r="B178" s="15">
        <v>697.35</v>
      </c>
      <c r="C178" s="15">
        <v>599.1</v>
      </c>
      <c r="E178" s="45"/>
      <c r="H178" s="45"/>
      <c r="K178" s="45"/>
    </row>
    <row r="179" spans="1:11" x14ac:dyDescent="0.25">
      <c r="A179" s="8">
        <v>44636</v>
      </c>
      <c r="B179" s="15">
        <v>708</v>
      </c>
      <c r="C179" s="15">
        <v>600.15</v>
      </c>
      <c r="E179" s="45"/>
      <c r="H179" s="45"/>
      <c r="K179" s="45"/>
    </row>
    <row r="180" spans="1:11" x14ac:dyDescent="0.25">
      <c r="A180" s="8">
        <v>44637</v>
      </c>
      <c r="B180" s="15">
        <v>720.1</v>
      </c>
      <c r="C180" s="15">
        <v>625.9</v>
      </c>
      <c r="E180" s="45"/>
      <c r="H180" s="45"/>
      <c r="K180" s="45"/>
    </row>
    <row r="181" spans="1:11" x14ac:dyDescent="0.25">
      <c r="A181" s="8">
        <v>44641</v>
      </c>
      <c r="B181" s="15">
        <v>710.75</v>
      </c>
      <c r="C181" s="15">
        <v>645.4</v>
      </c>
      <c r="E181" s="45"/>
      <c r="H181" s="45"/>
      <c r="K181" s="45"/>
    </row>
    <row r="182" spans="1:11" x14ac:dyDescent="0.25">
      <c r="A182" s="8">
        <v>44642</v>
      </c>
      <c r="B182" s="15">
        <v>718.2</v>
      </c>
      <c r="C182" s="15">
        <v>669.75</v>
      </c>
      <c r="E182" s="45"/>
      <c r="H182" s="45"/>
      <c r="K182" s="45"/>
    </row>
    <row r="183" spans="1:11" x14ac:dyDescent="0.25">
      <c r="A183" s="8">
        <v>44643</v>
      </c>
      <c r="B183" s="15">
        <v>718.3</v>
      </c>
      <c r="C183" s="15">
        <v>651.35</v>
      </c>
      <c r="E183" s="45"/>
      <c r="H183" s="45"/>
      <c r="K183" s="45"/>
    </row>
    <row r="184" spans="1:11" x14ac:dyDescent="0.25">
      <c r="A184" s="8">
        <v>44644</v>
      </c>
      <c r="B184" s="15">
        <v>704.2</v>
      </c>
      <c r="C184" s="15">
        <v>642.9</v>
      </c>
      <c r="E184" s="45"/>
      <c r="H184" s="45"/>
      <c r="K184" s="45"/>
    </row>
    <row r="185" spans="1:11" x14ac:dyDescent="0.25">
      <c r="A185" s="8">
        <v>44645</v>
      </c>
      <c r="B185" s="15">
        <v>699.25</v>
      </c>
      <c r="C185" s="15">
        <v>621.29999999999995</v>
      </c>
      <c r="E185" s="45"/>
      <c r="H185" s="45"/>
      <c r="K185" s="45"/>
    </row>
    <row r="186" spans="1:11" x14ac:dyDescent="0.25">
      <c r="A186" s="8">
        <v>44648</v>
      </c>
      <c r="B186" s="15">
        <v>710.35</v>
      </c>
      <c r="C186" s="15">
        <v>605.79999999999995</v>
      </c>
      <c r="E186" s="45"/>
      <c r="H186" s="45"/>
      <c r="K186" s="45"/>
    </row>
    <row r="187" spans="1:11" x14ac:dyDescent="0.25">
      <c r="A187" s="8">
        <v>44649</v>
      </c>
      <c r="B187" s="15">
        <v>715.3</v>
      </c>
      <c r="C187" s="15">
        <v>615.65</v>
      </c>
      <c r="E187" s="45"/>
      <c r="H187" s="45"/>
      <c r="K187" s="45"/>
    </row>
    <row r="188" spans="1:11" x14ac:dyDescent="0.25">
      <c r="A188" s="8">
        <v>44650</v>
      </c>
      <c r="B188" s="15">
        <v>730.9</v>
      </c>
      <c r="C188" s="15">
        <v>620.79999999999995</v>
      </c>
      <c r="E188" s="45"/>
      <c r="H188" s="45"/>
      <c r="K188" s="45"/>
    </row>
    <row r="189" spans="1:11" x14ac:dyDescent="0.25">
      <c r="A189" s="8">
        <v>44651</v>
      </c>
      <c r="B189" s="15">
        <v>730.3</v>
      </c>
      <c r="C189" s="15">
        <v>621.25</v>
      </c>
      <c r="E189" s="45"/>
      <c r="H189" s="45"/>
      <c r="K189" s="45"/>
    </row>
    <row r="190" spans="1:11" x14ac:dyDescent="0.25">
      <c r="A190" s="8">
        <v>44652</v>
      </c>
      <c r="B190" s="15">
        <v>736.25</v>
      </c>
      <c r="C190" s="15">
        <v>617.54999999999995</v>
      </c>
      <c r="E190" s="45"/>
      <c r="H190" s="45"/>
      <c r="K190" s="45"/>
    </row>
    <row r="191" spans="1:11" x14ac:dyDescent="0.25">
      <c r="A191" s="8">
        <v>44655</v>
      </c>
      <c r="B191" s="15">
        <v>746.6</v>
      </c>
      <c r="C191" s="15">
        <v>632.95000000000005</v>
      </c>
      <c r="E191" s="45"/>
      <c r="H191" s="45"/>
      <c r="K191" s="45"/>
    </row>
    <row r="192" spans="1:11" x14ac:dyDescent="0.25">
      <c r="A192" s="8">
        <v>44656</v>
      </c>
      <c r="B192" s="15">
        <v>741.8</v>
      </c>
      <c r="C192" s="15">
        <v>644.20000000000005</v>
      </c>
      <c r="E192" s="45"/>
      <c r="H192" s="45"/>
      <c r="K192" s="45"/>
    </row>
    <row r="193" spans="1:11" x14ac:dyDescent="0.25">
      <c r="A193" s="8">
        <v>44657</v>
      </c>
      <c r="B193" s="15">
        <v>741.6</v>
      </c>
      <c r="C193" s="15">
        <v>638.65</v>
      </c>
      <c r="E193" s="45"/>
      <c r="H193" s="45"/>
      <c r="K193" s="45"/>
    </row>
    <row r="194" spans="1:11" x14ac:dyDescent="0.25">
      <c r="A194" s="8">
        <v>44658</v>
      </c>
      <c r="B194" s="15">
        <v>748.55</v>
      </c>
      <c r="C194" s="15">
        <v>628.25</v>
      </c>
      <c r="E194" s="45"/>
      <c r="H194" s="45"/>
      <c r="K194" s="45"/>
    </row>
    <row r="195" spans="1:11" x14ac:dyDescent="0.25">
      <c r="A195" s="8">
        <v>44659</v>
      </c>
      <c r="B195" s="15">
        <v>754.3</v>
      </c>
      <c r="C195" s="15">
        <v>626.85</v>
      </c>
      <c r="E195" s="45"/>
      <c r="H195" s="45"/>
      <c r="K195" s="45"/>
    </row>
    <row r="196" spans="1:11" x14ac:dyDescent="0.25">
      <c r="A196" s="8">
        <v>44662</v>
      </c>
      <c r="B196" s="15">
        <v>759.6</v>
      </c>
      <c r="C196" s="15">
        <v>622.95000000000005</v>
      </c>
      <c r="E196" s="45"/>
      <c r="H196" s="45"/>
      <c r="K196" s="45"/>
    </row>
    <row r="197" spans="1:11" x14ac:dyDescent="0.25">
      <c r="A197" s="8">
        <v>44663</v>
      </c>
      <c r="B197" s="15">
        <v>763.85</v>
      </c>
      <c r="C197" s="15">
        <v>625.4</v>
      </c>
      <c r="E197" s="45"/>
      <c r="H197" s="45"/>
      <c r="K197" s="45"/>
    </row>
    <row r="198" spans="1:11" x14ac:dyDescent="0.25">
      <c r="A198" s="8">
        <v>44664</v>
      </c>
      <c r="B198" s="15">
        <v>762.25</v>
      </c>
      <c r="C198" s="15">
        <v>635.29999999999995</v>
      </c>
      <c r="E198" s="45"/>
      <c r="H198" s="45"/>
      <c r="K198" s="45"/>
    </row>
    <row r="199" spans="1:11" x14ac:dyDescent="0.25">
      <c r="A199" s="8">
        <v>44669</v>
      </c>
      <c r="B199" s="15">
        <v>757.8</v>
      </c>
      <c r="C199" s="15">
        <v>627.20000000000005</v>
      </c>
      <c r="E199" s="45"/>
      <c r="H199" s="45"/>
      <c r="K199" s="45"/>
    </row>
    <row r="200" spans="1:11" x14ac:dyDescent="0.25">
      <c r="A200" s="8">
        <v>44670</v>
      </c>
      <c r="B200" s="15">
        <v>766.3</v>
      </c>
      <c r="C200" s="15">
        <v>625</v>
      </c>
      <c r="E200" s="45"/>
      <c r="H200" s="45"/>
      <c r="K200" s="45"/>
    </row>
    <row r="201" spans="1:11" x14ac:dyDescent="0.25">
      <c r="A201" s="8">
        <v>44671</v>
      </c>
      <c r="B201" s="15">
        <v>755.55</v>
      </c>
      <c r="C201" s="15">
        <v>628.5</v>
      </c>
      <c r="E201" s="45"/>
      <c r="H201" s="45"/>
      <c r="K201" s="45"/>
    </row>
    <row r="202" spans="1:11" x14ac:dyDescent="0.25">
      <c r="A202" s="8">
        <v>44672</v>
      </c>
      <c r="B202" s="15">
        <v>762.35</v>
      </c>
      <c r="C202" s="15">
        <v>597.15</v>
      </c>
      <c r="E202" s="45"/>
      <c r="H202" s="45"/>
      <c r="K202" s="45"/>
    </row>
    <row r="203" spans="1:11" x14ac:dyDescent="0.25">
      <c r="A203" s="8">
        <v>44673</v>
      </c>
      <c r="B203" s="15">
        <v>747.65</v>
      </c>
      <c r="C203" s="15">
        <v>597.20000000000005</v>
      </c>
      <c r="E203" s="45"/>
      <c r="H203" s="45"/>
      <c r="K203" s="45"/>
    </row>
    <row r="204" spans="1:11" x14ac:dyDescent="0.25">
      <c r="A204" s="8">
        <v>44676</v>
      </c>
      <c r="B204" s="15">
        <v>752.2</v>
      </c>
      <c r="C204" s="15">
        <v>584.6</v>
      </c>
      <c r="E204" s="45"/>
      <c r="H204" s="45"/>
      <c r="K204" s="45"/>
    </row>
    <row r="205" spans="1:11" x14ac:dyDescent="0.25">
      <c r="A205" s="8">
        <v>44677</v>
      </c>
      <c r="B205" s="15">
        <v>753.75</v>
      </c>
      <c r="C205" s="15">
        <v>579.9</v>
      </c>
      <c r="E205" s="45"/>
      <c r="H205" s="45"/>
      <c r="K205" s="45"/>
    </row>
    <row r="206" spans="1:11" x14ac:dyDescent="0.25">
      <c r="A206" s="8">
        <v>44678</v>
      </c>
      <c r="B206" s="15">
        <v>736.7</v>
      </c>
      <c r="C206" s="15">
        <v>584.35</v>
      </c>
      <c r="E206" s="45"/>
      <c r="H206" s="45"/>
      <c r="K206" s="45"/>
    </row>
    <row r="207" spans="1:11" x14ac:dyDescent="0.25">
      <c r="A207" s="8">
        <v>44679</v>
      </c>
      <c r="B207" s="15">
        <v>747.15</v>
      </c>
      <c r="C207" s="15">
        <v>581.25</v>
      </c>
      <c r="E207" s="45"/>
      <c r="H207" s="45"/>
      <c r="K207" s="45"/>
    </row>
    <row r="208" spans="1:11" x14ac:dyDescent="0.25">
      <c r="A208" s="8">
        <v>44680</v>
      </c>
      <c r="B208" s="15">
        <v>743.3</v>
      </c>
      <c r="C208" s="15">
        <v>560.70000000000005</v>
      </c>
      <c r="E208" s="45"/>
      <c r="H208" s="45"/>
      <c r="K208" s="45"/>
    </row>
    <row r="209" spans="1:11" x14ac:dyDescent="0.25">
      <c r="A209" s="8">
        <v>44683</v>
      </c>
      <c r="B209" s="15">
        <v>741</v>
      </c>
      <c r="C209" s="15">
        <v>540.15</v>
      </c>
      <c r="E209" s="45"/>
      <c r="H209" s="45"/>
      <c r="K209" s="45"/>
    </row>
    <row r="210" spans="1:11" x14ac:dyDescent="0.25">
      <c r="A210" s="8">
        <v>44685</v>
      </c>
      <c r="B210" s="15">
        <v>724.25</v>
      </c>
      <c r="C210" s="15">
        <v>520.29999999999995</v>
      </c>
      <c r="E210" s="45"/>
      <c r="H210" s="45"/>
      <c r="K210" s="45"/>
    </row>
    <row r="211" spans="1:11" x14ac:dyDescent="0.25">
      <c r="A211" s="8">
        <v>44686</v>
      </c>
      <c r="B211" s="15">
        <v>728.8</v>
      </c>
      <c r="C211" s="15">
        <v>529.5</v>
      </c>
      <c r="E211" s="45"/>
      <c r="H211" s="45"/>
      <c r="K211" s="45"/>
    </row>
    <row r="212" spans="1:11" x14ac:dyDescent="0.25">
      <c r="A212" s="8">
        <v>44687</v>
      </c>
      <c r="B212" s="15">
        <v>719.25</v>
      </c>
      <c r="C212" s="15">
        <v>509.9</v>
      </c>
      <c r="E212" s="45"/>
      <c r="H212" s="45"/>
      <c r="K212" s="45"/>
    </row>
    <row r="213" spans="1:11" x14ac:dyDescent="0.25">
      <c r="A213" s="8">
        <v>44690</v>
      </c>
      <c r="B213" s="15">
        <v>710.35</v>
      </c>
      <c r="C213" s="15">
        <v>502.2</v>
      </c>
      <c r="E213" s="45"/>
      <c r="H213" s="45"/>
      <c r="K213" s="45"/>
    </row>
    <row r="214" spans="1:11" x14ac:dyDescent="0.25">
      <c r="A214" s="8">
        <v>44691</v>
      </c>
      <c r="B214" s="15">
        <v>711.3</v>
      </c>
      <c r="C214" s="15">
        <v>485.5</v>
      </c>
      <c r="E214" s="45"/>
      <c r="H214" s="45"/>
      <c r="K214" s="45"/>
    </row>
    <row r="215" spans="1:11" x14ac:dyDescent="0.25">
      <c r="A215" s="8">
        <v>44692</v>
      </c>
      <c r="B215" s="15">
        <v>714.2</v>
      </c>
      <c r="C215" s="15">
        <v>479.15</v>
      </c>
      <c r="E215" s="45"/>
      <c r="H215" s="45"/>
      <c r="K215" s="45"/>
    </row>
    <row r="216" spans="1:11" x14ac:dyDescent="0.25">
      <c r="A216" s="8">
        <v>44693</v>
      </c>
      <c r="B216" s="15">
        <v>695.8</v>
      </c>
      <c r="C216" s="15">
        <v>473.3</v>
      </c>
      <c r="E216" s="45"/>
      <c r="H216" s="45"/>
      <c r="K216" s="45"/>
    </row>
    <row r="217" spans="1:11" x14ac:dyDescent="0.25">
      <c r="A217" s="8">
        <v>44694</v>
      </c>
      <c r="B217" s="15">
        <v>677.35</v>
      </c>
      <c r="C217" s="15">
        <v>476.45</v>
      </c>
      <c r="E217" s="45"/>
      <c r="H217" s="45"/>
      <c r="K217" s="45"/>
    </row>
    <row r="218" spans="1:11" x14ac:dyDescent="0.25">
      <c r="A218" s="8">
        <v>44697</v>
      </c>
      <c r="B218" s="15">
        <v>683</v>
      </c>
      <c r="C218" s="15">
        <v>487.2</v>
      </c>
      <c r="E218" s="45"/>
      <c r="H218" s="45"/>
      <c r="K218" s="45"/>
    </row>
    <row r="219" spans="1:11" x14ac:dyDescent="0.25">
      <c r="A219" s="8">
        <v>44698</v>
      </c>
      <c r="B219" s="15">
        <v>710</v>
      </c>
      <c r="C219" s="15">
        <v>497.75</v>
      </c>
      <c r="E219" s="45"/>
      <c r="H219" s="45"/>
      <c r="K219" s="45"/>
    </row>
    <row r="220" spans="1:11" x14ac:dyDescent="0.25">
      <c r="A220" s="8">
        <v>44699</v>
      </c>
      <c r="B220" s="15">
        <v>707.35</v>
      </c>
      <c r="C220" s="15">
        <v>489.7</v>
      </c>
      <c r="E220" s="45"/>
      <c r="H220" s="45"/>
      <c r="K220" s="45"/>
    </row>
    <row r="221" spans="1:11" x14ac:dyDescent="0.25">
      <c r="A221" s="8">
        <v>44700</v>
      </c>
      <c r="B221" s="15">
        <v>690.3</v>
      </c>
      <c r="C221" s="15">
        <v>474.55</v>
      </c>
      <c r="E221" s="45"/>
      <c r="H221" s="45"/>
      <c r="K221" s="45"/>
    </row>
    <row r="222" spans="1:11" x14ac:dyDescent="0.25">
      <c r="A222" s="8">
        <v>44701</v>
      </c>
      <c r="B222" s="15">
        <v>709.55</v>
      </c>
      <c r="C222" s="15">
        <v>473.35</v>
      </c>
      <c r="E222" s="45"/>
      <c r="H222" s="45"/>
      <c r="K222" s="45"/>
    </row>
    <row r="223" spans="1:11" x14ac:dyDescent="0.25">
      <c r="A223" s="8">
        <v>44704</v>
      </c>
      <c r="B223" s="15">
        <v>711.05</v>
      </c>
      <c r="C223" s="15">
        <v>464.25</v>
      </c>
      <c r="E223" s="45"/>
      <c r="H223" s="45"/>
      <c r="K223" s="45"/>
    </row>
    <row r="224" spans="1:11" x14ac:dyDescent="0.25">
      <c r="A224" s="8">
        <v>44705</v>
      </c>
      <c r="B224" s="15">
        <v>708.15</v>
      </c>
      <c r="C224" s="15">
        <v>440.75</v>
      </c>
      <c r="E224" s="45"/>
      <c r="H224" s="45"/>
      <c r="K224" s="45"/>
    </row>
    <row r="225" spans="1:11" x14ac:dyDescent="0.25">
      <c r="A225" s="8">
        <v>44706</v>
      </c>
      <c r="B225" s="15">
        <v>713.35</v>
      </c>
      <c r="C225" s="15">
        <v>428.4</v>
      </c>
      <c r="E225" s="45"/>
      <c r="H225" s="45"/>
      <c r="K225" s="45"/>
    </row>
    <row r="226" spans="1:11" x14ac:dyDescent="0.25">
      <c r="A226" s="8">
        <v>44707</v>
      </c>
      <c r="B226" s="15">
        <v>728.5</v>
      </c>
      <c r="C226" s="15">
        <v>419.85</v>
      </c>
      <c r="E226" s="45"/>
      <c r="H226" s="45"/>
      <c r="K226" s="45"/>
    </row>
    <row r="227" spans="1:11" x14ac:dyDescent="0.25">
      <c r="A227" s="8">
        <v>44708</v>
      </c>
      <c r="B227" s="15">
        <v>739.8</v>
      </c>
      <c r="C227" s="15">
        <v>427</v>
      </c>
      <c r="E227" s="45"/>
      <c r="H227" s="45"/>
      <c r="K227" s="45"/>
    </row>
    <row r="228" spans="1:11" x14ac:dyDescent="0.25">
      <c r="A228" s="8">
        <v>44711</v>
      </c>
      <c r="B228" s="15">
        <v>748.5</v>
      </c>
      <c r="C228" s="15">
        <v>446.3</v>
      </c>
      <c r="E228" s="45"/>
      <c r="H228" s="45"/>
      <c r="K228" s="45"/>
    </row>
    <row r="229" spans="1:11" x14ac:dyDescent="0.25">
      <c r="A229" s="8">
        <v>44712</v>
      </c>
      <c r="B229" s="15">
        <v>752.85</v>
      </c>
      <c r="C229" s="15">
        <v>447</v>
      </c>
      <c r="E229" s="45"/>
      <c r="H229" s="45"/>
      <c r="K229" s="45"/>
    </row>
    <row r="230" spans="1:11" x14ac:dyDescent="0.25">
      <c r="A230" s="8">
        <v>44713</v>
      </c>
      <c r="B230" s="15">
        <v>752.65</v>
      </c>
      <c r="C230" s="15">
        <v>440.7</v>
      </c>
      <c r="E230" s="45"/>
      <c r="H230" s="45"/>
      <c r="K230" s="45"/>
    </row>
    <row r="231" spans="1:11" x14ac:dyDescent="0.25">
      <c r="A231" s="8">
        <v>44714</v>
      </c>
      <c r="B231" s="15">
        <v>749.75</v>
      </c>
      <c r="C231" s="15">
        <v>444.45</v>
      </c>
      <c r="E231" s="45"/>
      <c r="H231" s="45"/>
      <c r="K231" s="45"/>
    </row>
    <row r="232" spans="1:11" x14ac:dyDescent="0.25">
      <c r="A232" s="8">
        <v>44715</v>
      </c>
      <c r="B232" s="15">
        <v>744.3</v>
      </c>
      <c r="C232" s="15">
        <v>460.5</v>
      </c>
      <c r="E232" s="45"/>
      <c r="H232" s="45"/>
      <c r="K232" s="45"/>
    </row>
    <row r="233" spans="1:11" x14ac:dyDescent="0.25">
      <c r="A233" s="8">
        <v>44718</v>
      </c>
      <c r="B233" s="15">
        <v>746.75</v>
      </c>
      <c r="C233" s="15">
        <v>456.25</v>
      </c>
      <c r="E233" s="45"/>
      <c r="H233" s="45"/>
      <c r="K233" s="45"/>
    </row>
    <row r="234" spans="1:11" x14ac:dyDescent="0.25">
      <c r="A234" s="8">
        <v>44719</v>
      </c>
      <c r="B234" s="15">
        <v>735.25</v>
      </c>
      <c r="C234" s="15">
        <v>455.1</v>
      </c>
      <c r="E234" s="45"/>
      <c r="H234" s="45"/>
      <c r="K234" s="45"/>
    </row>
    <row r="235" spans="1:11" x14ac:dyDescent="0.25">
      <c r="A235" s="8">
        <v>44720</v>
      </c>
      <c r="B235" s="15">
        <v>729.5</v>
      </c>
      <c r="C235" s="15">
        <v>462.65</v>
      </c>
      <c r="E235" s="45"/>
      <c r="H235" s="45"/>
      <c r="K235" s="45"/>
    </row>
    <row r="236" spans="1:11" x14ac:dyDescent="0.25">
      <c r="A236" s="8">
        <v>44721</v>
      </c>
      <c r="B236" s="15">
        <v>732.75</v>
      </c>
      <c r="C236" s="15">
        <v>462.9</v>
      </c>
      <c r="E236" s="45"/>
      <c r="H236" s="45"/>
      <c r="K236" s="45"/>
    </row>
    <row r="237" spans="1:11" x14ac:dyDescent="0.25">
      <c r="A237" s="8">
        <v>44722</v>
      </c>
      <c r="B237" s="15">
        <v>720</v>
      </c>
      <c r="C237" s="15">
        <v>459.5</v>
      </c>
      <c r="E237" s="45"/>
      <c r="H237" s="45"/>
      <c r="K237" s="45"/>
    </row>
    <row r="238" spans="1:11" x14ac:dyDescent="0.25">
      <c r="A238" s="8">
        <v>44725</v>
      </c>
      <c r="B238" s="15">
        <v>688</v>
      </c>
      <c r="C238" s="15">
        <v>441.7</v>
      </c>
      <c r="E238" s="45"/>
      <c r="H238" s="45"/>
      <c r="K238" s="45"/>
    </row>
    <row r="239" spans="1:11" x14ac:dyDescent="0.25">
      <c r="A239" s="8">
        <v>44726</v>
      </c>
      <c r="B239" s="15">
        <v>685.5</v>
      </c>
      <c r="C239" s="15">
        <v>445.95</v>
      </c>
      <c r="E239" s="45"/>
      <c r="H239" s="45"/>
      <c r="K239" s="45"/>
    </row>
    <row r="240" spans="1:11" x14ac:dyDescent="0.25">
      <c r="A240" s="8">
        <v>44727</v>
      </c>
      <c r="B240" s="15">
        <v>687.25</v>
      </c>
      <c r="C240" s="15">
        <v>454.8</v>
      </c>
      <c r="E240" s="45"/>
      <c r="H240" s="45"/>
      <c r="K240" s="45"/>
    </row>
    <row r="241" spans="1:11" x14ac:dyDescent="0.25">
      <c r="A241" s="8">
        <v>44728</v>
      </c>
      <c r="B241" s="15">
        <v>678.5</v>
      </c>
      <c r="C241" s="15">
        <v>437.7</v>
      </c>
      <c r="E241" s="45"/>
      <c r="H241" s="45"/>
      <c r="K241" s="45"/>
    </row>
    <row r="242" spans="1:11" x14ac:dyDescent="0.25">
      <c r="A242" s="8">
        <v>44729</v>
      </c>
      <c r="B242" s="15">
        <v>686.85</v>
      </c>
      <c r="C242" s="15">
        <v>440.05</v>
      </c>
      <c r="E242" s="45"/>
      <c r="H242" s="45"/>
      <c r="K242" s="45"/>
    </row>
    <row r="243" spans="1:11" x14ac:dyDescent="0.25">
      <c r="A243" s="8">
        <v>44732</v>
      </c>
      <c r="B243" s="15">
        <v>685.95</v>
      </c>
      <c r="C243" s="15">
        <v>428.75</v>
      </c>
      <c r="E243" s="45"/>
      <c r="H243" s="45"/>
      <c r="K243" s="45"/>
    </row>
    <row r="244" spans="1:11" x14ac:dyDescent="0.25">
      <c r="A244" s="8">
        <v>44733</v>
      </c>
      <c r="B244" s="15">
        <v>696.1</v>
      </c>
      <c r="C244" s="15">
        <v>437.1</v>
      </c>
      <c r="E244" s="45"/>
      <c r="H244" s="45"/>
      <c r="K244" s="45"/>
    </row>
    <row r="245" spans="1:11" x14ac:dyDescent="0.25">
      <c r="A245" s="8">
        <v>44734</v>
      </c>
      <c r="B245" s="15">
        <v>686.6</v>
      </c>
      <c r="C245" s="15">
        <v>423.55</v>
      </c>
      <c r="E245" s="45"/>
      <c r="H245" s="45"/>
      <c r="K245" s="45"/>
    </row>
    <row r="246" spans="1:11" x14ac:dyDescent="0.25">
      <c r="A246" s="8">
        <v>44735</v>
      </c>
      <c r="B246" s="15">
        <v>699.15</v>
      </c>
      <c r="C246" s="15">
        <v>434.55</v>
      </c>
      <c r="E246" s="45"/>
      <c r="H246" s="45"/>
      <c r="K246" s="45"/>
    </row>
    <row r="247" spans="1:11" x14ac:dyDescent="0.25">
      <c r="A247" s="8">
        <v>44736</v>
      </c>
      <c r="B247" s="15">
        <v>713.45</v>
      </c>
      <c r="C247" s="15">
        <v>436.05</v>
      </c>
      <c r="E247" s="45"/>
      <c r="H247" s="45"/>
      <c r="K247" s="45"/>
    </row>
    <row r="248" spans="1:11" x14ac:dyDescent="0.25">
      <c r="A248" s="8">
        <v>44739</v>
      </c>
      <c r="B248" s="15">
        <v>717.35</v>
      </c>
      <c r="C248" s="15">
        <v>434.85</v>
      </c>
      <c r="E248" s="45"/>
      <c r="H248" s="45"/>
      <c r="K248" s="45"/>
    </row>
    <row r="249" spans="1:11" x14ac:dyDescent="0.25">
      <c r="A249" s="8">
        <v>44740</v>
      </c>
      <c r="B249" s="15">
        <v>710.3</v>
      </c>
      <c r="C249" s="15">
        <v>428.75</v>
      </c>
      <c r="E249" s="45"/>
      <c r="H249" s="45"/>
      <c r="K249" s="45"/>
    </row>
    <row r="250" spans="1:11" x14ac:dyDescent="0.25">
      <c r="A250" s="8">
        <v>44741</v>
      </c>
      <c r="B250" s="15">
        <v>702.75</v>
      </c>
      <c r="C250" s="15">
        <v>436.5</v>
      </c>
      <c r="E250" s="45"/>
      <c r="H250" s="45"/>
      <c r="K250" s="45"/>
    </row>
    <row r="251" spans="1:11" x14ac:dyDescent="0.25">
      <c r="A251" s="8">
        <v>44742</v>
      </c>
      <c r="B251" s="15">
        <v>707.2</v>
      </c>
      <c r="C251" s="15">
        <v>428.9</v>
      </c>
      <c r="E251" s="45"/>
      <c r="H251" s="45"/>
      <c r="K251" s="45"/>
    </row>
    <row r="252" spans="1:11" x14ac:dyDescent="0.25">
      <c r="A252" s="8">
        <v>44743</v>
      </c>
      <c r="B252" s="15">
        <v>703.9</v>
      </c>
      <c r="C252" s="15">
        <v>413.55</v>
      </c>
      <c r="E252" s="45"/>
      <c r="H252" s="45"/>
      <c r="K252" s="45"/>
    </row>
    <row r="253" spans="1:11" x14ac:dyDescent="0.25">
      <c r="A253" s="8">
        <v>44746</v>
      </c>
      <c r="B253" s="15">
        <v>720.1</v>
      </c>
      <c r="C253" s="15">
        <v>434.9</v>
      </c>
      <c r="E253" s="45"/>
      <c r="H253" s="45"/>
      <c r="K253" s="45"/>
    </row>
    <row r="254" spans="1:11" x14ac:dyDescent="0.25">
      <c r="A254" s="8">
        <v>44747</v>
      </c>
      <c r="B254" s="15">
        <v>719.45</v>
      </c>
      <c r="C254" s="15">
        <v>423.6</v>
      </c>
      <c r="E254" s="45"/>
      <c r="H254" s="45"/>
      <c r="K254" s="45"/>
    </row>
    <row r="255" spans="1:11" x14ac:dyDescent="0.25">
      <c r="A255" s="8">
        <v>44748</v>
      </c>
      <c r="B255" s="15">
        <v>725.95</v>
      </c>
      <c r="C255" s="15">
        <v>418.2</v>
      </c>
      <c r="E255" s="45"/>
      <c r="H255" s="45"/>
      <c r="K255" s="45"/>
    </row>
    <row r="256" spans="1:11" x14ac:dyDescent="0.25">
      <c r="A256" s="8">
        <v>44749</v>
      </c>
      <c r="B256" s="15">
        <v>742</v>
      </c>
      <c r="C256" s="15">
        <v>426.5</v>
      </c>
      <c r="E256" s="45"/>
      <c r="H256" s="45"/>
      <c r="K256" s="45"/>
    </row>
    <row r="257" spans="1:11" x14ac:dyDescent="0.25">
      <c r="A257" s="8">
        <v>44750</v>
      </c>
      <c r="B257" s="15">
        <v>755.7</v>
      </c>
      <c r="C257" s="15">
        <v>432.2</v>
      </c>
      <c r="E257" s="45"/>
      <c r="H257" s="45"/>
      <c r="K257" s="45"/>
    </row>
    <row r="258" spans="1:11" x14ac:dyDescent="0.25">
      <c r="A258" s="8">
        <v>44753</v>
      </c>
      <c r="B258" s="15">
        <v>769.5</v>
      </c>
      <c r="C258" s="15">
        <v>432.65</v>
      </c>
      <c r="E258" s="45"/>
      <c r="H258" s="45"/>
      <c r="K258" s="45"/>
    </row>
    <row r="259" spans="1:11" x14ac:dyDescent="0.25">
      <c r="A259" s="8">
        <v>44754</v>
      </c>
      <c r="B259" s="15">
        <v>759.9</v>
      </c>
      <c r="C259" s="15">
        <v>441.35</v>
      </c>
      <c r="E259" s="45"/>
      <c r="H259" s="45"/>
      <c r="K259" s="45"/>
    </row>
    <row r="260" spans="1:11" x14ac:dyDescent="0.25">
      <c r="A260" s="8">
        <v>44755</v>
      </c>
      <c r="B260" s="15">
        <v>753.2</v>
      </c>
      <c r="C260" s="15">
        <v>451.1</v>
      </c>
      <c r="E260" s="45"/>
      <c r="H260" s="45"/>
      <c r="K260" s="45"/>
    </row>
    <row r="261" spans="1:11" x14ac:dyDescent="0.25">
      <c r="A261" s="8">
        <v>44756</v>
      </c>
      <c r="B261" s="15">
        <v>752.4</v>
      </c>
      <c r="C261" s="15">
        <v>444.35</v>
      </c>
      <c r="E261" s="45"/>
      <c r="H261" s="45"/>
      <c r="K261" s="45"/>
    </row>
    <row r="262" spans="1:11" x14ac:dyDescent="0.25">
      <c r="A262" s="8">
        <v>44757</v>
      </c>
      <c r="B262" s="15">
        <v>751.2</v>
      </c>
      <c r="C262" s="15">
        <v>446</v>
      </c>
      <c r="E262" s="45"/>
      <c r="H262" s="45"/>
      <c r="K262" s="45"/>
    </row>
    <row r="263" spans="1:11" x14ac:dyDescent="0.25">
      <c r="A263" s="8">
        <v>44760</v>
      </c>
      <c r="B263" s="15">
        <v>772</v>
      </c>
      <c r="C263" s="15">
        <v>454.55</v>
      </c>
      <c r="E263" s="45"/>
      <c r="H263" s="45"/>
      <c r="K263" s="45"/>
    </row>
    <row r="264" spans="1:11" x14ac:dyDescent="0.25">
      <c r="A264" s="8">
        <v>44761</v>
      </c>
      <c r="B264" s="15">
        <v>780.65</v>
      </c>
      <c r="C264" s="15">
        <v>456.65</v>
      </c>
      <c r="E264" s="45"/>
      <c r="H264" s="45"/>
      <c r="K264" s="45"/>
    </row>
    <row r="265" spans="1:11" x14ac:dyDescent="0.25">
      <c r="A265" s="8">
        <v>44762</v>
      </c>
      <c r="B265" s="15">
        <v>783.1</v>
      </c>
      <c r="C265" s="15">
        <v>462.9</v>
      </c>
      <c r="E265" s="45"/>
      <c r="H265" s="45"/>
      <c r="K265" s="45"/>
    </row>
    <row r="266" spans="1:11" x14ac:dyDescent="0.25">
      <c r="A266" s="8">
        <v>44763</v>
      </c>
      <c r="B266" s="15">
        <v>786</v>
      </c>
      <c r="C266" s="15">
        <v>466.65</v>
      </c>
      <c r="E266" s="45"/>
      <c r="H266" s="45"/>
      <c r="K266" s="45"/>
    </row>
    <row r="267" spans="1:11" x14ac:dyDescent="0.25">
      <c r="A267" s="8">
        <v>44764</v>
      </c>
      <c r="B267" s="15">
        <v>800.05</v>
      </c>
      <c r="C267" s="15">
        <v>474.55</v>
      </c>
      <c r="E267" s="45"/>
      <c r="H267" s="45"/>
      <c r="K267" s="45"/>
    </row>
    <row r="268" spans="1:11" x14ac:dyDescent="0.25">
      <c r="A268" s="8">
        <v>44767</v>
      </c>
      <c r="B268" s="15">
        <v>800.9</v>
      </c>
      <c r="C268" s="15">
        <v>465.7</v>
      </c>
      <c r="E268" s="45"/>
      <c r="H268" s="45"/>
      <c r="K268" s="45"/>
    </row>
    <row r="269" spans="1:11" x14ac:dyDescent="0.25">
      <c r="A269" s="8">
        <v>44768</v>
      </c>
      <c r="B269" s="15">
        <v>796.3</v>
      </c>
      <c r="C269" s="15">
        <v>461.35</v>
      </c>
      <c r="E269" s="45"/>
      <c r="H269" s="45"/>
      <c r="K269" s="45"/>
    </row>
    <row r="270" spans="1:11" x14ac:dyDescent="0.25">
      <c r="A270" s="8">
        <v>44769</v>
      </c>
      <c r="B270" s="15">
        <v>800.5</v>
      </c>
      <c r="C270" s="15">
        <v>466.65</v>
      </c>
      <c r="E270" s="45"/>
      <c r="H270" s="45"/>
      <c r="K270" s="45"/>
    </row>
    <row r="271" spans="1:11" x14ac:dyDescent="0.25">
      <c r="A271" s="8">
        <v>44770</v>
      </c>
      <c r="B271" s="15">
        <v>814.6</v>
      </c>
      <c r="C271" s="15">
        <v>473.1</v>
      </c>
      <c r="E271" s="45"/>
      <c r="H271" s="45"/>
      <c r="K271" s="45"/>
    </row>
    <row r="272" spans="1:11" x14ac:dyDescent="0.25">
      <c r="A272" s="8">
        <v>44771</v>
      </c>
      <c r="B272" s="15">
        <v>818.6</v>
      </c>
      <c r="C272" s="15">
        <v>480.55</v>
      </c>
      <c r="E272" s="45"/>
      <c r="H272" s="45"/>
      <c r="K272" s="45"/>
    </row>
    <row r="273" spans="1:11" x14ac:dyDescent="0.25">
      <c r="A273" s="8">
        <v>44774</v>
      </c>
      <c r="B273" s="15">
        <v>823.4</v>
      </c>
      <c r="C273" s="15">
        <v>492.1</v>
      </c>
      <c r="E273" s="45"/>
      <c r="H273" s="45"/>
      <c r="K273" s="45"/>
    </row>
    <row r="274" spans="1:11" x14ac:dyDescent="0.25">
      <c r="A274" s="8">
        <v>44775</v>
      </c>
      <c r="B274" s="15">
        <v>817.75</v>
      </c>
      <c r="C274" s="15">
        <v>487.15</v>
      </c>
      <c r="E274" s="45"/>
      <c r="H274" s="45"/>
      <c r="K274" s="45"/>
    </row>
    <row r="275" spans="1:11" x14ac:dyDescent="0.25">
      <c r="A275" s="8">
        <v>44776</v>
      </c>
      <c r="B275" s="15">
        <v>824.8</v>
      </c>
      <c r="C275" s="15">
        <v>477.5</v>
      </c>
      <c r="E275" s="45"/>
      <c r="H275" s="45"/>
      <c r="K275" s="45"/>
    </row>
    <row r="276" spans="1:11" x14ac:dyDescent="0.25">
      <c r="A276" s="8">
        <v>44777</v>
      </c>
      <c r="B276" s="15">
        <v>820.25</v>
      </c>
      <c r="C276" s="15">
        <v>497.7</v>
      </c>
      <c r="E276" s="45"/>
      <c r="H276" s="45"/>
      <c r="K276" s="45"/>
    </row>
    <row r="277" spans="1:11" x14ac:dyDescent="0.25">
      <c r="A277" s="8">
        <v>44778</v>
      </c>
      <c r="B277" s="15">
        <v>838.2</v>
      </c>
      <c r="C277" s="15">
        <v>488.8</v>
      </c>
      <c r="E277" s="45"/>
      <c r="H277" s="45"/>
      <c r="K277" s="45"/>
    </row>
    <row r="278" spans="1:11" x14ac:dyDescent="0.25">
      <c r="A278" s="8">
        <v>44781</v>
      </c>
      <c r="B278" s="15">
        <v>836.95</v>
      </c>
      <c r="C278" s="15">
        <v>485.25</v>
      </c>
      <c r="E278" s="45"/>
      <c r="H278" s="45"/>
      <c r="K278" s="45"/>
    </row>
    <row r="279" spans="1:11" x14ac:dyDescent="0.25">
      <c r="A279" s="8">
        <v>44783</v>
      </c>
      <c r="B279" s="15">
        <v>848.75</v>
      </c>
      <c r="C279" s="15">
        <v>489</v>
      </c>
      <c r="E279" s="45"/>
      <c r="H279" s="45"/>
      <c r="K279" s="45"/>
    </row>
    <row r="280" spans="1:11" x14ac:dyDescent="0.25">
      <c r="A280" s="8">
        <v>44784</v>
      </c>
      <c r="B280" s="15">
        <v>859.7</v>
      </c>
      <c r="C280" s="15">
        <v>472.35</v>
      </c>
      <c r="E280" s="45"/>
      <c r="H280" s="45"/>
      <c r="K280" s="45"/>
    </row>
    <row r="281" spans="1:11" x14ac:dyDescent="0.25">
      <c r="A281" s="8">
        <v>44785</v>
      </c>
      <c r="B281" s="15">
        <v>874.4</v>
      </c>
      <c r="C281" s="15">
        <v>477.3</v>
      </c>
      <c r="E281" s="45"/>
      <c r="H281" s="45"/>
      <c r="K281" s="45"/>
    </row>
    <row r="282" spans="1:11" x14ac:dyDescent="0.25">
      <c r="A282" s="8">
        <v>44789</v>
      </c>
      <c r="B282" s="15">
        <v>879.25</v>
      </c>
      <c r="C282" s="15">
        <v>491</v>
      </c>
      <c r="E282" s="45"/>
      <c r="H282" s="45"/>
      <c r="K282" s="45"/>
    </row>
    <row r="283" spans="1:11" x14ac:dyDescent="0.25">
      <c r="A283" s="8">
        <v>44790</v>
      </c>
      <c r="B283" s="15">
        <v>883.25</v>
      </c>
      <c r="C283" s="15">
        <v>532.35</v>
      </c>
      <c r="E283" s="45"/>
      <c r="H283" s="45"/>
      <c r="K283" s="45"/>
    </row>
    <row r="284" spans="1:11" x14ac:dyDescent="0.25">
      <c r="A284" s="8">
        <v>44791</v>
      </c>
      <c r="B284" s="15">
        <v>885.1</v>
      </c>
      <c r="C284" s="15">
        <v>530</v>
      </c>
      <c r="E284" s="45"/>
      <c r="H284" s="45"/>
      <c r="K284" s="45"/>
    </row>
    <row r="285" spans="1:11" x14ac:dyDescent="0.25">
      <c r="A285" s="8">
        <v>44792</v>
      </c>
      <c r="B285" s="15">
        <v>870.4</v>
      </c>
      <c r="C285" s="15">
        <v>519.20000000000005</v>
      </c>
      <c r="E285" s="45"/>
      <c r="H285" s="45"/>
      <c r="K285" s="45"/>
    </row>
    <row r="286" spans="1:11" x14ac:dyDescent="0.25">
      <c r="A286" s="8">
        <v>44795</v>
      </c>
      <c r="B286" s="15">
        <v>852.25</v>
      </c>
      <c r="C286" s="15">
        <v>500.9</v>
      </c>
      <c r="E286" s="45"/>
      <c r="H286" s="45"/>
      <c r="K286" s="45"/>
    </row>
    <row r="287" spans="1:11" x14ac:dyDescent="0.25">
      <c r="A287" s="8">
        <v>44796</v>
      </c>
      <c r="B287" s="15">
        <v>863.9</v>
      </c>
      <c r="C287" s="15">
        <v>502.65</v>
      </c>
      <c r="E287" s="45"/>
      <c r="H287" s="45"/>
      <c r="K287" s="45"/>
    </row>
    <row r="288" spans="1:11" x14ac:dyDescent="0.25">
      <c r="A288" s="8">
        <v>44797</v>
      </c>
      <c r="B288" s="15">
        <v>873.3</v>
      </c>
      <c r="C288" s="15">
        <v>507</v>
      </c>
      <c r="E288" s="45"/>
      <c r="H288" s="45"/>
      <c r="K288" s="45"/>
    </row>
    <row r="289" spans="1:11" x14ac:dyDescent="0.25">
      <c r="A289" s="8">
        <v>44798</v>
      </c>
      <c r="B289" s="15">
        <v>872.35</v>
      </c>
      <c r="C289" s="15">
        <v>503.35</v>
      </c>
      <c r="E289" s="45"/>
      <c r="H289" s="45"/>
      <c r="K289" s="45"/>
    </row>
    <row r="290" spans="1:11" x14ac:dyDescent="0.25">
      <c r="A290" s="8">
        <v>44799</v>
      </c>
      <c r="B290" s="15">
        <v>870.85</v>
      </c>
      <c r="C290" s="15">
        <v>500.95</v>
      </c>
      <c r="E290" s="45"/>
      <c r="H290" s="45"/>
      <c r="K290" s="45"/>
    </row>
    <row r="291" spans="1:11" x14ac:dyDescent="0.25">
      <c r="A291" s="8">
        <v>44802</v>
      </c>
      <c r="B291" s="15">
        <v>855.85</v>
      </c>
      <c r="C291" s="15">
        <v>488.65</v>
      </c>
      <c r="E291" s="45"/>
      <c r="H291" s="45"/>
      <c r="K291" s="45"/>
    </row>
    <row r="292" spans="1:11" x14ac:dyDescent="0.25">
      <c r="A292" s="8">
        <v>44803</v>
      </c>
      <c r="B292" s="15">
        <v>887.3</v>
      </c>
      <c r="C292" s="15">
        <v>501.55</v>
      </c>
      <c r="E292" s="45"/>
      <c r="H292" s="45"/>
      <c r="K292" s="45"/>
    </row>
    <row r="293" spans="1:11" x14ac:dyDescent="0.25">
      <c r="A293" s="8">
        <v>44805</v>
      </c>
      <c r="B293" s="15">
        <v>874.35</v>
      </c>
      <c r="C293" s="15">
        <v>500.35</v>
      </c>
      <c r="E293" s="45"/>
      <c r="H293" s="45"/>
      <c r="K293" s="45"/>
    </row>
    <row r="294" spans="1:11" x14ac:dyDescent="0.25">
      <c r="A294" s="8">
        <v>44806</v>
      </c>
      <c r="B294" s="15">
        <v>872.4</v>
      </c>
      <c r="C294" s="15">
        <v>499.45</v>
      </c>
      <c r="E294" s="45"/>
      <c r="H294" s="45"/>
      <c r="K294" s="45"/>
    </row>
    <row r="295" spans="1:11" x14ac:dyDescent="0.25">
      <c r="A295" s="8">
        <v>44809</v>
      </c>
      <c r="B295" s="15">
        <v>882.45</v>
      </c>
      <c r="C295" s="15">
        <v>499.3</v>
      </c>
      <c r="E295" s="45"/>
      <c r="H295" s="45"/>
      <c r="K295" s="45"/>
    </row>
    <row r="296" spans="1:11" x14ac:dyDescent="0.25">
      <c r="A296" s="8">
        <v>44810</v>
      </c>
      <c r="B296" s="15">
        <v>883.65</v>
      </c>
      <c r="C296" s="15">
        <v>499.15</v>
      </c>
      <c r="E296" s="45"/>
      <c r="H296" s="45"/>
      <c r="K296" s="45"/>
    </row>
    <row r="297" spans="1:11" x14ac:dyDescent="0.25">
      <c r="A297" s="8">
        <v>44811</v>
      </c>
      <c r="B297" s="15">
        <v>876.2</v>
      </c>
      <c r="C297" s="15">
        <v>497.05</v>
      </c>
      <c r="E297" s="45"/>
      <c r="H297" s="45"/>
      <c r="K297" s="45"/>
    </row>
    <row r="298" spans="1:11" x14ac:dyDescent="0.25">
      <c r="A298" s="8">
        <v>44812</v>
      </c>
      <c r="B298" s="15">
        <v>898.8</v>
      </c>
      <c r="C298" s="15">
        <v>514.25</v>
      </c>
      <c r="E298" s="45"/>
      <c r="H298" s="45"/>
      <c r="K298" s="45"/>
    </row>
    <row r="299" spans="1:11" x14ac:dyDescent="0.25">
      <c r="A299" s="8">
        <v>44813</v>
      </c>
      <c r="B299" s="15">
        <v>901.25</v>
      </c>
      <c r="C299" s="15">
        <v>519.1</v>
      </c>
      <c r="E299" s="45"/>
      <c r="H299" s="45"/>
      <c r="K299" s="45"/>
    </row>
    <row r="300" spans="1:11" x14ac:dyDescent="0.25">
      <c r="A300" s="8">
        <v>44816</v>
      </c>
      <c r="B300" s="15">
        <v>907.2</v>
      </c>
      <c r="C300" s="15">
        <v>524.6</v>
      </c>
      <c r="E300" s="45"/>
      <c r="H300" s="45"/>
      <c r="K300" s="45"/>
    </row>
    <row r="301" spans="1:11" x14ac:dyDescent="0.25">
      <c r="A301" s="8">
        <v>44817</v>
      </c>
      <c r="B301" s="15">
        <v>910</v>
      </c>
      <c r="C301" s="15">
        <v>525.35</v>
      </c>
      <c r="E301" s="45"/>
      <c r="H301" s="45"/>
      <c r="K301" s="45"/>
    </row>
    <row r="302" spans="1:11" x14ac:dyDescent="0.25">
      <c r="A302" s="8">
        <v>44818</v>
      </c>
      <c r="B302" s="15">
        <v>918.1</v>
      </c>
      <c r="C302" s="15">
        <v>521.9</v>
      </c>
      <c r="E302" s="45"/>
      <c r="H302" s="45"/>
      <c r="K302" s="45"/>
    </row>
    <row r="303" spans="1:11" x14ac:dyDescent="0.25">
      <c r="A303" s="8">
        <v>44819</v>
      </c>
      <c r="B303" s="15">
        <v>917.6</v>
      </c>
      <c r="C303" s="15">
        <v>531.20000000000005</v>
      </c>
      <c r="E303" s="45"/>
      <c r="H303" s="45"/>
      <c r="K303" s="45"/>
    </row>
    <row r="304" spans="1:11" x14ac:dyDescent="0.25">
      <c r="A304" s="8">
        <v>44820</v>
      </c>
      <c r="B304" s="15">
        <v>909.1</v>
      </c>
      <c r="C304" s="15">
        <v>528.6</v>
      </c>
      <c r="E304" s="45"/>
      <c r="H304" s="45"/>
      <c r="K304" s="45"/>
    </row>
    <row r="305" spans="1:11" x14ac:dyDescent="0.25">
      <c r="A305" s="8">
        <v>44823</v>
      </c>
      <c r="B305" s="15">
        <v>899.2</v>
      </c>
      <c r="C305" s="15">
        <v>548.65</v>
      </c>
      <c r="E305" s="45"/>
      <c r="H305" s="45"/>
      <c r="K305" s="45"/>
    </row>
    <row r="306" spans="1:11" x14ac:dyDescent="0.25">
      <c r="A306" s="8">
        <v>44824</v>
      </c>
      <c r="B306" s="15">
        <v>916.75</v>
      </c>
      <c r="C306" s="15">
        <v>550.54999999999995</v>
      </c>
      <c r="E306" s="45"/>
      <c r="H306" s="45"/>
      <c r="K306" s="45"/>
    </row>
    <row r="307" spans="1:11" x14ac:dyDescent="0.25">
      <c r="A307" s="8">
        <v>44825</v>
      </c>
      <c r="B307" s="15">
        <v>915.25</v>
      </c>
      <c r="C307" s="15">
        <v>538.95000000000005</v>
      </c>
      <c r="E307" s="45"/>
      <c r="H307" s="45"/>
      <c r="K307" s="45"/>
    </row>
    <row r="308" spans="1:11" x14ac:dyDescent="0.25">
      <c r="A308" s="8">
        <v>44826</v>
      </c>
      <c r="B308" s="15">
        <v>903.4</v>
      </c>
      <c r="C308" s="15">
        <v>533.45000000000005</v>
      </c>
      <c r="E308" s="45"/>
      <c r="H308" s="45"/>
      <c r="K308" s="45"/>
    </row>
    <row r="309" spans="1:11" x14ac:dyDescent="0.25">
      <c r="A309" s="8">
        <v>44827</v>
      </c>
      <c r="B309" s="15">
        <v>882.25</v>
      </c>
      <c r="C309" s="15">
        <v>530.85</v>
      </c>
      <c r="E309" s="45"/>
      <c r="H309" s="45"/>
      <c r="K309" s="45"/>
    </row>
    <row r="310" spans="1:11" x14ac:dyDescent="0.25">
      <c r="A310" s="8">
        <v>44830</v>
      </c>
      <c r="B310" s="15">
        <v>861.05</v>
      </c>
      <c r="C310" s="15">
        <v>515.5</v>
      </c>
      <c r="E310" s="45"/>
      <c r="H310" s="45"/>
      <c r="K310" s="45"/>
    </row>
    <row r="311" spans="1:11" x14ac:dyDescent="0.25">
      <c r="A311" s="8">
        <v>44831</v>
      </c>
      <c r="B311" s="15">
        <v>852.55</v>
      </c>
      <c r="C311" s="15">
        <v>513.04999999999995</v>
      </c>
      <c r="E311" s="45"/>
      <c r="H311" s="45"/>
      <c r="K311" s="45"/>
    </row>
    <row r="312" spans="1:11" x14ac:dyDescent="0.25">
      <c r="A312" s="8">
        <v>44832</v>
      </c>
      <c r="B312" s="15">
        <v>849.5</v>
      </c>
      <c r="C312" s="15">
        <v>511.9</v>
      </c>
      <c r="E312" s="45"/>
      <c r="H312" s="45"/>
      <c r="K312" s="45"/>
    </row>
    <row r="313" spans="1:11" x14ac:dyDescent="0.25">
      <c r="A313" s="8">
        <v>44833</v>
      </c>
      <c r="B313" s="15">
        <v>843.9</v>
      </c>
      <c r="C313" s="15">
        <v>506.2</v>
      </c>
      <c r="E313" s="45"/>
      <c r="H313" s="45"/>
      <c r="K313" s="45"/>
    </row>
    <row r="314" spans="1:11" x14ac:dyDescent="0.25">
      <c r="A314" s="8">
        <v>44834</v>
      </c>
      <c r="B314" s="15">
        <v>862</v>
      </c>
      <c r="C314" s="15">
        <v>523.15</v>
      </c>
      <c r="E314" s="45"/>
      <c r="H314" s="45"/>
      <c r="K314" s="45"/>
    </row>
    <row r="315" spans="1:11" x14ac:dyDescent="0.25">
      <c r="A315" s="8">
        <v>44837</v>
      </c>
      <c r="B315" s="15">
        <v>848.35</v>
      </c>
      <c r="C315" s="15">
        <v>511.75</v>
      </c>
      <c r="E315" s="45"/>
      <c r="H315" s="45"/>
      <c r="K315" s="45"/>
    </row>
    <row r="316" spans="1:11" x14ac:dyDescent="0.25">
      <c r="A316" s="8">
        <v>44838</v>
      </c>
      <c r="B316" s="15">
        <v>867.65</v>
      </c>
      <c r="C316" s="15">
        <v>516.25</v>
      </c>
      <c r="E316" s="45"/>
      <c r="H316" s="45"/>
      <c r="K316" s="45"/>
    </row>
    <row r="317" spans="1:11" x14ac:dyDescent="0.25">
      <c r="A317" s="8">
        <v>44840</v>
      </c>
      <c r="B317" s="15">
        <v>885.45</v>
      </c>
      <c r="C317" s="15">
        <v>517.20000000000005</v>
      </c>
      <c r="E317" s="45"/>
      <c r="H317" s="45"/>
      <c r="K317" s="45"/>
    </row>
    <row r="318" spans="1:11" x14ac:dyDescent="0.25">
      <c r="A318" s="8">
        <v>44841</v>
      </c>
      <c r="B318" s="15">
        <v>882.55</v>
      </c>
      <c r="C318" s="15">
        <v>518.15</v>
      </c>
      <c r="E318" s="45"/>
      <c r="H318" s="45"/>
      <c r="K318" s="45"/>
    </row>
    <row r="319" spans="1:11" x14ac:dyDescent="0.25">
      <c r="A319" s="8">
        <v>44844</v>
      </c>
      <c r="B319" s="15">
        <v>881.75</v>
      </c>
      <c r="C319" s="15">
        <v>510.85</v>
      </c>
      <c r="E319" s="45"/>
      <c r="H319" s="45"/>
      <c r="K319" s="45"/>
    </row>
    <row r="320" spans="1:11" x14ac:dyDescent="0.25">
      <c r="A320" s="8">
        <v>44845</v>
      </c>
      <c r="B320" s="15">
        <v>870.6</v>
      </c>
      <c r="C320" s="15">
        <v>502.95</v>
      </c>
      <c r="E320" s="45"/>
      <c r="H320" s="45"/>
      <c r="K320" s="45"/>
    </row>
    <row r="321" spans="1:11" x14ac:dyDescent="0.25">
      <c r="A321" s="8">
        <v>44846</v>
      </c>
      <c r="B321" s="15">
        <v>868.35</v>
      </c>
      <c r="C321" s="15">
        <v>497.65</v>
      </c>
      <c r="E321" s="45"/>
      <c r="H321" s="45"/>
      <c r="K321" s="45"/>
    </row>
    <row r="322" spans="1:11" x14ac:dyDescent="0.25">
      <c r="A322" s="8">
        <v>44847</v>
      </c>
      <c r="B322" s="15">
        <v>853.6</v>
      </c>
      <c r="C322" s="15">
        <v>504.05</v>
      </c>
      <c r="E322" s="45"/>
      <c r="H322" s="45"/>
      <c r="K322" s="45"/>
    </row>
    <row r="323" spans="1:11" x14ac:dyDescent="0.25">
      <c r="A323" s="8">
        <v>44848</v>
      </c>
      <c r="B323" s="15">
        <v>870.25</v>
      </c>
      <c r="C323" s="15">
        <v>507.95</v>
      </c>
      <c r="E323" s="45"/>
      <c r="H323" s="45"/>
      <c r="K323" s="45"/>
    </row>
    <row r="324" spans="1:11" x14ac:dyDescent="0.25">
      <c r="A324" s="8">
        <v>44851</v>
      </c>
      <c r="B324" s="15">
        <v>885.2</v>
      </c>
      <c r="C324" s="15">
        <v>520.6</v>
      </c>
      <c r="E324" s="45"/>
      <c r="H324" s="45"/>
      <c r="K324" s="45"/>
    </row>
    <row r="325" spans="1:11" x14ac:dyDescent="0.25">
      <c r="A325" s="8">
        <v>44852</v>
      </c>
      <c r="B325" s="15">
        <v>896.9</v>
      </c>
      <c r="C325" s="15">
        <v>522.35</v>
      </c>
      <c r="E325" s="45"/>
      <c r="H325" s="45"/>
      <c r="K325" s="45"/>
    </row>
    <row r="326" spans="1:11" x14ac:dyDescent="0.25">
      <c r="A326" s="8">
        <v>44853</v>
      </c>
      <c r="B326" s="15">
        <v>892.1</v>
      </c>
      <c r="C326" s="15">
        <v>511.25</v>
      </c>
      <c r="E326" s="45"/>
      <c r="H326" s="45"/>
      <c r="K326" s="45"/>
    </row>
    <row r="327" spans="1:11" x14ac:dyDescent="0.25">
      <c r="A327" s="8">
        <v>44854</v>
      </c>
      <c r="B327" s="15">
        <v>888.65</v>
      </c>
      <c r="C327" s="15">
        <v>506.7</v>
      </c>
      <c r="E327" s="45"/>
      <c r="H327" s="45"/>
      <c r="K327" s="45"/>
    </row>
    <row r="328" spans="1:11" x14ac:dyDescent="0.25">
      <c r="A328" s="8">
        <v>44855</v>
      </c>
      <c r="B328" s="15">
        <v>907.15</v>
      </c>
      <c r="C328" s="15">
        <v>502.1</v>
      </c>
      <c r="E328" s="45"/>
      <c r="H328" s="45"/>
      <c r="K328" s="45"/>
    </row>
    <row r="329" spans="1:11" x14ac:dyDescent="0.25">
      <c r="A329" s="8">
        <v>44858</v>
      </c>
      <c r="B329" s="15">
        <v>926.3</v>
      </c>
      <c r="C329" s="15">
        <v>509.95</v>
      </c>
      <c r="E329" s="45"/>
      <c r="H329" s="45"/>
      <c r="K329" s="45"/>
    </row>
    <row r="330" spans="1:11" x14ac:dyDescent="0.25">
      <c r="A330" s="8">
        <v>44859</v>
      </c>
      <c r="B330" s="15">
        <v>925.05</v>
      </c>
      <c r="C330" s="15">
        <v>509.6</v>
      </c>
      <c r="E330" s="45"/>
      <c r="H330" s="45"/>
      <c r="K330" s="45"/>
    </row>
    <row r="331" spans="1:11" x14ac:dyDescent="0.25">
      <c r="A331" s="8">
        <v>44861</v>
      </c>
      <c r="B331" s="15">
        <v>924.4</v>
      </c>
      <c r="C331" s="15">
        <v>517.1</v>
      </c>
      <c r="E331" s="45"/>
      <c r="H331" s="45"/>
      <c r="K331" s="45"/>
    </row>
    <row r="332" spans="1:11" x14ac:dyDescent="0.25">
      <c r="A332" s="8">
        <v>44862</v>
      </c>
      <c r="B332" s="15">
        <v>907.85</v>
      </c>
      <c r="C332" s="15">
        <v>514.54999999999995</v>
      </c>
      <c r="E332" s="45"/>
      <c r="H332" s="45"/>
      <c r="K332" s="45"/>
    </row>
    <row r="333" spans="1:11" x14ac:dyDescent="0.25">
      <c r="A333" s="8">
        <v>44865</v>
      </c>
      <c r="B333" s="15">
        <v>908.7</v>
      </c>
      <c r="C333" s="15">
        <v>516.35</v>
      </c>
      <c r="E333" s="45"/>
      <c r="H333" s="45"/>
      <c r="K333" s="45"/>
    </row>
    <row r="334" spans="1:11" x14ac:dyDescent="0.25">
      <c r="A334" s="8">
        <v>44866</v>
      </c>
      <c r="B334" s="15">
        <v>908.6</v>
      </c>
      <c r="C334" s="15">
        <v>514.15</v>
      </c>
      <c r="E334" s="45"/>
      <c r="H334" s="45"/>
      <c r="K334" s="45"/>
    </row>
    <row r="335" spans="1:11" x14ac:dyDescent="0.25">
      <c r="A335" s="8">
        <v>44867</v>
      </c>
      <c r="B335" s="15">
        <v>904.7</v>
      </c>
      <c r="C335" s="15">
        <v>515.1</v>
      </c>
      <c r="E335" s="45"/>
      <c r="H335" s="45"/>
      <c r="K335" s="45"/>
    </row>
    <row r="336" spans="1:11" x14ac:dyDescent="0.25">
      <c r="A336" s="8">
        <v>44868</v>
      </c>
      <c r="B336" s="15">
        <v>908.65</v>
      </c>
      <c r="C336" s="15">
        <v>521.85</v>
      </c>
      <c r="E336" s="45"/>
      <c r="H336" s="45"/>
      <c r="K336" s="45"/>
    </row>
    <row r="337" spans="1:11" x14ac:dyDescent="0.25">
      <c r="A337" s="8">
        <v>44869</v>
      </c>
      <c r="B337" s="15">
        <v>905.3</v>
      </c>
      <c r="C337" s="15">
        <v>534.6</v>
      </c>
      <c r="E337" s="45"/>
      <c r="H337" s="45"/>
      <c r="K337" s="45"/>
    </row>
    <row r="338" spans="1:11" x14ac:dyDescent="0.25">
      <c r="A338" s="8">
        <v>44872</v>
      </c>
      <c r="B338" s="15">
        <v>917.5</v>
      </c>
      <c r="C338" s="15">
        <v>548.54999999999995</v>
      </c>
      <c r="E338" s="45"/>
      <c r="H338" s="45"/>
      <c r="K338" s="45"/>
    </row>
    <row r="339" spans="1:11" x14ac:dyDescent="0.25">
      <c r="A339" s="8">
        <v>44874</v>
      </c>
      <c r="B339" s="15">
        <v>910.5</v>
      </c>
      <c r="C339" s="15">
        <v>541.25</v>
      </c>
      <c r="E339" s="45"/>
      <c r="H339" s="45"/>
      <c r="K339" s="45"/>
    </row>
    <row r="340" spans="1:11" x14ac:dyDescent="0.25">
      <c r="A340" s="8">
        <v>44875</v>
      </c>
      <c r="B340" s="15">
        <v>910.7</v>
      </c>
      <c r="C340" s="15">
        <v>540.75</v>
      </c>
      <c r="E340" s="45"/>
      <c r="H340" s="45"/>
      <c r="K340" s="45"/>
    </row>
    <row r="341" spans="1:11" x14ac:dyDescent="0.25">
      <c r="A341" s="8">
        <v>44876</v>
      </c>
      <c r="B341" s="15">
        <v>906.55</v>
      </c>
      <c r="C341" s="15">
        <v>562.75</v>
      </c>
      <c r="E341" s="45"/>
      <c r="H341" s="45"/>
      <c r="K341" s="45"/>
    </row>
    <row r="342" spans="1:11" x14ac:dyDescent="0.25">
      <c r="A342" s="8">
        <v>44879</v>
      </c>
      <c r="B342" s="15">
        <v>894.95</v>
      </c>
      <c r="C342" s="15">
        <v>567.4</v>
      </c>
      <c r="E342" s="45"/>
      <c r="H342" s="45"/>
      <c r="K342" s="45"/>
    </row>
    <row r="343" spans="1:11" x14ac:dyDescent="0.25">
      <c r="A343" s="8">
        <v>44880</v>
      </c>
      <c r="B343" s="15">
        <v>911.7</v>
      </c>
      <c r="C343" s="15">
        <v>557.5</v>
      </c>
      <c r="E343" s="45"/>
      <c r="H343" s="45"/>
      <c r="K343" s="45"/>
    </row>
    <row r="344" spans="1:11" x14ac:dyDescent="0.25">
      <c r="A344" s="8">
        <v>44881</v>
      </c>
      <c r="B344" s="15">
        <v>913.6</v>
      </c>
      <c r="C344" s="15">
        <v>550.15</v>
      </c>
      <c r="E344" s="45"/>
      <c r="H344" s="45"/>
      <c r="K344" s="45"/>
    </row>
    <row r="345" spans="1:11" x14ac:dyDescent="0.25">
      <c r="A345" s="8">
        <v>44882</v>
      </c>
      <c r="B345" s="15">
        <v>919.8</v>
      </c>
      <c r="C345" s="15">
        <v>545.04999999999995</v>
      </c>
      <c r="E345" s="45"/>
      <c r="H345" s="45"/>
      <c r="K345" s="45"/>
    </row>
    <row r="346" spans="1:11" x14ac:dyDescent="0.25">
      <c r="A346" s="8">
        <v>44883</v>
      </c>
      <c r="B346" s="15">
        <v>920.35</v>
      </c>
      <c r="C346" s="15">
        <v>540.70000000000005</v>
      </c>
      <c r="E346" s="45"/>
      <c r="H346" s="45"/>
      <c r="K346" s="45"/>
    </row>
    <row r="347" spans="1:11" x14ac:dyDescent="0.25">
      <c r="A347" s="8">
        <v>44886</v>
      </c>
      <c r="B347" s="15">
        <v>921.4</v>
      </c>
      <c r="C347" s="15">
        <v>530.79999999999995</v>
      </c>
      <c r="E347" s="45"/>
      <c r="H347" s="45"/>
      <c r="K347" s="45"/>
    </row>
    <row r="348" spans="1:11" x14ac:dyDescent="0.25">
      <c r="A348" s="8">
        <v>44887</v>
      </c>
      <c r="B348" s="15">
        <v>923.7</v>
      </c>
      <c r="C348" s="15">
        <v>525.75</v>
      </c>
      <c r="E348" s="45"/>
      <c r="H348" s="45"/>
      <c r="K348" s="45"/>
    </row>
    <row r="349" spans="1:11" x14ac:dyDescent="0.25">
      <c r="A349" s="8">
        <v>44888</v>
      </c>
      <c r="B349" s="15">
        <v>927.45</v>
      </c>
      <c r="C349" s="15">
        <v>524</v>
      </c>
      <c r="E349" s="45"/>
      <c r="H349" s="45"/>
      <c r="K349" s="45"/>
    </row>
    <row r="350" spans="1:11" x14ac:dyDescent="0.25">
      <c r="A350" s="8">
        <v>44889</v>
      </c>
      <c r="B350" s="15">
        <v>938.85</v>
      </c>
      <c r="C350" s="15">
        <v>519.20000000000005</v>
      </c>
      <c r="E350" s="45"/>
      <c r="H350" s="45"/>
      <c r="K350" s="45"/>
    </row>
    <row r="351" spans="1:11" x14ac:dyDescent="0.25">
      <c r="A351" s="8">
        <v>44890</v>
      </c>
      <c r="B351" s="15">
        <v>930.3</v>
      </c>
      <c r="C351" s="15">
        <v>523.35</v>
      </c>
      <c r="E351" s="45"/>
      <c r="H351" s="45"/>
      <c r="K351" s="45"/>
    </row>
    <row r="352" spans="1:11" x14ac:dyDescent="0.25">
      <c r="A352" s="8">
        <v>44893</v>
      </c>
      <c r="B352" s="15">
        <v>937.4</v>
      </c>
      <c r="C352" s="15">
        <v>528.15</v>
      </c>
      <c r="E352" s="45"/>
      <c r="H352" s="45"/>
      <c r="K352" s="45"/>
    </row>
    <row r="353" spans="1:11" x14ac:dyDescent="0.25">
      <c r="A353" s="8">
        <v>44894</v>
      </c>
      <c r="B353" s="15">
        <v>946.75</v>
      </c>
      <c r="C353" s="15">
        <v>523.4</v>
      </c>
      <c r="E353" s="45"/>
      <c r="H353" s="45"/>
      <c r="K353" s="45"/>
    </row>
    <row r="354" spans="1:11" x14ac:dyDescent="0.25">
      <c r="A354" s="8">
        <v>44895</v>
      </c>
      <c r="B354" s="15">
        <v>952.9</v>
      </c>
      <c r="C354" s="15">
        <v>527.45000000000005</v>
      </c>
      <c r="E354" s="45"/>
      <c r="H354" s="45"/>
      <c r="K354" s="45"/>
    </row>
    <row r="355" spans="1:11" x14ac:dyDescent="0.25">
      <c r="A355" s="8">
        <v>44896</v>
      </c>
      <c r="B355" s="15">
        <v>940.2</v>
      </c>
      <c r="C355" s="15">
        <v>524.75</v>
      </c>
      <c r="E355" s="45"/>
      <c r="H355" s="45"/>
      <c r="K355" s="45"/>
    </row>
    <row r="356" spans="1:11" x14ac:dyDescent="0.25">
      <c r="A356" s="8">
        <v>44897</v>
      </c>
      <c r="B356" s="15">
        <v>930.6</v>
      </c>
      <c r="C356" s="15">
        <v>536.35</v>
      </c>
      <c r="E356" s="45"/>
      <c r="H356" s="45"/>
      <c r="K356" s="45"/>
    </row>
    <row r="357" spans="1:11" x14ac:dyDescent="0.25">
      <c r="A357" s="8">
        <v>44900</v>
      </c>
      <c r="B357" s="15">
        <v>933.6</v>
      </c>
      <c r="C357" s="15">
        <v>530.54999999999995</v>
      </c>
      <c r="E357" s="45"/>
      <c r="H357" s="45"/>
      <c r="K357" s="45"/>
    </row>
    <row r="358" spans="1:11" x14ac:dyDescent="0.25">
      <c r="A358" s="8">
        <v>44901</v>
      </c>
      <c r="B358" s="15">
        <v>922.65</v>
      </c>
      <c r="C358" s="15">
        <v>532.04999999999995</v>
      </c>
      <c r="E358" s="45"/>
      <c r="H358" s="45"/>
      <c r="K358" s="45"/>
    </row>
    <row r="359" spans="1:11" x14ac:dyDescent="0.25">
      <c r="A359" s="8">
        <v>44902</v>
      </c>
      <c r="B359" s="15">
        <v>922.15</v>
      </c>
      <c r="C359" s="15">
        <v>524.75</v>
      </c>
      <c r="E359" s="45"/>
      <c r="H359" s="45"/>
      <c r="K359" s="45"/>
    </row>
    <row r="360" spans="1:11" x14ac:dyDescent="0.25">
      <c r="A360" s="8">
        <v>44903</v>
      </c>
      <c r="B360" s="15">
        <v>931.9</v>
      </c>
      <c r="C360" s="15">
        <v>528.20000000000005</v>
      </c>
      <c r="E360" s="45"/>
      <c r="H360" s="45"/>
      <c r="K360" s="45"/>
    </row>
    <row r="361" spans="1:11" x14ac:dyDescent="0.25">
      <c r="A361" s="8">
        <v>44904</v>
      </c>
      <c r="B361" s="15">
        <v>929.9</v>
      </c>
      <c r="C361" s="15">
        <v>521.65</v>
      </c>
      <c r="E361" s="45"/>
      <c r="H361" s="45"/>
      <c r="K361" s="45"/>
    </row>
    <row r="362" spans="1:11" x14ac:dyDescent="0.25">
      <c r="A362" s="8">
        <v>44907</v>
      </c>
      <c r="B362" s="15">
        <v>930.3</v>
      </c>
      <c r="C362" s="15">
        <v>516.4</v>
      </c>
      <c r="E362" s="45"/>
      <c r="H362" s="45"/>
      <c r="K362" s="45"/>
    </row>
    <row r="363" spans="1:11" x14ac:dyDescent="0.25">
      <c r="A363" s="8">
        <v>44908</v>
      </c>
      <c r="B363" s="15">
        <v>932.95</v>
      </c>
      <c r="C363" s="15">
        <v>513.70000000000005</v>
      </c>
      <c r="E363" s="45"/>
      <c r="H363" s="45"/>
      <c r="K363" s="45"/>
    </row>
    <row r="364" spans="1:11" x14ac:dyDescent="0.25">
      <c r="A364" s="8">
        <v>44909</v>
      </c>
      <c r="B364" s="15">
        <v>921.75</v>
      </c>
      <c r="C364" s="15">
        <v>511.7</v>
      </c>
      <c r="E364" s="45"/>
      <c r="H364" s="45"/>
      <c r="K364" s="45"/>
    </row>
    <row r="365" spans="1:11" x14ac:dyDescent="0.25">
      <c r="A365" s="8">
        <v>44910</v>
      </c>
      <c r="B365" s="15">
        <v>908.8</v>
      </c>
      <c r="C365" s="15">
        <v>508.9</v>
      </c>
      <c r="E365" s="45"/>
      <c r="H365" s="45"/>
      <c r="K365" s="45"/>
    </row>
    <row r="366" spans="1:11" x14ac:dyDescent="0.25">
      <c r="A366" s="61">
        <v>44911</v>
      </c>
      <c r="B366" s="15">
        <v>902</v>
      </c>
      <c r="C366" s="15">
        <v>511.85</v>
      </c>
      <c r="E366" s="45"/>
      <c r="H366" s="45"/>
      <c r="K366" s="45"/>
    </row>
    <row r="367" spans="1:11" x14ac:dyDescent="0.25">
      <c r="A367" s="8">
        <v>44914</v>
      </c>
      <c r="B367" s="15">
        <v>906.45</v>
      </c>
      <c r="C367" s="15">
        <v>519.79999999999995</v>
      </c>
      <c r="E367" s="45"/>
      <c r="H367" s="45"/>
      <c r="K367" s="45"/>
    </row>
    <row r="368" spans="1:11" x14ac:dyDescent="0.25">
      <c r="A368" s="8">
        <v>44915</v>
      </c>
      <c r="B368" s="15">
        <v>909.7</v>
      </c>
      <c r="C368" s="15">
        <v>514.25</v>
      </c>
      <c r="E368" s="45"/>
      <c r="H368" s="45"/>
      <c r="K368" s="45"/>
    </row>
    <row r="369" spans="1:11" x14ac:dyDescent="0.25">
      <c r="A369" s="8">
        <v>44916</v>
      </c>
      <c r="B369" s="15">
        <v>892.25</v>
      </c>
      <c r="C369" s="15">
        <v>500.75</v>
      </c>
      <c r="E369" s="45"/>
      <c r="H369" s="45"/>
      <c r="K369" s="45"/>
    </row>
    <row r="370" spans="1:11" x14ac:dyDescent="0.25">
      <c r="A370" s="8">
        <v>44917</v>
      </c>
      <c r="B370" s="15">
        <v>890.65</v>
      </c>
      <c r="C370" s="15">
        <v>498</v>
      </c>
      <c r="E370" s="45"/>
      <c r="H370" s="45"/>
      <c r="K370" s="45"/>
    </row>
    <row r="371" spans="1:11" x14ac:dyDescent="0.25">
      <c r="A371" s="8">
        <v>44918</v>
      </c>
      <c r="B371" s="15">
        <v>878.9</v>
      </c>
      <c r="C371" s="15">
        <v>492.25</v>
      </c>
      <c r="E371" s="45"/>
      <c r="H371" s="45"/>
      <c r="K371" s="45"/>
    </row>
    <row r="372" spans="1:11" x14ac:dyDescent="0.25">
      <c r="A372" s="8">
        <v>44921</v>
      </c>
      <c r="B372" s="15">
        <v>893.2</v>
      </c>
      <c r="C372" s="15">
        <v>499.25</v>
      </c>
      <c r="E372" s="45"/>
      <c r="H372" s="45"/>
      <c r="K372" s="45"/>
    </row>
    <row r="373" spans="1:11" x14ac:dyDescent="0.25">
      <c r="A373" s="8">
        <v>44922</v>
      </c>
      <c r="B373" s="15">
        <v>900.65</v>
      </c>
      <c r="C373" s="15">
        <v>498.65</v>
      </c>
      <c r="E373" s="45"/>
      <c r="H373" s="45"/>
      <c r="K373" s="45"/>
    </row>
    <row r="374" spans="1:11" x14ac:dyDescent="0.25">
      <c r="A374" s="8">
        <v>44923</v>
      </c>
      <c r="B374" s="15">
        <v>898.95</v>
      </c>
      <c r="C374" s="15">
        <v>494.15</v>
      </c>
      <c r="E374" s="45"/>
      <c r="H374" s="45"/>
      <c r="K374" s="45"/>
    </row>
    <row r="375" spans="1:11" x14ac:dyDescent="0.25">
      <c r="A375" s="8">
        <v>44924</v>
      </c>
      <c r="B375" s="15">
        <v>908.05</v>
      </c>
      <c r="C375" s="15">
        <v>490.8</v>
      </c>
      <c r="E375" s="45"/>
      <c r="H375" s="45"/>
      <c r="K375" s="45"/>
    </row>
    <row r="376" spans="1:11" x14ac:dyDescent="0.25">
      <c r="A376" s="8">
        <v>44925</v>
      </c>
      <c r="B376" s="15">
        <v>890.85</v>
      </c>
      <c r="C376" s="15">
        <v>497.35</v>
      </c>
      <c r="E376" s="45"/>
      <c r="H376" s="45"/>
      <c r="K376" s="45"/>
    </row>
    <row r="377" spans="1:11" x14ac:dyDescent="0.25">
      <c r="A377" s="8">
        <v>44928</v>
      </c>
      <c r="B377" s="15">
        <v>902.45</v>
      </c>
      <c r="C377" s="15">
        <v>494.75</v>
      </c>
      <c r="E377" s="45"/>
      <c r="H377" s="45"/>
      <c r="K377" s="45"/>
    </row>
    <row r="378" spans="1:11" x14ac:dyDescent="0.25">
      <c r="A378" s="8">
        <v>44929</v>
      </c>
      <c r="B378" s="15">
        <v>901.35</v>
      </c>
      <c r="C378" s="15">
        <v>502.1</v>
      </c>
      <c r="E378" s="45"/>
      <c r="H378" s="45"/>
      <c r="K378" s="45"/>
    </row>
    <row r="379" spans="1:11" x14ac:dyDescent="0.25">
      <c r="A379" s="8">
        <v>44930</v>
      </c>
      <c r="B379" s="15">
        <v>899.1</v>
      </c>
      <c r="C379" s="15">
        <v>493.4</v>
      </c>
      <c r="E379" s="45"/>
      <c r="H379" s="45"/>
      <c r="K379" s="45"/>
    </row>
    <row r="380" spans="1:11" x14ac:dyDescent="0.25">
      <c r="A380" s="8">
        <v>44931</v>
      </c>
      <c r="B380" s="15">
        <v>879.15</v>
      </c>
      <c r="C380" s="15">
        <v>500.05</v>
      </c>
      <c r="E380" s="45"/>
      <c r="H380" s="45"/>
      <c r="K380" s="45"/>
    </row>
    <row r="381" spans="1:11" x14ac:dyDescent="0.25">
      <c r="A381" s="8">
        <v>44932</v>
      </c>
      <c r="B381" s="15">
        <v>870.1</v>
      </c>
      <c r="C381" s="15">
        <v>496.3</v>
      </c>
      <c r="E381" s="45"/>
      <c r="H381" s="45"/>
      <c r="K381" s="45"/>
    </row>
    <row r="382" spans="1:11" x14ac:dyDescent="0.25">
      <c r="A382" s="8">
        <v>44935</v>
      </c>
      <c r="B382" s="15">
        <v>873.35</v>
      </c>
      <c r="C382" s="15">
        <v>499.55</v>
      </c>
      <c r="E382" s="45"/>
      <c r="H382" s="45"/>
      <c r="K382" s="45"/>
    </row>
    <row r="383" spans="1:11" x14ac:dyDescent="0.25">
      <c r="A383" s="8">
        <v>44936</v>
      </c>
      <c r="B383" s="15">
        <v>861.35</v>
      </c>
      <c r="C383" s="15">
        <v>503.65</v>
      </c>
      <c r="E383" s="45"/>
      <c r="H383" s="45"/>
      <c r="K383" s="45"/>
    </row>
    <row r="384" spans="1:11" x14ac:dyDescent="0.25">
      <c r="A384" s="8">
        <v>44937</v>
      </c>
      <c r="B384" s="15">
        <v>866.3</v>
      </c>
      <c r="C384" s="15">
        <v>499.8</v>
      </c>
      <c r="E384" s="45"/>
      <c r="H384" s="45"/>
      <c r="K384" s="45"/>
    </row>
    <row r="385" spans="1:11" x14ac:dyDescent="0.25">
      <c r="A385" s="8">
        <v>44938</v>
      </c>
      <c r="B385" s="15">
        <v>860.65</v>
      </c>
      <c r="C385" s="15">
        <v>498.2</v>
      </c>
      <c r="E385" s="45"/>
      <c r="H385" s="45"/>
      <c r="K385" s="45"/>
    </row>
    <row r="386" spans="1:11" x14ac:dyDescent="0.25">
      <c r="A386" s="8">
        <v>44939</v>
      </c>
      <c r="B386" s="15">
        <v>873.45</v>
      </c>
      <c r="C386" s="15">
        <v>501.6</v>
      </c>
      <c r="E386" s="45"/>
      <c r="H386" s="45"/>
      <c r="K386" s="45"/>
    </row>
    <row r="387" spans="1:11" x14ac:dyDescent="0.25">
      <c r="A387" s="8">
        <v>44942</v>
      </c>
      <c r="B387" s="15">
        <v>865.25</v>
      </c>
      <c r="C387" s="15">
        <v>504.65</v>
      </c>
      <c r="E387" s="45"/>
      <c r="H387" s="45"/>
      <c r="K387" s="45"/>
    </row>
    <row r="388" spans="1:11" x14ac:dyDescent="0.25">
      <c r="A388" s="8">
        <v>44943</v>
      </c>
      <c r="B388" s="15">
        <v>865.15</v>
      </c>
      <c r="C388" s="15">
        <v>510.7</v>
      </c>
      <c r="E388" s="45"/>
      <c r="H388" s="45"/>
      <c r="K388" s="45"/>
    </row>
    <row r="389" spans="1:11" x14ac:dyDescent="0.25">
      <c r="A389" s="8">
        <v>44944</v>
      </c>
      <c r="B389" s="15">
        <v>869.5</v>
      </c>
      <c r="C389" s="15">
        <v>512.1</v>
      </c>
      <c r="E389" s="45"/>
      <c r="H389" s="45"/>
      <c r="K389" s="45"/>
    </row>
    <row r="390" spans="1:11" x14ac:dyDescent="0.25">
      <c r="A390" s="8">
        <v>44945</v>
      </c>
      <c r="B390" s="15">
        <v>866.15</v>
      </c>
      <c r="C390" s="15">
        <v>512.35</v>
      </c>
      <c r="E390" s="45"/>
      <c r="H390" s="45"/>
      <c r="K390" s="45"/>
    </row>
    <row r="391" spans="1:11" x14ac:dyDescent="0.25">
      <c r="A391" s="8">
        <v>44946</v>
      </c>
      <c r="B391" s="15">
        <v>870.35</v>
      </c>
      <c r="C391" s="15">
        <v>500.1</v>
      </c>
      <c r="E391" s="45"/>
      <c r="H391" s="45"/>
      <c r="K391" s="45"/>
    </row>
    <row r="392" spans="1:11" x14ac:dyDescent="0.25">
      <c r="A392" s="8">
        <v>44949</v>
      </c>
      <c r="B392" s="15">
        <v>871.7</v>
      </c>
      <c r="C392" s="15">
        <v>502.6</v>
      </c>
      <c r="E392" s="45"/>
      <c r="H392" s="45"/>
      <c r="K392" s="45"/>
    </row>
    <row r="393" spans="1:11" x14ac:dyDescent="0.25">
      <c r="A393" s="8">
        <v>44950</v>
      </c>
      <c r="B393" s="15">
        <v>870.75</v>
      </c>
      <c r="C393" s="15">
        <v>497.4</v>
      </c>
      <c r="E393" s="45"/>
      <c r="H393" s="45"/>
      <c r="K393" s="45"/>
    </row>
    <row r="394" spans="1:11" x14ac:dyDescent="0.25">
      <c r="A394" s="8">
        <v>44951</v>
      </c>
      <c r="B394" s="15">
        <v>855.3</v>
      </c>
      <c r="C394" s="15">
        <v>495.15</v>
      </c>
      <c r="E394" s="45"/>
      <c r="H394" s="45"/>
      <c r="K394" s="45"/>
    </row>
    <row r="395" spans="1:11" x14ac:dyDescent="0.25">
      <c r="A395" s="8">
        <v>44953</v>
      </c>
      <c r="B395" s="15">
        <v>817.2</v>
      </c>
      <c r="C395" s="15">
        <v>490.7</v>
      </c>
      <c r="E395" s="45"/>
      <c r="H395" s="45"/>
      <c r="K395" s="45"/>
    </row>
    <row r="396" spans="1:11" x14ac:dyDescent="0.25">
      <c r="A396" s="8">
        <v>44956</v>
      </c>
      <c r="B396" s="15">
        <v>823.5</v>
      </c>
      <c r="C396" s="15">
        <v>488.05</v>
      </c>
      <c r="E396" s="45"/>
      <c r="H396" s="45"/>
      <c r="K396" s="45"/>
    </row>
    <row r="397" spans="1:11" x14ac:dyDescent="0.25">
      <c r="A397" s="8">
        <v>44957</v>
      </c>
      <c r="B397" s="15">
        <v>831.9</v>
      </c>
      <c r="C397" s="15">
        <v>492.75</v>
      </c>
      <c r="E397" s="45"/>
      <c r="H397" s="45"/>
      <c r="K397" s="45"/>
    </row>
    <row r="398" spans="1:11" x14ac:dyDescent="0.25">
      <c r="A398" s="8">
        <v>44958</v>
      </c>
      <c r="B398" s="15">
        <v>847.95</v>
      </c>
      <c r="C398" s="15">
        <v>483.35</v>
      </c>
      <c r="E398" s="45"/>
      <c r="H398" s="45"/>
      <c r="K398" s="45"/>
    </row>
    <row r="399" spans="1:11" x14ac:dyDescent="0.25">
      <c r="A399" s="8">
        <v>44959</v>
      </c>
      <c r="B399" s="15">
        <v>857.9</v>
      </c>
      <c r="C399" s="15">
        <v>489.5</v>
      </c>
      <c r="E399" s="45"/>
      <c r="H399" s="45"/>
      <c r="K399" s="45"/>
    </row>
    <row r="400" spans="1:11" x14ac:dyDescent="0.25">
      <c r="A400" s="8">
        <v>44960</v>
      </c>
      <c r="B400" s="15">
        <v>863.8</v>
      </c>
      <c r="C400" s="15">
        <v>489.6</v>
      </c>
      <c r="E400" s="45"/>
      <c r="H400" s="45"/>
      <c r="K400" s="45"/>
    </row>
    <row r="401" spans="1:11" x14ac:dyDescent="0.25">
      <c r="A401" s="8">
        <v>44963</v>
      </c>
      <c r="B401" s="15">
        <v>853.7</v>
      </c>
      <c r="C401" s="15">
        <v>491.55</v>
      </c>
      <c r="E401" s="45"/>
      <c r="H401" s="45"/>
      <c r="K401" s="45"/>
    </row>
    <row r="402" spans="1:11" x14ac:dyDescent="0.25">
      <c r="A402" s="8">
        <v>44964</v>
      </c>
      <c r="B402" s="15">
        <v>852.75</v>
      </c>
      <c r="C402" s="15">
        <v>485.45</v>
      </c>
      <c r="E402" s="45"/>
      <c r="H402" s="45"/>
      <c r="K402" s="45"/>
    </row>
    <row r="403" spans="1:11" x14ac:dyDescent="0.25">
      <c r="A403" s="8">
        <v>44965</v>
      </c>
      <c r="B403" s="15">
        <v>859.1</v>
      </c>
      <c r="C403" s="15">
        <v>480</v>
      </c>
      <c r="E403" s="45"/>
      <c r="H403" s="45"/>
      <c r="K403" s="45"/>
    </row>
    <row r="404" spans="1:11" x14ac:dyDescent="0.25">
      <c r="A404" s="8">
        <v>44966</v>
      </c>
      <c r="B404" s="15">
        <v>860.8</v>
      </c>
      <c r="C404" s="15">
        <v>475.3</v>
      </c>
      <c r="E404" s="45"/>
      <c r="H404" s="45"/>
      <c r="K404" s="45"/>
    </row>
    <row r="405" spans="1:11" x14ac:dyDescent="0.25">
      <c r="A405" s="8">
        <v>44967</v>
      </c>
      <c r="B405" s="15">
        <v>853.85</v>
      </c>
      <c r="C405" s="15">
        <v>466.45</v>
      </c>
      <c r="E405" s="45"/>
      <c r="H405" s="45"/>
      <c r="K405" s="45"/>
    </row>
    <row r="406" spans="1:11" x14ac:dyDescent="0.25">
      <c r="A406" s="8">
        <v>44970</v>
      </c>
      <c r="B406" s="15">
        <v>850.65</v>
      </c>
      <c r="C406" s="15">
        <v>466.05</v>
      </c>
      <c r="E406" s="45"/>
      <c r="H406" s="45"/>
      <c r="K406" s="45"/>
    </row>
    <row r="407" spans="1:11" x14ac:dyDescent="0.25">
      <c r="A407" s="8">
        <v>44971</v>
      </c>
      <c r="B407" s="15">
        <v>865.3</v>
      </c>
      <c r="C407" s="15">
        <v>461.75</v>
      </c>
      <c r="E407" s="45"/>
      <c r="H407" s="45"/>
      <c r="K407" s="45"/>
    </row>
    <row r="408" spans="1:11" x14ac:dyDescent="0.25">
      <c r="A408" s="8">
        <v>44972</v>
      </c>
      <c r="B408" s="15">
        <v>870.8</v>
      </c>
      <c r="C408" s="15">
        <v>474</v>
      </c>
      <c r="E408" s="45"/>
      <c r="H408" s="45"/>
      <c r="K408" s="45"/>
    </row>
    <row r="409" spans="1:11" x14ac:dyDescent="0.25">
      <c r="A409" s="8">
        <v>44973</v>
      </c>
      <c r="B409" s="15">
        <v>869.45</v>
      </c>
      <c r="C409" s="15">
        <v>467.6</v>
      </c>
      <c r="E409" s="45"/>
      <c r="H409" s="45"/>
      <c r="K409" s="45"/>
    </row>
    <row r="410" spans="1:11" x14ac:dyDescent="0.25">
      <c r="A410" s="8">
        <v>44974</v>
      </c>
      <c r="B410" s="15">
        <v>862.65</v>
      </c>
      <c r="C410" s="15">
        <v>465.1</v>
      </c>
      <c r="E410" s="45"/>
      <c r="H410" s="45"/>
      <c r="K410" s="45"/>
    </row>
    <row r="411" spans="1:11" x14ac:dyDescent="0.25">
      <c r="A411" s="8">
        <v>44977</v>
      </c>
      <c r="B411" s="15">
        <v>852.1</v>
      </c>
      <c r="C411" s="15">
        <v>469.7</v>
      </c>
      <c r="E411" s="45"/>
      <c r="H411" s="45"/>
      <c r="K411" s="45"/>
    </row>
    <row r="412" spans="1:11" x14ac:dyDescent="0.25">
      <c r="A412" s="8">
        <v>44978</v>
      </c>
      <c r="B412" s="15">
        <v>854.2</v>
      </c>
      <c r="C412" s="15">
        <v>478.7</v>
      </c>
      <c r="E412" s="45"/>
      <c r="H412" s="45"/>
      <c r="K412" s="45"/>
    </row>
    <row r="413" spans="1:11" x14ac:dyDescent="0.25">
      <c r="A413" s="8">
        <v>44979</v>
      </c>
      <c r="B413" s="15">
        <v>839.25</v>
      </c>
      <c r="C413" s="15">
        <v>477.25</v>
      </c>
      <c r="E413" s="45"/>
      <c r="H413" s="45"/>
      <c r="K413" s="45"/>
    </row>
    <row r="414" spans="1:11" x14ac:dyDescent="0.25">
      <c r="A414" s="60">
        <v>44980</v>
      </c>
      <c r="B414" s="15">
        <v>839.75</v>
      </c>
      <c r="C414" s="15">
        <v>477.45</v>
      </c>
      <c r="E414" s="45"/>
      <c r="H414" s="45"/>
      <c r="K414" s="45"/>
    </row>
    <row r="415" spans="1:11" x14ac:dyDescent="0.25">
      <c r="A415" s="8">
        <v>44981</v>
      </c>
      <c r="B415" s="15">
        <v>839.7</v>
      </c>
      <c r="C415" s="15">
        <v>473.15</v>
      </c>
      <c r="E415" s="45"/>
      <c r="H415" s="45"/>
      <c r="K415" s="45"/>
    </row>
    <row r="416" spans="1:11" x14ac:dyDescent="0.25">
      <c r="A416" s="8">
        <v>44984</v>
      </c>
      <c r="B416" s="15">
        <v>856.4</v>
      </c>
      <c r="C416" s="15">
        <v>465.95</v>
      </c>
      <c r="E416" s="45"/>
      <c r="H416" s="45"/>
      <c r="K416" s="45"/>
    </row>
    <row r="417" spans="1:11" x14ac:dyDescent="0.25">
      <c r="A417" s="8">
        <v>44985</v>
      </c>
      <c r="B417" s="15">
        <v>854.85</v>
      </c>
      <c r="C417" s="15">
        <v>466.2</v>
      </c>
      <c r="E417" s="45"/>
      <c r="H417" s="45"/>
      <c r="K417" s="45"/>
    </row>
    <row r="418" spans="1:11" x14ac:dyDescent="0.25">
      <c r="A418" s="8">
        <v>44986</v>
      </c>
      <c r="B418" s="15">
        <v>856.3</v>
      </c>
      <c r="C418" s="15">
        <v>471.75</v>
      </c>
      <c r="E418" s="45"/>
      <c r="H418" s="45"/>
      <c r="K418" s="45"/>
    </row>
    <row r="419" spans="1:11" x14ac:dyDescent="0.25">
      <c r="A419" s="8">
        <v>44987</v>
      </c>
      <c r="B419" s="15">
        <v>854</v>
      </c>
      <c r="C419" s="15">
        <v>473.45</v>
      </c>
      <c r="E419" s="45"/>
      <c r="H419" s="45"/>
      <c r="K419" s="45"/>
    </row>
    <row r="420" spans="1:11" x14ac:dyDescent="0.25">
      <c r="A420" s="8">
        <v>44988</v>
      </c>
      <c r="B420" s="15">
        <v>868.55</v>
      </c>
      <c r="C420" s="15">
        <v>474.65</v>
      </c>
      <c r="E420" s="45"/>
      <c r="H420" s="45"/>
      <c r="K420" s="45"/>
    </row>
    <row r="421" spans="1:11" x14ac:dyDescent="0.25">
      <c r="A421" s="8">
        <v>44991</v>
      </c>
      <c r="B421" s="15">
        <v>867.75</v>
      </c>
      <c r="C421" s="15">
        <v>482.75</v>
      </c>
      <c r="E421" s="45"/>
      <c r="H421" s="45"/>
      <c r="K421" s="45"/>
    </row>
    <row r="422" spans="1:11" x14ac:dyDescent="0.25">
      <c r="A422" s="8">
        <v>44993</v>
      </c>
      <c r="B422" s="15">
        <v>872.1</v>
      </c>
      <c r="C422" s="15">
        <v>473.65</v>
      </c>
      <c r="E422" s="45"/>
      <c r="H422" s="45"/>
      <c r="K422" s="45"/>
    </row>
    <row r="423" spans="1:11" x14ac:dyDescent="0.25">
      <c r="A423" s="8">
        <v>44994</v>
      </c>
      <c r="B423" s="15">
        <v>855.95</v>
      </c>
      <c r="C423" s="15">
        <v>471.35</v>
      </c>
      <c r="E423" s="45"/>
      <c r="H423" s="45"/>
      <c r="K423" s="45"/>
    </row>
    <row r="424" spans="1:11" x14ac:dyDescent="0.25">
      <c r="A424" s="8">
        <v>44995</v>
      </c>
      <c r="B424" s="15">
        <v>842.65</v>
      </c>
      <c r="C424" s="15">
        <v>468.65</v>
      </c>
      <c r="E424" s="45"/>
      <c r="H424" s="45"/>
      <c r="K424" s="45"/>
    </row>
    <row r="425" spans="1:11" x14ac:dyDescent="0.25">
      <c r="A425" s="8">
        <v>44998</v>
      </c>
      <c r="B425" s="15">
        <v>828.4</v>
      </c>
      <c r="C425" s="15">
        <v>453.6</v>
      </c>
      <c r="E425" s="45"/>
      <c r="H425" s="45"/>
      <c r="K425" s="45"/>
    </row>
    <row r="426" spans="1:11" x14ac:dyDescent="0.25">
      <c r="A426" s="8">
        <v>44999</v>
      </c>
      <c r="B426" s="15">
        <v>830.35</v>
      </c>
      <c r="C426" s="15">
        <v>451.35</v>
      </c>
      <c r="E426" s="45"/>
      <c r="H426" s="45"/>
      <c r="K426" s="45"/>
    </row>
    <row r="427" spans="1:11" x14ac:dyDescent="0.25">
      <c r="A427" s="8">
        <v>45000</v>
      </c>
      <c r="B427" s="15">
        <v>825.9</v>
      </c>
      <c r="C427" s="15">
        <v>454.8</v>
      </c>
      <c r="E427" s="45"/>
      <c r="H427" s="45"/>
      <c r="K427" s="45"/>
    </row>
    <row r="428" spans="1:11" x14ac:dyDescent="0.25">
      <c r="A428" s="8">
        <v>45001</v>
      </c>
      <c r="B428" s="15">
        <v>823.9</v>
      </c>
      <c r="C428" s="15">
        <v>446.6</v>
      </c>
      <c r="E428" s="45"/>
      <c r="H428" s="45"/>
      <c r="K428" s="45"/>
    </row>
    <row r="429" spans="1:11" x14ac:dyDescent="0.25">
      <c r="A429" s="8">
        <v>45002</v>
      </c>
      <c r="B429" s="15">
        <v>836.25</v>
      </c>
      <c r="C429" s="15">
        <v>443.8</v>
      </c>
      <c r="E429" s="45"/>
      <c r="H429" s="45"/>
      <c r="K429" s="45"/>
    </row>
    <row r="430" spans="1:11" x14ac:dyDescent="0.25">
      <c r="A430" s="8">
        <v>45005</v>
      </c>
      <c r="B430" s="15">
        <v>836.45</v>
      </c>
      <c r="C430" s="15">
        <v>436.4</v>
      </c>
      <c r="E430" s="45"/>
      <c r="H430" s="45"/>
      <c r="K430" s="45"/>
    </row>
    <row r="431" spans="1:11" x14ac:dyDescent="0.25">
      <c r="A431" s="8">
        <v>45006</v>
      </c>
      <c r="B431" s="15">
        <v>852.4</v>
      </c>
      <c r="C431" s="15">
        <v>434.2</v>
      </c>
      <c r="E431" s="45"/>
      <c r="H431" s="45"/>
      <c r="K431" s="45"/>
    </row>
    <row r="432" spans="1:11" x14ac:dyDescent="0.25">
      <c r="A432" s="8">
        <v>45007</v>
      </c>
      <c r="B432" s="15">
        <v>860.2</v>
      </c>
      <c r="C432" s="15">
        <v>436.3</v>
      </c>
      <c r="E432" s="45"/>
      <c r="H432" s="45"/>
      <c r="K432" s="45"/>
    </row>
    <row r="433" spans="1:11" x14ac:dyDescent="0.25">
      <c r="A433" s="8">
        <v>45008</v>
      </c>
      <c r="B433" s="15">
        <v>855.45</v>
      </c>
      <c r="C433" s="15">
        <v>439.8</v>
      </c>
      <c r="E433" s="45"/>
      <c r="H433" s="45"/>
      <c r="K433" s="45"/>
    </row>
    <row r="434" spans="1:11" x14ac:dyDescent="0.25">
      <c r="A434" s="8">
        <v>45009</v>
      </c>
      <c r="B434" s="15">
        <v>852.4</v>
      </c>
      <c r="C434" s="15">
        <v>433.7</v>
      </c>
      <c r="E434" s="45"/>
      <c r="H434" s="45"/>
      <c r="K434" s="45"/>
    </row>
    <row r="435" spans="1:11" x14ac:dyDescent="0.25">
      <c r="A435" s="8">
        <v>45012</v>
      </c>
      <c r="B435" s="15">
        <v>848.7</v>
      </c>
      <c r="C435" s="15">
        <v>423.25</v>
      </c>
      <c r="E435" s="45"/>
      <c r="H435" s="45"/>
      <c r="K435" s="45"/>
    </row>
    <row r="436" spans="1:11" x14ac:dyDescent="0.25">
      <c r="A436" s="8">
        <v>45013</v>
      </c>
      <c r="B436" s="15">
        <v>854.75</v>
      </c>
      <c r="C436" s="15">
        <v>422.85</v>
      </c>
      <c r="E436" s="45"/>
      <c r="H436" s="45"/>
      <c r="K436" s="45"/>
    </row>
    <row r="437" spans="1:11" x14ac:dyDescent="0.25">
      <c r="A437" s="8">
        <v>45014</v>
      </c>
      <c r="B437" s="15">
        <v>851</v>
      </c>
      <c r="C437" s="15">
        <v>422.3</v>
      </c>
      <c r="E437" s="45"/>
      <c r="H437" s="45"/>
      <c r="K437" s="45"/>
    </row>
    <row r="438" spans="1:11" x14ac:dyDescent="0.25">
      <c r="A438" s="8">
        <v>45016</v>
      </c>
      <c r="B438" s="15">
        <v>877.25</v>
      </c>
      <c r="C438" s="15">
        <v>428.05</v>
      </c>
      <c r="E438" s="45"/>
      <c r="H438" s="45"/>
      <c r="K438" s="45"/>
    </row>
    <row r="439" spans="1:11" x14ac:dyDescent="0.25">
      <c r="A439" s="8">
        <v>45019</v>
      </c>
      <c r="B439" s="15">
        <v>883.8</v>
      </c>
      <c r="C439" s="15">
        <v>437.85</v>
      </c>
      <c r="E439" s="45"/>
      <c r="H439" s="45"/>
      <c r="K439" s="45"/>
    </row>
    <row r="440" spans="1:11" x14ac:dyDescent="0.25">
      <c r="A440" s="8">
        <v>45021</v>
      </c>
      <c r="B440" s="15">
        <v>884.6</v>
      </c>
      <c r="C440" s="15">
        <v>452.2</v>
      </c>
      <c r="E440" s="45"/>
      <c r="H440" s="45"/>
      <c r="K440" s="45"/>
    </row>
    <row r="441" spans="1:11" x14ac:dyDescent="0.25">
      <c r="A441" s="8">
        <v>45022</v>
      </c>
      <c r="B441" s="15">
        <v>875</v>
      </c>
      <c r="C441" s="15">
        <v>459.95</v>
      </c>
      <c r="E441" s="45"/>
      <c r="H441" s="45"/>
      <c r="K441" s="45"/>
    </row>
    <row r="442" spans="1:11" x14ac:dyDescent="0.25">
      <c r="A442" s="8">
        <v>45026</v>
      </c>
      <c r="B442" s="15">
        <v>868.45</v>
      </c>
      <c r="C442" s="15">
        <v>463.25</v>
      </c>
      <c r="E442" s="45"/>
      <c r="H442" s="45"/>
      <c r="K442" s="45"/>
    </row>
    <row r="443" spans="1:11" x14ac:dyDescent="0.25">
      <c r="A443" s="8">
        <v>45027</v>
      </c>
      <c r="B443" s="15">
        <v>881.9</v>
      </c>
      <c r="C443" s="15">
        <v>463.15</v>
      </c>
      <c r="E443" s="45"/>
      <c r="H443" s="45"/>
      <c r="K443" s="45"/>
    </row>
    <row r="444" spans="1:11" x14ac:dyDescent="0.25">
      <c r="A444" s="8">
        <v>45028</v>
      </c>
      <c r="B444" s="15">
        <v>890.15</v>
      </c>
      <c r="C444" s="15">
        <v>461.6</v>
      </c>
      <c r="E444" s="45"/>
      <c r="H444" s="45"/>
      <c r="K444" s="45"/>
    </row>
    <row r="445" spans="1:11" x14ac:dyDescent="0.25">
      <c r="A445" s="8">
        <v>45029</v>
      </c>
      <c r="B445" s="15">
        <v>899</v>
      </c>
      <c r="C445" s="15">
        <v>454.3</v>
      </c>
      <c r="E445" s="45"/>
      <c r="H445" s="45"/>
      <c r="K445" s="45"/>
    </row>
    <row r="446" spans="1:11" x14ac:dyDescent="0.25">
      <c r="A446" s="8">
        <v>45033</v>
      </c>
      <c r="B446" s="15">
        <v>901.3</v>
      </c>
      <c r="C446" s="15">
        <v>456.9</v>
      </c>
      <c r="E446" s="45"/>
      <c r="H446" s="45"/>
      <c r="K446" s="45"/>
    </row>
    <row r="447" spans="1:11" x14ac:dyDescent="0.25">
      <c r="A447" s="8">
        <v>45034</v>
      </c>
      <c r="B447" s="15">
        <v>896.85</v>
      </c>
      <c r="C447" s="15">
        <v>465.1</v>
      </c>
      <c r="E447" s="45"/>
      <c r="H447" s="45"/>
      <c r="K447" s="45"/>
    </row>
    <row r="448" spans="1:11" x14ac:dyDescent="0.25">
      <c r="A448" s="8">
        <v>45035</v>
      </c>
      <c r="B448" s="15">
        <v>891.9</v>
      </c>
      <c r="C448" s="15">
        <v>461.05</v>
      </c>
      <c r="E448" s="45"/>
      <c r="H448" s="45"/>
      <c r="K448" s="45"/>
    </row>
    <row r="449" spans="1:11" x14ac:dyDescent="0.25">
      <c r="A449" s="8">
        <v>45036</v>
      </c>
      <c r="B449" s="15">
        <v>894.4</v>
      </c>
      <c r="C449" s="15">
        <v>439.95</v>
      </c>
      <c r="E449" s="45"/>
      <c r="H449" s="45"/>
      <c r="K449" s="45"/>
    </row>
    <row r="450" spans="1:11" x14ac:dyDescent="0.25">
      <c r="A450" s="8">
        <v>45037</v>
      </c>
      <c r="B450" s="15">
        <v>885.65</v>
      </c>
      <c r="C450" s="15">
        <v>430.15</v>
      </c>
      <c r="E450" s="45"/>
      <c r="H450" s="45"/>
      <c r="K450" s="45"/>
    </row>
    <row r="451" spans="1:11" x14ac:dyDescent="0.25">
      <c r="A451" s="8">
        <v>45040</v>
      </c>
      <c r="B451" s="15">
        <v>904.75</v>
      </c>
      <c r="C451" s="15">
        <v>430.2</v>
      </c>
      <c r="E451" s="45"/>
      <c r="H451" s="45"/>
      <c r="K451" s="45"/>
    </row>
    <row r="452" spans="1:11" x14ac:dyDescent="0.25">
      <c r="A452" s="8">
        <v>45041</v>
      </c>
      <c r="B452" s="15">
        <v>913.45</v>
      </c>
      <c r="C452" s="15">
        <v>436.15</v>
      </c>
      <c r="E452" s="45"/>
      <c r="H452" s="45"/>
      <c r="K452" s="45"/>
    </row>
    <row r="453" spans="1:11" x14ac:dyDescent="0.25">
      <c r="A453" s="59">
        <v>45042</v>
      </c>
      <c r="B453" s="15">
        <v>914.95</v>
      </c>
      <c r="C453" s="15">
        <v>434.7</v>
      </c>
      <c r="E453" s="45"/>
      <c r="H453" s="45"/>
      <c r="K453" s="45"/>
    </row>
    <row r="454" spans="1:11" x14ac:dyDescent="0.25">
      <c r="A454" s="8">
        <v>45043</v>
      </c>
      <c r="B454" s="15">
        <v>918.35</v>
      </c>
      <c r="C454" s="15">
        <v>438.15</v>
      </c>
      <c r="E454" s="45"/>
      <c r="H454" s="45"/>
      <c r="K454" s="45"/>
    </row>
    <row r="455" spans="1:11" x14ac:dyDescent="0.25">
      <c r="A455" s="8">
        <v>45044</v>
      </c>
      <c r="B455" s="15">
        <v>917.65</v>
      </c>
      <c r="C455" s="15">
        <v>443.05</v>
      </c>
      <c r="E455" s="45"/>
      <c r="H455" s="45"/>
      <c r="K455" s="45"/>
    </row>
    <row r="456" spans="1:11" x14ac:dyDescent="0.25">
      <c r="A456" s="8">
        <v>45048</v>
      </c>
      <c r="B456" s="15">
        <v>922.1</v>
      </c>
      <c r="C456" s="15">
        <v>452.45</v>
      </c>
      <c r="E456" s="45"/>
      <c r="H456" s="45"/>
      <c r="K456" s="45"/>
    </row>
    <row r="457" spans="1:11" x14ac:dyDescent="0.25">
      <c r="A457" s="8">
        <v>45049</v>
      </c>
      <c r="B457" s="15">
        <v>922.85</v>
      </c>
      <c r="C457" s="15">
        <v>455.8</v>
      </c>
      <c r="E457" s="45"/>
      <c r="H457" s="45"/>
      <c r="K457" s="45"/>
    </row>
    <row r="458" spans="1:11" x14ac:dyDescent="0.25">
      <c r="A458" s="8">
        <v>45050</v>
      </c>
      <c r="B458" s="15">
        <v>921.7</v>
      </c>
      <c r="C458" s="15">
        <v>472.25</v>
      </c>
      <c r="E458" s="45"/>
      <c r="H458" s="45"/>
      <c r="K458" s="45"/>
    </row>
    <row r="459" spans="1:11" x14ac:dyDescent="0.25">
      <c r="A459" s="8">
        <v>45051</v>
      </c>
      <c r="B459" s="15">
        <v>926.95</v>
      </c>
      <c r="C459" s="15">
        <v>469.3</v>
      </c>
      <c r="E459" s="45"/>
      <c r="H459" s="45"/>
      <c r="K459" s="45"/>
    </row>
    <row r="460" spans="1:11" x14ac:dyDescent="0.25">
      <c r="A460" s="8">
        <v>45054</v>
      </c>
      <c r="B460" s="15">
        <v>937.9</v>
      </c>
      <c r="C460" s="15">
        <v>470.25</v>
      </c>
      <c r="E460" s="45"/>
      <c r="H460" s="45"/>
      <c r="K460" s="45"/>
    </row>
    <row r="461" spans="1:11" x14ac:dyDescent="0.25">
      <c r="A461" s="8">
        <v>45055</v>
      </c>
      <c r="B461" s="15">
        <v>934.4</v>
      </c>
      <c r="C461" s="15">
        <v>481.95</v>
      </c>
      <c r="E461" s="45"/>
      <c r="H461" s="45"/>
      <c r="K461" s="45"/>
    </row>
    <row r="462" spans="1:11" x14ac:dyDescent="0.25">
      <c r="A462" s="8">
        <v>45056</v>
      </c>
      <c r="B462" s="15">
        <v>936.05</v>
      </c>
      <c r="C462" s="15">
        <v>499.15</v>
      </c>
      <c r="E462" s="45"/>
      <c r="H462" s="45"/>
      <c r="K462" s="45"/>
    </row>
    <row r="463" spans="1:11" x14ac:dyDescent="0.25">
      <c r="A463" s="8">
        <v>45057</v>
      </c>
      <c r="B463" s="15">
        <v>939.2</v>
      </c>
      <c r="C463" s="15">
        <v>492.2</v>
      </c>
      <c r="E463" s="45"/>
      <c r="H463" s="45"/>
      <c r="K463" s="45"/>
    </row>
    <row r="464" spans="1:11" x14ac:dyDescent="0.25">
      <c r="A464" s="8">
        <v>45058</v>
      </c>
      <c r="B464" s="15">
        <v>943.9</v>
      </c>
      <c r="C464" s="15">
        <v>497.6</v>
      </c>
      <c r="E464" s="45"/>
      <c r="H464" s="45"/>
      <c r="K464" s="45"/>
    </row>
    <row r="465" spans="1:11" x14ac:dyDescent="0.25">
      <c r="A465" s="8">
        <v>45061</v>
      </c>
      <c r="B465" s="15">
        <v>945.75</v>
      </c>
      <c r="C465" s="15">
        <v>496.25</v>
      </c>
      <c r="E465" s="45"/>
      <c r="H465" s="45"/>
      <c r="K465" s="45"/>
    </row>
    <row r="466" spans="1:11" x14ac:dyDescent="0.25">
      <c r="A466" s="8">
        <v>45062</v>
      </c>
      <c r="B466" s="15">
        <v>946.35</v>
      </c>
      <c r="C466" s="15">
        <v>495.55</v>
      </c>
      <c r="E466" s="45"/>
      <c r="H466" s="45"/>
      <c r="K466" s="45"/>
    </row>
    <row r="467" spans="1:11" x14ac:dyDescent="0.25">
      <c r="A467" s="8">
        <v>45063</v>
      </c>
      <c r="B467" s="15">
        <v>939.35</v>
      </c>
      <c r="C467" s="15">
        <v>501.65</v>
      </c>
      <c r="E467" s="45"/>
      <c r="H467" s="45"/>
      <c r="K467" s="45"/>
    </row>
    <row r="468" spans="1:11" x14ac:dyDescent="0.25">
      <c r="A468" s="8">
        <v>45064</v>
      </c>
      <c r="B468" s="15">
        <v>946.5</v>
      </c>
      <c r="C468" s="15">
        <v>491.75</v>
      </c>
      <c r="E468" s="45"/>
      <c r="H468" s="45"/>
      <c r="K468" s="45"/>
    </row>
    <row r="469" spans="1:11" x14ac:dyDescent="0.25">
      <c r="A469" s="8">
        <v>45065</v>
      </c>
      <c r="B469" s="15">
        <v>954.3</v>
      </c>
      <c r="C469" s="15">
        <v>492.55</v>
      </c>
      <c r="E469" s="45"/>
      <c r="H469" s="45"/>
      <c r="K469" s="45"/>
    </row>
    <row r="470" spans="1:11" x14ac:dyDescent="0.25">
      <c r="A470" s="8">
        <v>45068</v>
      </c>
      <c r="B470" s="15">
        <v>950.35</v>
      </c>
      <c r="C470" s="15">
        <v>491.8</v>
      </c>
      <c r="E470" s="45"/>
      <c r="H470" s="45"/>
      <c r="K470" s="45"/>
    </row>
    <row r="471" spans="1:11" x14ac:dyDescent="0.25">
      <c r="A471" s="8">
        <v>45069</v>
      </c>
      <c r="B471" s="15">
        <v>953.4</v>
      </c>
      <c r="C471" s="15">
        <v>495.3</v>
      </c>
      <c r="E471" s="45"/>
      <c r="H471" s="45"/>
      <c r="K471" s="45"/>
    </row>
    <row r="472" spans="1:11" x14ac:dyDescent="0.25">
      <c r="A472" s="8">
        <v>45070</v>
      </c>
      <c r="B472" s="15">
        <v>940.65</v>
      </c>
      <c r="C472" s="15">
        <v>491.1</v>
      </c>
      <c r="E472" s="45"/>
      <c r="H472" s="45"/>
      <c r="K472" s="45"/>
    </row>
    <row r="473" spans="1:11" x14ac:dyDescent="0.25">
      <c r="A473" s="8">
        <v>45071</v>
      </c>
      <c r="B473" s="15">
        <v>939.85</v>
      </c>
      <c r="C473" s="15">
        <v>496.75</v>
      </c>
      <c r="E473" s="45"/>
      <c r="H473" s="45"/>
      <c r="K473" s="45"/>
    </row>
    <row r="474" spans="1:11" x14ac:dyDescent="0.25">
      <c r="A474" s="8">
        <v>45072</v>
      </c>
      <c r="B474" s="15">
        <v>950.7</v>
      </c>
      <c r="C474" s="15">
        <v>498.45</v>
      </c>
      <c r="E474" s="45"/>
      <c r="H474" s="45"/>
      <c r="K474" s="45"/>
    </row>
    <row r="475" spans="1:11" x14ac:dyDescent="0.25">
      <c r="A475" s="8">
        <v>45075</v>
      </c>
      <c r="B475" s="15">
        <v>948.15</v>
      </c>
      <c r="C475" s="15">
        <v>509</v>
      </c>
      <c r="E475" s="45"/>
      <c r="H475" s="45"/>
      <c r="K475" s="45"/>
    </row>
    <row r="476" spans="1:11" x14ac:dyDescent="0.25">
      <c r="A476" s="8">
        <v>45076</v>
      </c>
      <c r="B476" s="15">
        <v>949.95</v>
      </c>
      <c r="C476" s="15">
        <v>504.75</v>
      </c>
      <c r="E476" s="45"/>
      <c r="H476" s="45"/>
      <c r="K476" s="45"/>
    </row>
    <row r="477" spans="1:11" x14ac:dyDescent="0.25">
      <c r="A477" s="8">
        <v>45077</v>
      </c>
      <c r="B477" s="15">
        <v>949.15</v>
      </c>
      <c r="C477" s="15">
        <v>496.05</v>
      </c>
      <c r="E477" s="45"/>
      <c r="H477" s="45"/>
      <c r="K477" s="45"/>
    </row>
    <row r="478" spans="1:11" x14ac:dyDescent="0.25">
      <c r="A478" s="8">
        <v>45078</v>
      </c>
      <c r="B478" s="15">
        <v>936.1</v>
      </c>
      <c r="C478" s="15">
        <v>489.95</v>
      </c>
      <c r="E478" s="45"/>
      <c r="H478" s="45"/>
      <c r="K478" s="45"/>
    </row>
    <row r="479" spans="1:11" x14ac:dyDescent="0.25">
      <c r="A479" s="8">
        <v>45079</v>
      </c>
      <c r="B479" s="15">
        <v>938.15</v>
      </c>
      <c r="C479" s="15">
        <v>500.35</v>
      </c>
      <c r="E479" s="45"/>
      <c r="H479" s="45"/>
      <c r="K479" s="45"/>
    </row>
    <row r="480" spans="1:11" x14ac:dyDescent="0.25">
      <c r="A480" s="8">
        <v>45082</v>
      </c>
      <c r="B480" s="15">
        <v>946.75</v>
      </c>
      <c r="C480" s="15">
        <v>516.29999999999995</v>
      </c>
      <c r="E480" s="45"/>
      <c r="H480" s="45"/>
      <c r="K480" s="45"/>
    </row>
    <row r="481" spans="1:11" x14ac:dyDescent="0.25">
      <c r="A481" s="8">
        <v>45083</v>
      </c>
      <c r="B481" s="15">
        <v>942.1</v>
      </c>
      <c r="C481" s="15">
        <v>516.75</v>
      </c>
      <c r="E481" s="45"/>
      <c r="H481" s="45"/>
      <c r="K481" s="45"/>
    </row>
    <row r="482" spans="1:11" x14ac:dyDescent="0.25">
      <c r="A482" s="8">
        <v>45084</v>
      </c>
      <c r="B482" s="15">
        <v>940.2</v>
      </c>
      <c r="C482" s="15">
        <v>540.6</v>
      </c>
      <c r="E482" s="45"/>
      <c r="H482" s="45"/>
      <c r="K482" s="45"/>
    </row>
    <row r="483" spans="1:11" x14ac:dyDescent="0.25">
      <c r="A483" s="8">
        <v>45085</v>
      </c>
      <c r="B483" s="15">
        <v>937.9</v>
      </c>
      <c r="C483" s="15">
        <v>524.5</v>
      </c>
      <c r="E483" s="45"/>
      <c r="H483" s="45"/>
      <c r="K483" s="45"/>
    </row>
    <row r="484" spans="1:11" x14ac:dyDescent="0.25">
      <c r="A484" s="8">
        <v>45086</v>
      </c>
      <c r="B484" s="15">
        <v>938.05</v>
      </c>
      <c r="C484" s="15">
        <v>524.5</v>
      </c>
      <c r="E484" s="45"/>
      <c r="H484" s="45"/>
      <c r="K484" s="45"/>
    </row>
    <row r="485" spans="1:11" x14ac:dyDescent="0.25">
      <c r="A485" s="8">
        <v>45089</v>
      </c>
      <c r="B485" s="15">
        <v>935.95</v>
      </c>
      <c r="C485" s="15">
        <v>517.45000000000005</v>
      </c>
      <c r="E485" s="45"/>
      <c r="H485" s="45"/>
      <c r="K485" s="45"/>
    </row>
    <row r="486" spans="1:11" x14ac:dyDescent="0.25">
      <c r="A486" s="8">
        <v>45090</v>
      </c>
      <c r="B486" s="15">
        <v>943.55</v>
      </c>
      <c r="C486" s="15">
        <v>517.54999999999995</v>
      </c>
      <c r="E486" s="45"/>
      <c r="H486" s="45"/>
      <c r="K486" s="45"/>
    </row>
    <row r="487" spans="1:11" x14ac:dyDescent="0.25">
      <c r="A487" s="8">
        <v>45091</v>
      </c>
      <c r="B487" s="15">
        <v>939.8</v>
      </c>
      <c r="C487" s="15">
        <v>518.45000000000005</v>
      </c>
      <c r="E487" s="45"/>
      <c r="H487" s="45"/>
      <c r="K487" s="45"/>
    </row>
    <row r="488" spans="1:11" x14ac:dyDescent="0.25">
      <c r="A488" s="8">
        <v>45092</v>
      </c>
      <c r="B488" s="15">
        <v>926.6</v>
      </c>
      <c r="C488" s="15">
        <v>520</v>
      </c>
      <c r="E488" s="45"/>
      <c r="H488" s="45"/>
      <c r="K488" s="45"/>
    </row>
    <row r="489" spans="1:11" x14ac:dyDescent="0.25">
      <c r="A489" s="8">
        <v>45093</v>
      </c>
      <c r="B489" s="15">
        <v>934.2</v>
      </c>
      <c r="C489" s="15">
        <v>526.5</v>
      </c>
      <c r="E489" s="45"/>
      <c r="H489" s="45"/>
      <c r="K489" s="45"/>
    </row>
    <row r="490" spans="1:11" x14ac:dyDescent="0.25">
      <c r="A490" s="8">
        <v>45096</v>
      </c>
      <c r="B490" s="15">
        <v>923.15</v>
      </c>
      <c r="C490" s="15">
        <v>518.85</v>
      </c>
      <c r="E490" s="45"/>
      <c r="H490" s="45"/>
      <c r="K490" s="45"/>
    </row>
    <row r="491" spans="1:11" x14ac:dyDescent="0.25">
      <c r="A491" s="8">
        <v>45097</v>
      </c>
      <c r="B491" s="15">
        <v>925.55</v>
      </c>
      <c r="C491" s="15">
        <v>509.15</v>
      </c>
      <c r="E491" s="45"/>
      <c r="H491" s="45"/>
      <c r="K491" s="45"/>
    </row>
    <row r="492" spans="1:11" x14ac:dyDescent="0.25">
      <c r="A492" s="8">
        <v>45098</v>
      </c>
      <c r="B492" s="15">
        <v>924.7</v>
      </c>
      <c r="C492" s="15">
        <v>515.15</v>
      </c>
      <c r="E492" s="45"/>
      <c r="H492" s="45"/>
      <c r="K492" s="45"/>
    </row>
    <row r="493" spans="1:11" x14ac:dyDescent="0.25">
      <c r="A493" s="8">
        <v>45099</v>
      </c>
      <c r="B493" s="15">
        <v>925.75</v>
      </c>
      <c r="C493" s="15">
        <v>526</v>
      </c>
      <c r="E493" s="45"/>
      <c r="H493" s="45"/>
      <c r="K493" s="45"/>
    </row>
    <row r="494" spans="1:11" x14ac:dyDescent="0.25">
      <c r="A494" s="8">
        <v>45100</v>
      </c>
      <c r="B494" s="15">
        <v>923.5</v>
      </c>
      <c r="C494" s="15">
        <v>563.04999999999995</v>
      </c>
      <c r="E494" s="45"/>
      <c r="H494" s="45"/>
      <c r="K494" s="45"/>
    </row>
    <row r="495" spans="1:11" x14ac:dyDescent="0.25">
      <c r="A495" s="8">
        <v>45103</v>
      </c>
      <c r="B495" s="15">
        <v>927.45</v>
      </c>
      <c r="C495" s="15">
        <v>621.9</v>
      </c>
      <c r="E495" s="45"/>
      <c r="H495" s="45"/>
      <c r="K495" s="45"/>
    </row>
    <row r="496" spans="1:11" x14ac:dyDescent="0.25">
      <c r="A496" s="8">
        <v>45104</v>
      </c>
      <c r="B496" s="15">
        <v>936.1</v>
      </c>
      <c r="C496" s="15">
        <v>605.15</v>
      </c>
      <c r="E496" s="45"/>
      <c r="H496" s="45"/>
      <c r="K496" s="45"/>
    </row>
    <row r="497" spans="1:11" x14ac:dyDescent="0.25">
      <c r="A497" s="58">
        <v>45105</v>
      </c>
      <c r="B497" s="15">
        <v>937.45</v>
      </c>
      <c r="C497" s="15">
        <v>613.9</v>
      </c>
      <c r="E497" s="45"/>
      <c r="H497" s="45"/>
      <c r="K497" s="45"/>
    </row>
    <row r="498" spans="1:11" x14ac:dyDescent="0.25">
      <c r="A498" s="62">
        <v>45107</v>
      </c>
      <c r="B498" s="15">
        <v>934.6</v>
      </c>
      <c r="C498" s="15">
        <v>608.45000000000005</v>
      </c>
      <c r="E498" s="45"/>
      <c r="H498" s="45"/>
      <c r="K498" s="45"/>
    </row>
    <row r="499" spans="1:11" x14ac:dyDescent="0.25">
      <c r="A499" s="8">
        <v>45110</v>
      </c>
      <c r="B499" s="15">
        <v>942.55</v>
      </c>
      <c r="C499" s="15">
        <v>607.70000000000005</v>
      </c>
      <c r="E499" s="45"/>
      <c r="H499" s="45"/>
      <c r="K499" s="45"/>
    </row>
    <row r="500" spans="1:11" x14ac:dyDescent="0.25">
      <c r="A500" s="8">
        <v>45111</v>
      </c>
      <c r="B500" s="15">
        <v>944.7</v>
      </c>
      <c r="C500" s="15">
        <v>606.5</v>
      </c>
      <c r="E500" s="45"/>
      <c r="H500" s="45"/>
      <c r="K500" s="45"/>
    </row>
    <row r="501" spans="1:11" x14ac:dyDescent="0.25">
      <c r="A501" s="8">
        <v>45112</v>
      </c>
      <c r="B501" s="15">
        <v>958</v>
      </c>
      <c r="C501" s="15">
        <v>607.95000000000005</v>
      </c>
      <c r="E501" s="45"/>
      <c r="H501" s="45"/>
      <c r="K501" s="45"/>
    </row>
    <row r="502" spans="1:11" x14ac:dyDescent="0.25">
      <c r="A502" s="8">
        <v>45113</v>
      </c>
      <c r="B502" s="15">
        <v>959.4</v>
      </c>
      <c r="C502" s="15">
        <v>608.85</v>
      </c>
      <c r="E502" s="45"/>
      <c r="H502" s="45"/>
      <c r="K502" s="45"/>
    </row>
    <row r="503" spans="1:11" x14ac:dyDescent="0.25">
      <c r="A503" s="8">
        <v>45114</v>
      </c>
      <c r="B503" s="15">
        <v>946.4</v>
      </c>
      <c r="C503" s="15">
        <v>601.95000000000005</v>
      </c>
      <c r="E503" s="45"/>
      <c r="H503" s="45"/>
      <c r="K503" s="45"/>
    </row>
    <row r="504" spans="1:11" x14ac:dyDescent="0.25">
      <c r="A504" s="8">
        <v>45117</v>
      </c>
      <c r="B504" s="15">
        <v>948.4</v>
      </c>
      <c r="C504" s="15">
        <v>610.15</v>
      </c>
      <c r="E504" s="45"/>
      <c r="H504" s="45"/>
      <c r="K504" s="45"/>
    </row>
    <row r="505" spans="1:11" x14ac:dyDescent="0.25">
      <c r="A505" s="8">
        <v>45118</v>
      </c>
      <c r="B505" s="15">
        <v>944.95</v>
      </c>
      <c r="C505" s="15">
        <v>609.04999999999995</v>
      </c>
      <c r="E505" s="45"/>
      <c r="H505" s="45"/>
      <c r="K505" s="45"/>
    </row>
    <row r="506" spans="1:11" x14ac:dyDescent="0.25">
      <c r="A506" s="8">
        <v>45119</v>
      </c>
      <c r="B506" s="15">
        <v>944.4</v>
      </c>
      <c r="C506" s="15">
        <v>610.1</v>
      </c>
      <c r="E506" s="45"/>
      <c r="H506" s="45"/>
      <c r="K506" s="45"/>
    </row>
    <row r="507" spans="1:11" x14ac:dyDescent="0.25">
      <c r="A507" s="8">
        <v>45120</v>
      </c>
      <c r="B507" s="15">
        <v>955.7</v>
      </c>
      <c r="C507" s="15">
        <v>608.79999999999995</v>
      </c>
      <c r="E507" s="45"/>
      <c r="H507" s="45"/>
      <c r="K507" s="45"/>
    </row>
    <row r="508" spans="1:11" x14ac:dyDescent="0.25">
      <c r="A508" s="8">
        <v>45121</v>
      </c>
      <c r="B508" s="15">
        <v>960.05</v>
      </c>
      <c r="C508" s="15">
        <v>612.65</v>
      </c>
      <c r="E508" s="45"/>
      <c r="H508" s="45"/>
      <c r="K508" s="45"/>
    </row>
    <row r="509" spans="1:11" x14ac:dyDescent="0.25">
      <c r="A509" s="8">
        <v>45124</v>
      </c>
      <c r="B509" s="15">
        <v>968.7</v>
      </c>
      <c r="C509" s="15">
        <v>615.79999999999995</v>
      </c>
      <c r="E509" s="45"/>
      <c r="H509" s="45"/>
      <c r="K509" s="45"/>
    </row>
    <row r="510" spans="1:11" x14ac:dyDescent="0.25">
      <c r="A510" s="8">
        <v>45125</v>
      </c>
      <c r="B510" s="15">
        <v>975.45</v>
      </c>
      <c r="C510" s="15">
        <v>620.20000000000005</v>
      </c>
      <c r="E510" s="45"/>
      <c r="H510" s="45"/>
      <c r="K510" s="45"/>
    </row>
    <row r="511" spans="1:11" x14ac:dyDescent="0.25">
      <c r="A511" s="8">
        <v>45126</v>
      </c>
      <c r="B511" s="15">
        <v>973.45</v>
      </c>
      <c r="C511" s="15">
        <v>618</v>
      </c>
      <c r="E511" s="45"/>
      <c r="H511" s="45"/>
      <c r="K511" s="45"/>
    </row>
    <row r="512" spans="1:11" x14ac:dyDescent="0.25">
      <c r="A512" s="8">
        <v>45127</v>
      </c>
      <c r="B512" s="15">
        <v>995.6</v>
      </c>
      <c r="C512" s="15">
        <v>631.75</v>
      </c>
      <c r="E512" s="45"/>
      <c r="H512" s="45"/>
      <c r="K512" s="45"/>
    </row>
    <row r="513" spans="1:11" x14ac:dyDescent="0.25">
      <c r="A513" s="8">
        <v>45128</v>
      </c>
      <c r="B513" s="15">
        <v>997</v>
      </c>
      <c r="C513" s="15">
        <v>633</v>
      </c>
      <c r="E513" s="45"/>
      <c r="H513" s="45"/>
      <c r="K513" s="45"/>
    </row>
    <row r="514" spans="1:11" x14ac:dyDescent="0.25">
      <c r="A514" s="8">
        <v>45131</v>
      </c>
      <c r="B514" s="15">
        <v>992</v>
      </c>
      <c r="C514" s="15">
        <v>634</v>
      </c>
      <c r="E514" s="45"/>
      <c r="H514" s="45"/>
      <c r="K514" s="45"/>
    </row>
    <row r="515" spans="1:11" x14ac:dyDescent="0.25">
      <c r="A515" s="8">
        <v>45132</v>
      </c>
      <c r="B515" s="15">
        <v>994.7</v>
      </c>
      <c r="C515" s="15">
        <v>634.15</v>
      </c>
      <c r="E515" s="45"/>
      <c r="H515" s="45"/>
      <c r="K515" s="45"/>
    </row>
    <row r="516" spans="1:11" x14ac:dyDescent="0.25">
      <c r="A516" s="8">
        <v>45133</v>
      </c>
      <c r="B516" s="15">
        <v>996.45</v>
      </c>
      <c r="C516" s="15">
        <v>635.20000000000005</v>
      </c>
      <c r="E516" s="45"/>
      <c r="H516" s="45"/>
      <c r="K516" s="45"/>
    </row>
    <row r="517" spans="1:11" x14ac:dyDescent="0.25">
      <c r="A517" s="8">
        <v>45134</v>
      </c>
      <c r="B517" s="15">
        <v>990.25</v>
      </c>
      <c r="C517" s="15">
        <v>639.9</v>
      </c>
      <c r="E517" s="45"/>
      <c r="H517" s="45"/>
      <c r="K517" s="45"/>
    </row>
    <row r="518" spans="1:11" x14ac:dyDescent="0.25">
      <c r="A518" s="8">
        <v>45135</v>
      </c>
      <c r="B518" s="15">
        <v>996.2</v>
      </c>
      <c r="C518" s="15">
        <v>637.35</v>
      </c>
      <c r="E518" s="45"/>
      <c r="H518" s="45"/>
      <c r="K518" s="45"/>
    </row>
    <row r="519" spans="1:11" x14ac:dyDescent="0.25">
      <c r="A519" s="8">
        <v>45138</v>
      </c>
      <c r="B519" s="15">
        <v>998.3</v>
      </c>
      <c r="C519" s="15">
        <v>635.29999999999995</v>
      </c>
      <c r="E519" s="45"/>
      <c r="H519" s="45"/>
      <c r="K519" s="45"/>
    </row>
    <row r="520" spans="1:11" x14ac:dyDescent="0.25">
      <c r="A520" s="8">
        <v>45139</v>
      </c>
      <c r="B520" s="15">
        <v>994.55</v>
      </c>
      <c r="C520" s="15">
        <v>636.04999999999995</v>
      </c>
      <c r="E520" s="45"/>
      <c r="H520" s="45"/>
      <c r="K520" s="45"/>
    </row>
    <row r="521" spans="1:11" x14ac:dyDescent="0.25">
      <c r="A521" s="8">
        <v>45140</v>
      </c>
      <c r="B521" s="15">
        <v>986.95</v>
      </c>
      <c r="C521" s="15">
        <v>629.1</v>
      </c>
      <c r="E521" s="45"/>
      <c r="H521" s="45"/>
      <c r="K521" s="45"/>
    </row>
    <row r="522" spans="1:11" x14ac:dyDescent="0.25">
      <c r="A522" s="8">
        <v>45141</v>
      </c>
      <c r="B522" s="15">
        <v>965</v>
      </c>
      <c r="C522" s="15">
        <v>615.85</v>
      </c>
      <c r="E522" s="45"/>
      <c r="H522" s="45"/>
      <c r="K522" s="45"/>
    </row>
    <row r="523" spans="1:11" x14ac:dyDescent="0.25">
      <c r="A523" s="8">
        <v>45142</v>
      </c>
      <c r="B523" s="15">
        <v>970.5</v>
      </c>
      <c r="C523" s="15">
        <v>619.65</v>
      </c>
      <c r="E523" s="45"/>
      <c r="H523" s="45"/>
      <c r="K523" s="45"/>
    </row>
    <row r="524" spans="1:11" x14ac:dyDescent="0.25">
      <c r="A524" s="8">
        <v>45145</v>
      </c>
      <c r="B524" s="15">
        <v>975.65</v>
      </c>
      <c r="C524" s="15">
        <v>625.20000000000005</v>
      </c>
      <c r="E524" s="45"/>
      <c r="H524" s="45"/>
      <c r="K524" s="45"/>
    </row>
    <row r="525" spans="1:11" x14ac:dyDescent="0.25">
      <c r="A525" s="8">
        <v>45146</v>
      </c>
      <c r="B525" s="15">
        <v>979.9</v>
      </c>
      <c r="C525" s="15">
        <v>628.25</v>
      </c>
      <c r="E525" s="45"/>
      <c r="H525" s="45"/>
      <c r="K525" s="45"/>
    </row>
    <row r="526" spans="1:11" x14ac:dyDescent="0.25">
      <c r="A526" s="8">
        <v>45147</v>
      </c>
      <c r="B526" s="15">
        <v>972.7</v>
      </c>
      <c r="C526" s="15">
        <v>625.95000000000005</v>
      </c>
      <c r="E526" s="45"/>
      <c r="H526" s="45"/>
      <c r="K526" s="45"/>
    </row>
    <row r="527" spans="1:11" x14ac:dyDescent="0.25">
      <c r="A527" s="8">
        <v>45148</v>
      </c>
      <c r="B527" s="15">
        <v>964.1</v>
      </c>
      <c r="C527" s="15">
        <v>626.15</v>
      </c>
      <c r="E527" s="45"/>
      <c r="H527" s="45"/>
      <c r="K527" s="45"/>
    </row>
    <row r="528" spans="1:11" x14ac:dyDescent="0.25">
      <c r="A528" s="8">
        <v>45149</v>
      </c>
      <c r="B528" s="15">
        <v>952.85</v>
      </c>
      <c r="C528" s="15">
        <v>626.1</v>
      </c>
      <c r="E528" s="45"/>
      <c r="H528" s="45"/>
      <c r="K528" s="45"/>
    </row>
    <row r="529" spans="1:11" x14ac:dyDescent="0.25">
      <c r="A529" s="8">
        <v>45152</v>
      </c>
      <c r="B529" s="15">
        <v>959.55</v>
      </c>
      <c r="C529" s="15">
        <v>620.04999999999995</v>
      </c>
      <c r="E529" s="45"/>
      <c r="H529" s="45"/>
      <c r="K529" s="45"/>
    </row>
    <row r="530" spans="1:11" x14ac:dyDescent="0.25">
      <c r="A530" s="8">
        <v>45154</v>
      </c>
      <c r="B530" s="15">
        <v>956.5</v>
      </c>
      <c r="C530" s="15">
        <v>616.25</v>
      </c>
      <c r="E530" s="45"/>
      <c r="H530" s="45"/>
      <c r="K530" s="45"/>
    </row>
    <row r="531" spans="1:11" x14ac:dyDescent="0.25">
      <c r="A531" s="8">
        <v>45155</v>
      </c>
      <c r="B531" s="15">
        <v>951.65</v>
      </c>
      <c r="C531" s="15">
        <v>620.5</v>
      </c>
      <c r="E531" s="45"/>
      <c r="H531" s="45"/>
      <c r="K531" s="45"/>
    </row>
    <row r="532" spans="1:11" x14ac:dyDescent="0.25">
      <c r="A532" s="8">
        <v>45156</v>
      </c>
      <c r="B532" s="15">
        <v>950.65</v>
      </c>
      <c r="C532" s="15">
        <v>619.75</v>
      </c>
      <c r="E532" s="45"/>
      <c r="H532" s="45"/>
      <c r="K532" s="45"/>
    </row>
    <row r="533" spans="1:11" x14ac:dyDescent="0.25">
      <c r="A533" s="8">
        <v>45159</v>
      </c>
      <c r="B533" s="15">
        <v>955.2</v>
      </c>
      <c r="C533" s="15">
        <v>620.95000000000005</v>
      </c>
      <c r="E533" s="45"/>
      <c r="H533" s="45"/>
      <c r="K533" s="45"/>
    </row>
    <row r="534" spans="1:11" x14ac:dyDescent="0.25">
      <c r="A534" s="8">
        <v>45160</v>
      </c>
      <c r="B534" s="15">
        <v>952</v>
      </c>
      <c r="C534" s="15">
        <v>620.20000000000005</v>
      </c>
      <c r="E534" s="45"/>
      <c r="H534" s="45"/>
      <c r="K534" s="45"/>
    </row>
    <row r="535" spans="1:11" x14ac:dyDescent="0.25">
      <c r="A535" s="63">
        <v>45161</v>
      </c>
      <c r="B535" s="15">
        <v>966.85</v>
      </c>
      <c r="C535" s="15">
        <v>621.65</v>
      </c>
      <c r="E535" s="45"/>
      <c r="H535" s="45"/>
      <c r="K535" s="45"/>
    </row>
    <row r="536" spans="1:11" x14ac:dyDescent="0.25">
      <c r="A536" s="8">
        <v>45162</v>
      </c>
      <c r="B536" s="15">
        <v>968.95</v>
      </c>
      <c r="C536" s="15">
        <v>624.29999999999995</v>
      </c>
      <c r="E536" s="45"/>
      <c r="H536" s="45"/>
      <c r="K536" s="45"/>
    </row>
    <row r="537" spans="1:11" x14ac:dyDescent="0.25">
      <c r="A537" s="8">
        <v>45163</v>
      </c>
      <c r="B537" s="15">
        <v>970.4</v>
      </c>
      <c r="C537" s="15">
        <v>620.9</v>
      </c>
      <c r="E537" s="45"/>
      <c r="H537" s="45"/>
      <c r="K537" s="45"/>
    </row>
    <row r="538" spans="1:11" x14ac:dyDescent="0.25">
      <c r="A538" s="8">
        <v>45166</v>
      </c>
      <c r="B538" s="15">
        <v>970.55</v>
      </c>
      <c r="C538" s="15">
        <v>623.04999999999995</v>
      </c>
      <c r="E538" s="45"/>
      <c r="H538" s="45"/>
      <c r="K538" s="45"/>
    </row>
    <row r="539" spans="1:11" x14ac:dyDescent="0.25">
      <c r="A539" s="8">
        <v>45167</v>
      </c>
      <c r="B539" s="15">
        <v>967.75</v>
      </c>
      <c r="C539" s="15">
        <v>620.4</v>
      </c>
      <c r="E539" s="45"/>
      <c r="H539" s="45"/>
      <c r="K539" s="45"/>
    </row>
    <row r="540" spans="1:11" x14ac:dyDescent="0.25">
      <c r="A540" s="8">
        <v>45168</v>
      </c>
      <c r="B540" s="15">
        <v>958.9</v>
      </c>
      <c r="C540" s="15">
        <v>615.79999999999995</v>
      </c>
      <c r="E540" s="45"/>
      <c r="H540" s="45"/>
      <c r="K540" s="45"/>
    </row>
    <row r="541" spans="1:11" x14ac:dyDescent="0.25">
      <c r="A541" s="8">
        <v>45169</v>
      </c>
      <c r="B541" s="15">
        <v>958.75</v>
      </c>
      <c r="C541" s="15">
        <v>624.85</v>
      </c>
      <c r="E541" s="45"/>
      <c r="H541" s="45"/>
      <c r="K541" s="45"/>
    </row>
    <row r="542" spans="1:11" x14ac:dyDescent="0.25">
      <c r="A542" s="8">
        <v>45170</v>
      </c>
      <c r="B542" s="15">
        <v>968.7</v>
      </c>
      <c r="C542" s="15">
        <v>624.70000000000005</v>
      </c>
      <c r="E542" s="45"/>
      <c r="H542" s="45"/>
      <c r="K542" s="45"/>
    </row>
    <row r="543" spans="1:11" x14ac:dyDescent="0.25">
      <c r="A543" s="8">
        <v>45173</v>
      </c>
      <c r="B543" s="15">
        <v>967.35</v>
      </c>
      <c r="C543" s="15">
        <v>624.54999999999995</v>
      </c>
      <c r="E543" s="45"/>
      <c r="H543" s="45"/>
      <c r="K543" s="45"/>
    </row>
    <row r="544" spans="1:11" x14ac:dyDescent="0.25">
      <c r="A544" s="8">
        <v>45174</v>
      </c>
      <c r="B544" s="15">
        <v>968.4</v>
      </c>
      <c r="C544" s="15">
        <v>626.4</v>
      </c>
      <c r="E544" s="45"/>
      <c r="H544" s="45"/>
      <c r="K544" s="45"/>
    </row>
    <row r="545" spans="1:11" x14ac:dyDescent="0.25">
      <c r="A545" s="8">
        <v>45175</v>
      </c>
      <c r="B545" s="15">
        <v>957.5</v>
      </c>
      <c r="C545" s="15">
        <v>620.75</v>
      </c>
      <c r="E545" s="45"/>
      <c r="H545" s="45"/>
      <c r="K545" s="45"/>
    </row>
    <row r="546" spans="1:11" x14ac:dyDescent="0.25">
      <c r="A546" s="8">
        <v>45176</v>
      </c>
      <c r="B546" s="15">
        <v>965.65</v>
      </c>
      <c r="C546" s="15">
        <v>635.04999999999995</v>
      </c>
      <c r="E546" s="45"/>
      <c r="H546" s="45"/>
      <c r="K546" s="45"/>
    </row>
    <row r="547" spans="1:11" x14ac:dyDescent="0.25">
      <c r="A547" s="8">
        <v>45177</v>
      </c>
      <c r="B547" s="15">
        <v>970.55</v>
      </c>
      <c r="C547" s="15">
        <v>633.29999999999995</v>
      </c>
      <c r="E547" s="45"/>
      <c r="H547" s="45"/>
      <c r="K547" s="45"/>
    </row>
    <row r="548" spans="1:11" x14ac:dyDescent="0.25">
      <c r="A548" s="8">
        <v>45180</v>
      </c>
      <c r="B548" s="15">
        <v>978.25</v>
      </c>
      <c r="C548" s="15">
        <v>632.35</v>
      </c>
      <c r="E548" s="45"/>
      <c r="H548" s="45"/>
      <c r="K548" s="45"/>
    </row>
    <row r="549" spans="1:11" x14ac:dyDescent="0.25">
      <c r="A549" s="8">
        <v>45181</v>
      </c>
      <c r="B549" s="15">
        <v>990.5</v>
      </c>
      <c r="C549" s="15">
        <v>637.45000000000005</v>
      </c>
      <c r="E549" s="45"/>
      <c r="H549" s="45"/>
      <c r="K549" s="45"/>
    </row>
    <row r="550" spans="1:11" x14ac:dyDescent="0.25">
      <c r="A550" s="8">
        <v>45182</v>
      </c>
      <c r="B550" s="15">
        <v>989.8</v>
      </c>
      <c r="C550" s="15">
        <v>637.04999999999995</v>
      </c>
      <c r="E550" s="45"/>
      <c r="H550" s="45"/>
      <c r="K550" s="45"/>
    </row>
    <row r="551" spans="1:11" x14ac:dyDescent="0.25">
      <c r="A551" s="8">
        <v>45183</v>
      </c>
      <c r="B551" s="15">
        <v>987.7</v>
      </c>
      <c r="C551" s="15">
        <v>636.9</v>
      </c>
      <c r="E551" s="45"/>
      <c r="H551" s="45"/>
      <c r="K551" s="45"/>
    </row>
    <row r="552" spans="1:11" x14ac:dyDescent="0.25">
      <c r="A552" s="8">
        <v>45184</v>
      </c>
      <c r="B552" s="15">
        <v>992.45</v>
      </c>
      <c r="C552" s="15">
        <v>639.35</v>
      </c>
      <c r="E552" s="45"/>
      <c r="H552" s="45"/>
      <c r="K552" s="45"/>
    </row>
    <row r="553" spans="1:11" x14ac:dyDescent="0.25">
      <c r="A553" s="8">
        <v>45187</v>
      </c>
      <c r="B553" s="15">
        <v>990.2</v>
      </c>
      <c r="C553" s="15">
        <v>641.25</v>
      </c>
      <c r="E553" s="45"/>
      <c r="H553" s="45"/>
      <c r="K553" s="45"/>
    </row>
    <row r="554" spans="1:11" x14ac:dyDescent="0.25">
      <c r="A554" s="8">
        <v>45189</v>
      </c>
      <c r="B554" s="15">
        <v>987.15</v>
      </c>
      <c r="C554" s="15">
        <v>633.6</v>
      </c>
      <c r="E554" s="45"/>
      <c r="H554" s="45"/>
      <c r="K554" s="45"/>
    </row>
    <row r="555" spans="1:11" x14ac:dyDescent="0.25">
      <c r="A555" s="8">
        <v>45190</v>
      </c>
      <c r="B555" s="15">
        <v>959.3</v>
      </c>
      <c r="C555" s="15">
        <v>617.4</v>
      </c>
      <c r="E555" s="45"/>
      <c r="H555" s="45"/>
      <c r="K555" s="45"/>
    </row>
    <row r="556" spans="1:11" x14ac:dyDescent="0.25">
      <c r="A556" s="8">
        <v>45191</v>
      </c>
      <c r="B556" s="15">
        <v>950.3</v>
      </c>
      <c r="C556" s="15">
        <v>613.45000000000005</v>
      </c>
      <c r="E556" s="45"/>
      <c r="H556" s="45"/>
      <c r="K556" s="45"/>
    </row>
    <row r="557" spans="1:11" x14ac:dyDescent="0.25">
      <c r="A557" s="8">
        <v>45194</v>
      </c>
      <c r="B557" s="15">
        <v>956.35</v>
      </c>
      <c r="C557" s="15">
        <v>616.1</v>
      </c>
      <c r="E557" s="45"/>
      <c r="H557" s="45"/>
      <c r="K557" s="45"/>
    </row>
    <row r="558" spans="1:11" x14ac:dyDescent="0.25">
      <c r="A558" s="8">
        <v>45195</v>
      </c>
      <c r="B558" s="15">
        <v>948.7</v>
      </c>
      <c r="C558" s="15">
        <v>614.20000000000005</v>
      </c>
      <c r="E558" s="45"/>
      <c r="H558" s="45"/>
      <c r="K558" s="45"/>
    </row>
    <row r="559" spans="1:11" x14ac:dyDescent="0.25">
      <c r="A559" s="8">
        <v>45196</v>
      </c>
      <c r="B559" s="15">
        <v>943.1</v>
      </c>
      <c r="C559" s="15">
        <v>614.85</v>
      </c>
      <c r="E559" s="45"/>
      <c r="H559" s="45"/>
      <c r="K559" s="45"/>
    </row>
    <row r="560" spans="1:11" x14ac:dyDescent="0.25">
      <c r="A560" s="8">
        <v>45197</v>
      </c>
      <c r="B560" s="15">
        <v>942.6</v>
      </c>
      <c r="C560" s="15">
        <v>620.70000000000005</v>
      </c>
      <c r="E560" s="45"/>
      <c r="H560" s="45"/>
      <c r="K560" s="45"/>
    </row>
    <row r="561" spans="1:11" x14ac:dyDescent="0.25">
      <c r="A561" s="8">
        <v>45198</v>
      </c>
      <c r="B561" s="15">
        <v>951.9</v>
      </c>
      <c r="C561" s="15">
        <v>621.4</v>
      </c>
      <c r="E561" s="45"/>
      <c r="H561" s="45"/>
      <c r="K561" s="45"/>
    </row>
    <row r="562" spans="1:11" x14ac:dyDescent="0.25">
      <c r="A562" s="63">
        <v>45202</v>
      </c>
      <c r="B562" s="15">
        <v>940.3</v>
      </c>
      <c r="C562" s="15">
        <v>616.15</v>
      </c>
      <c r="E562" s="45"/>
      <c r="H562" s="45"/>
      <c r="K562" s="45"/>
    </row>
    <row r="563" spans="1:11" x14ac:dyDescent="0.25">
      <c r="A563" s="8">
        <v>45203</v>
      </c>
      <c r="B563" s="15">
        <v>930.05</v>
      </c>
      <c r="C563" s="15">
        <v>611.1</v>
      </c>
      <c r="E563" s="45"/>
      <c r="H563" s="45"/>
      <c r="K563" s="45"/>
    </row>
    <row r="564" spans="1:11" x14ac:dyDescent="0.25">
      <c r="A564" s="8">
        <v>45204</v>
      </c>
      <c r="B564" s="15">
        <v>940.85</v>
      </c>
      <c r="C564" s="15">
        <v>619.70000000000005</v>
      </c>
      <c r="E564" s="45"/>
      <c r="H564" s="45"/>
      <c r="K564" s="45"/>
    </row>
    <row r="565" spans="1:11" x14ac:dyDescent="0.25">
      <c r="A565" s="8">
        <v>45205</v>
      </c>
      <c r="B565" s="15">
        <v>945.2</v>
      </c>
      <c r="C565" s="15">
        <v>628.35</v>
      </c>
      <c r="E565" s="45"/>
      <c r="H565" s="45"/>
      <c r="K565" s="45"/>
    </row>
    <row r="566" spans="1:11" x14ac:dyDescent="0.25">
      <c r="A566" s="8">
        <v>45208</v>
      </c>
      <c r="B566" s="15">
        <v>938.6</v>
      </c>
      <c r="C566" s="15">
        <v>619.04999999999995</v>
      </c>
      <c r="E566" s="45"/>
      <c r="H566" s="45"/>
      <c r="K566" s="45"/>
    </row>
    <row r="567" spans="1:11" x14ac:dyDescent="0.25">
      <c r="A567" s="8">
        <v>45209</v>
      </c>
      <c r="B567" s="15">
        <v>951.2</v>
      </c>
      <c r="C567" s="15">
        <v>629.54999999999995</v>
      </c>
      <c r="E567" s="45"/>
      <c r="H567" s="45"/>
      <c r="K567" s="45"/>
    </row>
    <row r="568" spans="1:11" x14ac:dyDescent="0.25">
      <c r="A568" s="8">
        <v>45210</v>
      </c>
      <c r="B568" s="15">
        <v>953.1</v>
      </c>
      <c r="C568" s="15">
        <v>634.20000000000005</v>
      </c>
      <c r="E568" s="45"/>
      <c r="H568" s="45"/>
      <c r="K568" s="45"/>
    </row>
    <row r="569" spans="1:11" x14ac:dyDescent="0.25">
      <c r="A569" s="8">
        <v>45211</v>
      </c>
      <c r="B569" s="15">
        <v>954.25</v>
      </c>
      <c r="C569" s="15">
        <v>637.65</v>
      </c>
      <c r="E569" s="45"/>
      <c r="H569" s="45"/>
      <c r="K569" s="45"/>
    </row>
    <row r="570" spans="1:11" x14ac:dyDescent="0.25">
      <c r="A570" s="8">
        <v>45212</v>
      </c>
      <c r="B570" s="15">
        <v>951.3</v>
      </c>
      <c r="C570" s="15">
        <v>630.70000000000005</v>
      </c>
      <c r="E570" s="45"/>
      <c r="H570" s="45"/>
      <c r="K570" s="45"/>
    </row>
    <row r="571" spans="1:11" x14ac:dyDescent="0.25">
      <c r="A571" s="8">
        <v>45215</v>
      </c>
      <c r="B571" s="15">
        <v>951.4</v>
      </c>
      <c r="C571" s="15">
        <v>631.95000000000005</v>
      </c>
      <c r="E571" s="45"/>
      <c r="H571" s="45"/>
      <c r="K571" s="45"/>
    </row>
    <row r="572" spans="1:11" x14ac:dyDescent="0.25">
      <c r="A572" s="8">
        <v>45216</v>
      </c>
      <c r="B572" s="15">
        <v>953.9</v>
      </c>
      <c r="C572" s="15">
        <v>644.25</v>
      </c>
      <c r="E572" s="45"/>
      <c r="H572" s="45"/>
      <c r="K572" s="45"/>
    </row>
    <row r="573" spans="1:11" x14ac:dyDescent="0.25">
      <c r="A573" s="8">
        <v>45217</v>
      </c>
      <c r="B573" s="15">
        <v>943.75</v>
      </c>
      <c r="C573" s="15">
        <v>637.25</v>
      </c>
      <c r="E573" s="45"/>
      <c r="H573" s="45"/>
      <c r="K573" s="45"/>
    </row>
    <row r="574" spans="1:11" x14ac:dyDescent="0.25">
      <c r="A574" s="8">
        <v>45218</v>
      </c>
      <c r="B574" s="15">
        <v>935.75</v>
      </c>
      <c r="C574" s="15">
        <v>631.5</v>
      </c>
      <c r="E574" s="45"/>
      <c r="H574" s="45"/>
      <c r="K574" s="45"/>
    </row>
    <row r="575" spans="1:11" x14ac:dyDescent="0.25">
      <c r="A575" s="8">
        <v>45219</v>
      </c>
      <c r="B575" s="15">
        <v>932.75</v>
      </c>
      <c r="C575" s="15">
        <v>668.05</v>
      </c>
      <c r="E575" s="45"/>
      <c r="H575" s="45"/>
      <c r="K575" s="45"/>
    </row>
    <row r="576" spans="1:11" x14ac:dyDescent="0.25">
      <c r="A576" s="8">
        <v>45222</v>
      </c>
      <c r="B576" s="15">
        <v>929.95</v>
      </c>
      <c r="C576" s="15">
        <v>654.25</v>
      </c>
      <c r="E576" s="45"/>
      <c r="H576" s="45"/>
      <c r="K576" s="45"/>
    </row>
    <row r="577" spans="1:11" x14ac:dyDescent="0.25">
      <c r="A577" s="8">
        <v>45224</v>
      </c>
      <c r="B577" s="15">
        <v>916.1</v>
      </c>
      <c r="C577" s="15">
        <v>648.65</v>
      </c>
      <c r="E577" s="45"/>
      <c r="H577" s="45"/>
      <c r="K577" s="45"/>
    </row>
    <row r="578" spans="1:11" x14ac:dyDescent="0.25">
      <c r="A578" s="8">
        <v>45225</v>
      </c>
      <c r="B578" s="15">
        <v>908.65</v>
      </c>
      <c r="C578" s="15">
        <v>644.5</v>
      </c>
      <c r="E578" s="45"/>
      <c r="H578" s="45"/>
      <c r="K578" s="45"/>
    </row>
    <row r="579" spans="1:11" x14ac:dyDescent="0.25">
      <c r="A579" s="8">
        <v>45226</v>
      </c>
      <c r="B579" s="15">
        <v>912.75</v>
      </c>
      <c r="C579" s="15">
        <v>635.9</v>
      </c>
      <c r="E579" s="45"/>
      <c r="H579" s="45"/>
      <c r="K579" s="45"/>
    </row>
    <row r="580" spans="1:11" x14ac:dyDescent="0.25">
      <c r="A580" s="8">
        <v>45229</v>
      </c>
      <c r="B580" s="15">
        <v>924.9</v>
      </c>
      <c r="C580" s="15">
        <v>636.15</v>
      </c>
      <c r="E580" s="45"/>
      <c r="H580" s="45"/>
      <c r="K580" s="45"/>
    </row>
    <row r="581" spans="1:11" x14ac:dyDescent="0.25">
      <c r="A581" s="8">
        <v>45230</v>
      </c>
      <c r="B581" s="15">
        <v>915.35</v>
      </c>
      <c r="C581" s="15">
        <v>639.1</v>
      </c>
      <c r="E581" s="45"/>
      <c r="H581" s="45"/>
      <c r="K581" s="45"/>
    </row>
    <row r="582" spans="1:11" x14ac:dyDescent="0.25">
      <c r="A582" s="8">
        <v>45231</v>
      </c>
      <c r="B582" s="15">
        <v>914.05</v>
      </c>
      <c r="C582" s="15">
        <v>626.95000000000005</v>
      </c>
      <c r="E582" s="45"/>
      <c r="H582" s="45"/>
      <c r="K582" s="45"/>
    </row>
    <row r="583" spans="1:11" x14ac:dyDescent="0.25">
      <c r="A583" s="8">
        <v>45232</v>
      </c>
      <c r="B583" s="15">
        <v>919.95</v>
      </c>
      <c r="C583" s="15">
        <v>626.25</v>
      </c>
      <c r="E583" s="45"/>
      <c r="H583" s="45"/>
      <c r="K583" s="45"/>
    </row>
    <row r="584" spans="1:11" x14ac:dyDescent="0.25">
      <c r="A584" s="8">
        <v>45233</v>
      </c>
      <c r="B584" s="15">
        <v>933.8</v>
      </c>
      <c r="C584" s="15">
        <v>643.79999999999995</v>
      </c>
      <c r="E584" s="45"/>
      <c r="H584" s="45"/>
      <c r="K584" s="45"/>
    </row>
    <row r="585" spans="1:11" x14ac:dyDescent="0.25">
      <c r="A585" s="8">
        <v>45236</v>
      </c>
      <c r="B585" s="15">
        <v>945.45</v>
      </c>
      <c r="C585" s="15">
        <v>653.65</v>
      </c>
      <c r="E585" s="45"/>
      <c r="H585" s="45"/>
      <c r="K585" s="45"/>
    </row>
    <row r="586" spans="1:11" x14ac:dyDescent="0.25">
      <c r="A586" s="8">
        <v>45237</v>
      </c>
      <c r="B586" s="15">
        <v>948.1</v>
      </c>
      <c r="C586" s="15">
        <v>650.25</v>
      </c>
      <c r="E586" s="45"/>
      <c r="H586" s="45"/>
      <c r="K586" s="45"/>
    </row>
    <row r="587" spans="1:11" x14ac:dyDescent="0.25">
      <c r="A587" s="8">
        <v>45238</v>
      </c>
      <c r="B587" s="15">
        <v>935.75</v>
      </c>
      <c r="C587" s="15">
        <v>641.20000000000005</v>
      </c>
      <c r="E587" s="45"/>
      <c r="H587" s="45"/>
      <c r="K587" s="45"/>
    </row>
    <row r="588" spans="1:11" x14ac:dyDescent="0.25">
      <c r="A588" s="8">
        <v>45239</v>
      </c>
      <c r="B588" s="15">
        <v>937.35</v>
      </c>
      <c r="C588" s="15">
        <v>660</v>
      </c>
      <c r="E588" s="45"/>
      <c r="H588" s="45"/>
      <c r="K588" s="45"/>
    </row>
    <row r="589" spans="1:11" x14ac:dyDescent="0.25">
      <c r="A589" s="8">
        <v>45240</v>
      </c>
      <c r="B589" s="15">
        <v>938.6</v>
      </c>
      <c r="C589" s="15">
        <v>656.35</v>
      </c>
      <c r="E589" s="45"/>
      <c r="H589" s="45"/>
      <c r="K589" s="45"/>
    </row>
    <row r="590" spans="1:11" x14ac:dyDescent="0.25">
      <c r="A590" s="8">
        <v>45242</v>
      </c>
      <c r="B590" s="15">
        <v>942.35</v>
      </c>
      <c r="C590" s="15">
        <v>656.55</v>
      </c>
      <c r="E590" s="45"/>
      <c r="H590" s="45"/>
      <c r="K590" s="45"/>
    </row>
    <row r="591" spans="1:11" x14ac:dyDescent="0.25">
      <c r="A591" s="8">
        <v>45243</v>
      </c>
      <c r="B591" s="15">
        <v>934.45</v>
      </c>
      <c r="C591" s="15">
        <v>649.9</v>
      </c>
      <c r="E591" s="45"/>
      <c r="H591" s="45"/>
      <c r="K591" s="45"/>
    </row>
    <row r="592" spans="1:11" x14ac:dyDescent="0.25">
      <c r="A592" s="8">
        <v>45245</v>
      </c>
      <c r="B592" s="15">
        <v>941.1</v>
      </c>
      <c r="C592" s="15">
        <v>674.8</v>
      </c>
      <c r="E592" s="45"/>
      <c r="H592" s="45"/>
      <c r="K592" s="45"/>
    </row>
    <row r="593" spans="1:11" x14ac:dyDescent="0.25">
      <c r="A593" s="8">
        <v>45246</v>
      </c>
      <c r="B593" s="15">
        <v>936</v>
      </c>
      <c r="C593" s="15">
        <v>693.3</v>
      </c>
      <c r="E593" s="45"/>
      <c r="H593" s="45"/>
      <c r="K593" s="45"/>
    </row>
    <row r="594" spans="1:11" x14ac:dyDescent="0.25">
      <c r="A594" s="8">
        <v>45247</v>
      </c>
      <c r="B594" s="15">
        <v>921.85</v>
      </c>
      <c r="C594" s="15">
        <v>675</v>
      </c>
      <c r="E594" s="45"/>
      <c r="H594" s="45"/>
      <c r="K594" s="45"/>
    </row>
    <row r="595" spans="1:11" x14ac:dyDescent="0.25">
      <c r="A595" s="8">
        <v>45250</v>
      </c>
      <c r="B595" s="15">
        <v>921.45</v>
      </c>
      <c r="C595" s="15">
        <v>687.2</v>
      </c>
      <c r="E595" s="45"/>
      <c r="H595" s="45"/>
      <c r="K595" s="45"/>
    </row>
    <row r="596" spans="1:11" x14ac:dyDescent="0.25">
      <c r="A596" s="8">
        <v>45251</v>
      </c>
      <c r="B596" s="15">
        <v>926.1</v>
      </c>
      <c r="C596" s="15">
        <v>682.6</v>
      </c>
      <c r="E596" s="45"/>
      <c r="H596" s="45"/>
      <c r="K596" s="45"/>
    </row>
    <row r="597" spans="1:11" x14ac:dyDescent="0.25">
      <c r="A597" s="8">
        <v>45252</v>
      </c>
      <c r="B597" s="15">
        <v>922.75</v>
      </c>
      <c r="C597" s="15">
        <v>670.35</v>
      </c>
      <c r="E597" s="45"/>
      <c r="H597" s="45"/>
      <c r="K597" s="45"/>
    </row>
    <row r="598" spans="1:11" x14ac:dyDescent="0.25">
      <c r="A598" s="8">
        <v>45253</v>
      </c>
      <c r="B598" s="15">
        <v>923</v>
      </c>
      <c r="C598" s="15">
        <v>675.05</v>
      </c>
      <c r="E598" s="45"/>
      <c r="H598" s="45"/>
      <c r="K598" s="45"/>
    </row>
    <row r="599" spans="1:11" x14ac:dyDescent="0.25">
      <c r="A599" s="8">
        <v>45254</v>
      </c>
      <c r="B599" s="15">
        <v>929.4</v>
      </c>
      <c r="C599" s="15">
        <v>668.7</v>
      </c>
      <c r="E599" s="45"/>
      <c r="H599" s="45"/>
      <c r="K599" s="45"/>
    </row>
    <row r="600" spans="1:11" x14ac:dyDescent="0.25">
      <c r="A600" s="8">
        <v>45258</v>
      </c>
      <c r="B600" s="15">
        <v>925.5</v>
      </c>
      <c r="C600" s="15">
        <v>668.1</v>
      </c>
      <c r="E600" s="45"/>
      <c r="H600" s="45"/>
      <c r="K600" s="45"/>
    </row>
    <row r="601" spans="1:11" x14ac:dyDescent="0.25">
      <c r="A601" s="8">
        <v>45259</v>
      </c>
      <c r="B601" s="15">
        <v>939.6</v>
      </c>
      <c r="C601" s="15">
        <v>664.45</v>
      </c>
      <c r="E601" s="45"/>
      <c r="H601" s="45"/>
      <c r="K601" s="45"/>
    </row>
    <row r="602" spans="1:11" x14ac:dyDescent="0.25">
      <c r="A602" s="8">
        <v>45260</v>
      </c>
      <c r="B602" s="15">
        <v>934.95</v>
      </c>
      <c r="C602" s="15">
        <v>680.45</v>
      </c>
      <c r="E602" s="45"/>
      <c r="H602" s="45"/>
      <c r="K602" s="45"/>
    </row>
    <row r="603" spans="1:11" x14ac:dyDescent="0.25">
      <c r="A603" s="8">
        <v>45261</v>
      </c>
      <c r="B603" s="15">
        <v>946.7</v>
      </c>
      <c r="C603" s="15">
        <v>682.5</v>
      </c>
      <c r="E603" s="45"/>
      <c r="H603" s="45"/>
      <c r="K603" s="45"/>
    </row>
    <row r="604" spans="1:11" x14ac:dyDescent="0.25">
      <c r="A604" s="8">
        <v>45264</v>
      </c>
      <c r="B604" s="15">
        <v>991.2</v>
      </c>
      <c r="C604" s="15">
        <v>699.35</v>
      </c>
      <c r="E604" s="45"/>
      <c r="H604" s="45"/>
      <c r="K604" s="45"/>
    </row>
    <row r="605" spans="1:11" x14ac:dyDescent="0.25">
      <c r="A605" s="8">
        <v>45265</v>
      </c>
      <c r="B605" s="15">
        <v>1013.45</v>
      </c>
      <c r="C605" s="15">
        <v>716.1</v>
      </c>
      <c r="E605" s="45"/>
      <c r="H605" s="45"/>
      <c r="K605" s="45"/>
    </row>
    <row r="606" spans="1:11" x14ac:dyDescent="0.25">
      <c r="A606" s="8">
        <v>45266</v>
      </c>
      <c r="B606" s="15">
        <v>1003.25</v>
      </c>
      <c r="C606" s="15">
        <v>722.55</v>
      </c>
      <c r="E606" s="45"/>
      <c r="H606" s="45"/>
      <c r="K606" s="45"/>
    </row>
    <row r="607" spans="1:11" x14ac:dyDescent="0.25">
      <c r="A607" s="8">
        <v>45267</v>
      </c>
      <c r="B607" s="15">
        <v>999</v>
      </c>
      <c r="C607" s="15">
        <v>727.25</v>
      </c>
      <c r="E607" s="45"/>
      <c r="H607" s="45"/>
      <c r="K607" s="45"/>
    </row>
    <row r="608" spans="1:11" x14ac:dyDescent="0.25">
      <c r="A608" s="8">
        <v>45268</v>
      </c>
      <c r="B608" s="15">
        <v>1010.85</v>
      </c>
      <c r="C608" s="15">
        <v>724.45</v>
      </c>
      <c r="E608" s="45"/>
      <c r="H608" s="45"/>
      <c r="K608" s="45"/>
    </row>
    <row r="609" spans="1:11" x14ac:dyDescent="0.25">
      <c r="A609" s="8">
        <v>45271</v>
      </c>
      <c r="B609" s="15">
        <v>1017.1</v>
      </c>
      <c r="C609" s="15">
        <v>721.65</v>
      </c>
      <c r="E609" s="45"/>
      <c r="H609" s="45"/>
      <c r="K609" s="45"/>
    </row>
    <row r="610" spans="1:11" x14ac:dyDescent="0.25">
      <c r="A610" s="8">
        <v>45272</v>
      </c>
      <c r="B610" s="15">
        <v>1015.7</v>
      </c>
      <c r="C610" s="15">
        <v>722.85</v>
      </c>
      <c r="E610" s="45"/>
      <c r="H610" s="45"/>
      <c r="K610" s="45"/>
    </row>
    <row r="611" spans="1:11" x14ac:dyDescent="0.25">
      <c r="A611" s="8">
        <v>45273</v>
      </c>
      <c r="B611" s="15">
        <v>1013.9</v>
      </c>
      <c r="C611" s="15">
        <v>723.75</v>
      </c>
      <c r="E611" s="45"/>
      <c r="H611" s="45"/>
      <c r="K611" s="45"/>
    </row>
    <row r="612" spans="1:11" x14ac:dyDescent="0.25">
      <c r="A612" s="8">
        <v>45274</v>
      </c>
      <c r="B612" s="15">
        <v>1033.6500000000001</v>
      </c>
      <c r="C612" s="15">
        <v>728.2</v>
      </c>
      <c r="E612" s="45"/>
      <c r="H612" s="45"/>
      <c r="K612" s="45"/>
    </row>
    <row r="613" spans="1:11" x14ac:dyDescent="0.25">
      <c r="A613" s="8">
        <v>45275</v>
      </c>
      <c r="B613" s="15">
        <v>1037.4000000000001</v>
      </c>
      <c r="C613" s="15">
        <v>732.7</v>
      </c>
      <c r="E613" s="45"/>
      <c r="H613" s="45"/>
      <c r="K613" s="45"/>
    </row>
    <row r="614" spans="1:11" x14ac:dyDescent="0.25">
      <c r="A614" s="8">
        <v>45278</v>
      </c>
      <c r="B614" s="15">
        <v>1021.45</v>
      </c>
      <c r="C614" s="15">
        <v>732.7</v>
      </c>
      <c r="E614" s="45"/>
      <c r="H614" s="45"/>
      <c r="K614" s="45"/>
    </row>
    <row r="615" spans="1:11" x14ac:dyDescent="0.25">
      <c r="A615" s="8">
        <v>45279</v>
      </c>
      <c r="B615" s="15">
        <v>1015.45</v>
      </c>
      <c r="C615" s="15">
        <v>748.15</v>
      </c>
      <c r="E615" s="45"/>
      <c r="H615" s="45"/>
      <c r="K615" s="45"/>
    </row>
    <row r="616" spans="1:11" x14ac:dyDescent="0.25">
      <c r="A616" s="8">
        <v>45280</v>
      </c>
      <c r="B616" s="15">
        <v>1006.65</v>
      </c>
      <c r="C616" s="15">
        <v>721.8</v>
      </c>
      <c r="E616" s="45"/>
      <c r="H616" s="45"/>
      <c r="K616" s="45"/>
    </row>
    <row r="617" spans="1:11" x14ac:dyDescent="0.25">
      <c r="A617" s="8">
        <v>45281</v>
      </c>
      <c r="B617" s="15">
        <v>1004.4</v>
      </c>
      <c r="C617" s="15">
        <v>738.4</v>
      </c>
      <c r="E617" s="45"/>
      <c r="H617" s="45"/>
      <c r="K617" s="45"/>
    </row>
    <row r="618" spans="1:11" x14ac:dyDescent="0.25">
      <c r="A618" s="8">
        <v>45282</v>
      </c>
      <c r="B618" s="15">
        <v>994.3</v>
      </c>
      <c r="C618" s="15">
        <v>731.6</v>
      </c>
      <c r="E618" s="45"/>
      <c r="H618" s="45"/>
      <c r="K618" s="45"/>
    </row>
    <row r="619" spans="1:11" x14ac:dyDescent="0.25">
      <c r="A619" s="8">
        <v>45286</v>
      </c>
      <c r="B619" s="15">
        <v>995.1</v>
      </c>
      <c r="C619" s="15">
        <v>721.2</v>
      </c>
      <c r="E619" s="45"/>
      <c r="H619" s="45"/>
      <c r="K619" s="45"/>
    </row>
    <row r="620" spans="1:11" x14ac:dyDescent="0.25">
      <c r="A620" s="8">
        <v>45287</v>
      </c>
      <c r="B620" s="15">
        <v>1002.25</v>
      </c>
      <c r="C620" s="15">
        <v>732</v>
      </c>
      <c r="E620" s="45"/>
      <c r="H620" s="45"/>
      <c r="K620" s="45"/>
    </row>
    <row r="621" spans="1:11" x14ac:dyDescent="0.25">
      <c r="A621" s="8">
        <v>45288</v>
      </c>
      <c r="B621" s="15">
        <v>1005.9</v>
      </c>
      <c r="C621" s="15">
        <v>720.05</v>
      </c>
      <c r="E621" s="45"/>
      <c r="H621" s="45"/>
      <c r="K621" s="45"/>
    </row>
    <row r="622" spans="1:11" x14ac:dyDescent="0.25">
      <c r="A622" s="8">
        <v>45289</v>
      </c>
      <c r="B622" s="15">
        <v>996.6</v>
      </c>
      <c r="C622" s="15">
        <v>718</v>
      </c>
      <c r="E622" s="45"/>
      <c r="H622" s="45"/>
      <c r="K622" s="45"/>
    </row>
    <row r="623" spans="1:11" x14ac:dyDescent="0.25">
      <c r="A623" s="8">
        <v>45292</v>
      </c>
      <c r="B623" s="15">
        <v>999.4</v>
      </c>
      <c r="C623" s="15">
        <v>709.95</v>
      </c>
      <c r="E623" s="45"/>
      <c r="H623" s="45"/>
      <c r="K623" s="45"/>
    </row>
    <row r="624" spans="1:11" x14ac:dyDescent="0.25">
      <c r="A624" s="8">
        <v>45293</v>
      </c>
      <c r="B624" s="15">
        <v>982.25</v>
      </c>
      <c r="C624" s="15">
        <v>719.95</v>
      </c>
      <c r="E624" s="45"/>
      <c r="H624" s="45"/>
      <c r="K624" s="45"/>
    </row>
    <row r="625" spans="1:11" x14ac:dyDescent="0.25">
      <c r="A625" s="8">
        <v>45294</v>
      </c>
      <c r="B625" s="15">
        <v>984.05</v>
      </c>
      <c r="C625" s="15">
        <v>720.4</v>
      </c>
      <c r="E625" s="45"/>
      <c r="H625" s="45"/>
      <c r="K625" s="45"/>
    </row>
    <row r="626" spans="1:11" x14ac:dyDescent="0.25">
      <c r="A626" s="8">
        <v>45295</v>
      </c>
      <c r="B626" s="15">
        <v>987.15</v>
      </c>
      <c r="C626" s="15">
        <v>725.95</v>
      </c>
      <c r="E626" s="45"/>
      <c r="H626" s="45"/>
      <c r="K626" s="45"/>
    </row>
    <row r="627" spans="1:11" x14ac:dyDescent="0.25">
      <c r="A627" s="8">
        <v>45296</v>
      </c>
      <c r="B627" s="15">
        <v>993.7</v>
      </c>
      <c r="C627" s="15">
        <v>757.45</v>
      </c>
      <c r="E627" s="45"/>
      <c r="H627" s="45"/>
      <c r="K627" s="45"/>
    </row>
    <row r="628" spans="1:11" x14ac:dyDescent="0.25">
      <c r="A628" s="8">
        <v>45299</v>
      </c>
      <c r="B628" s="15">
        <v>982</v>
      </c>
      <c r="C628" s="15">
        <v>744</v>
      </c>
      <c r="E628" s="45"/>
      <c r="H628" s="45"/>
      <c r="K628" s="45"/>
    </row>
    <row r="629" spans="1:11" x14ac:dyDescent="0.25">
      <c r="A629" s="8">
        <v>45300</v>
      </c>
      <c r="B629" s="15">
        <v>979.75</v>
      </c>
      <c r="C629" s="15">
        <v>749.95</v>
      </c>
      <c r="E629" s="45"/>
      <c r="H629" s="45"/>
      <c r="K629" s="45"/>
    </row>
    <row r="630" spans="1:11" x14ac:dyDescent="0.25">
      <c r="A630" s="8">
        <v>45301</v>
      </c>
      <c r="B630" s="15">
        <v>993.05</v>
      </c>
      <c r="C630" s="15">
        <v>743.25</v>
      </c>
      <c r="E630" s="45"/>
      <c r="H630" s="45"/>
      <c r="K630" s="45"/>
    </row>
    <row r="631" spans="1:11" x14ac:dyDescent="0.25">
      <c r="A631" s="8">
        <v>45302</v>
      </c>
      <c r="B631" s="15">
        <v>991.15</v>
      </c>
      <c r="C631" s="15">
        <v>781.25</v>
      </c>
      <c r="E631" s="45"/>
      <c r="H631" s="45"/>
      <c r="K631" s="45"/>
    </row>
    <row r="632" spans="1:11" x14ac:dyDescent="0.25">
      <c r="A632" s="8">
        <v>45303</v>
      </c>
      <c r="B632" s="15">
        <v>1003.5</v>
      </c>
      <c r="C632" s="15">
        <v>768.2</v>
      </c>
      <c r="E632" s="45"/>
      <c r="H632" s="45"/>
      <c r="K632" s="45"/>
    </row>
    <row r="633" spans="1:11" x14ac:dyDescent="0.25">
      <c r="A633" s="8">
        <v>45306</v>
      </c>
      <c r="B633" s="15">
        <v>1009.85</v>
      </c>
      <c r="C633" s="15">
        <v>758.85</v>
      </c>
      <c r="E633" s="45"/>
      <c r="H633" s="45"/>
      <c r="K633" s="45"/>
    </row>
    <row r="634" spans="1:11" x14ac:dyDescent="0.25">
      <c r="A634" s="8">
        <v>45307</v>
      </c>
      <c r="B634" s="15">
        <v>1009.05</v>
      </c>
      <c r="C634" s="15">
        <v>784</v>
      </c>
      <c r="E634" s="45"/>
      <c r="H634" s="45"/>
      <c r="K634" s="45"/>
    </row>
    <row r="635" spans="1:11" x14ac:dyDescent="0.25">
      <c r="A635" s="8">
        <v>45308</v>
      </c>
      <c r="B635" s="15">
        <v>981.75</v>
      </c>
      <c r="C635" s="15">
        <v>769.95</v>
      </c>
      <c r="E635" s="45"/>
      <c r="H635" s="45"/>
      <c r="K635" s="45"/>
    </row>
    <row r="636" spans="1:11" x14ac:dyDescent="0.25">
      <c r="A636" s="8">
        <v>45309</v>
      </c>
      <c r="B636" s="15">
        <v>986.35</v>
      </c>
      <c r="C636" s="15">
        <v>763.65</v>
      </c>
      <c r="E636" s="45"/>
      <c r="H636" s="45"/>
      <c r="K636" s="45"/>
    </row>
    <row r="637" spans="1:11" x14ac:dyDescent="0.25">
      <c r="A637" s="8">
        <v>45310</v>
      </c>
      <c r="B637" s="15">
        <v>999.2</v>
      </c>
      <c r="C637" s="15">
        <v>763.75</v>
      </c>
      <c r="E637" s="45"/>
      <c r="H637" s="45"/>
      <c r="K637" s="45"/>
    </row>
    <row r="638" spans="1:11" x14ac:dyDescent="0.25">
      <c r="A638" s="8">
        <v>45311</v>
      </c>
      <c r="B638" s="15">
        <v>1008.7</v>
      </c>
      <c r="C638" s="15">
        <v>756.8</v>
      </c>
      <c r="E638" s="45"/>
      <c r="H638" s="45"/>
      <c r="K638" s="45"/>
    </row>
    <row r="639" spans="1:11" x14ac:dyDescent="0.25">
      <c r="A639" s="8">
        <v>45314</v>
      </c>
      <c r="B639" s="15">
        <v>1029.05</v>
      </c>
      <c r="C639" s="15">
        <v>758.15</v>
      </c>
      <c r="E639" s="45"/>
      <c r="H639" s="45"/>
      <c r="K639" s="45"/>
    </row>
    <row r="640" spans="1:11" x14ac:dyDescent="0.25">
      <c r="A640" s="67">
        <v>45315</v>
      </c>
      <c r="B640" s="15">
        <v>999.2</v>
      </c>
      <c r="C640" s="15">
        <v>764.65</v>
      </c>
      <c r="E640" s="45"/>
      <c r="H640" s="45"/>
      <c r="K640" s="45"/>
    </row>
    <row r="641" spans="1:11" x14ac:dyDescent="0.25">
      <c r="A641" s="8">
        <v>45316</v>
      </c>
      <c r="B641" s="15">
        <v>1009.95</v>
      </c>
      <c r="C641" s="15">
        <v>776.15</v>
      </c>
      <c r="E641" s="45"/>
      <c r="H641" s="45"/>
      <c r="K641" s="45"/>
    </row>
    <row r="642" spans="1:11" x14ac:dyDescent="0.25">
      <c r="A642" s="8">
        <v>45320</v>
      </c>
      <c r="B642" s="15">
        <v>1016.4</v>
      </c>
      <c r="C642" s="15">
        <v>774.3</v>
      </c>
      <c r="E642" s="45"/>
      <c r="H642" s="45"/>
      <c r="K642" s="45"/>
    </row>
    <row r="643" spans="1:11" x14ac:dyDescent="0.25">
      <c r="A643" s="8">
        <v>45321</v>
      </c>
      <c r="B643" s="15">
        <v>1016.9</v>
      </c>
      <c r="C643" s="15">
        <v>772.2</v>
      </c>
      <c r="E643" s="45"/>
      <c r="H643" s="45"/>
      <c r="K643" s="45"/>
    </row>
    <row r="644" spans="1:11" x14ac:dyDescent="0.25">
      <c r="A644" s="8">
        <v>45322</v>
      </c>
      <c r="B644" s="15">
        <v>1028.1500000000001</v>
      </c>
      <c r="C644" s="15">
        <v>820.5</v>
      </c>
      <c r="E644" s="45"/>
      <c r="H644" s="45"/>
      <c r="K644" s="45"/>
    </row>
    <row r="645" spans="1:11" x14ac:dyDescent="0.25">
      <c r="A645" s="8">
        <v>45323</v>
      </c>
      <c r="B645" s="15">
        <v>1025.1500000000001</v>
      </c>
      <c r="C645" s="15">
        <v>820.9</v>
      </c>
      <c r="E645" s="45"/>
      <c r="H645" s="45"/>
      <c r="K645" s="45"/>
    </row>
    <row r="646" spans="1:11" x14ac:dyDescent="0.25">
      <c r="A646" s="8">
        <v>45324</v>
      </c>
      <c r="B646" s="15">
        <v>1024</v>
      </c>
      <c r="C646" s="15">
        <v>817.2</v>
      </c>
      <c r="E646" s="45"/>
      <c r="H646" s="45"/>
      <c r="K646" s="45"/>
    </row>
    <row r="647" spans="1:11" x14ac:dyDescent="0.25">
      <c r="A647" s="8">
        <v>45327</v>
      </c>
      <c r="B647" s="15">
        <v>1023.5</v>
      </c>
      <c r="C647" s="15">
        <v>796.65</v>
      </c>
      <c r="E647" s="45"/>
      <c r="H647" s="45"/>
      <c r="K647" s="45"/>
    </row>
    <row r="648" spans="1:11" x14ac:dyDescent="0.25">
      <c r="A648" s="8">
        <v>45328</v>
      </c>
      <c r="B648" s="15">
        <v>1026.4000000000001</v>
      </c>
      <c r="C648" s="15">
        <v>819</v>
      </c>
      <c r="E648" s="45"/>
      <c r="H648" s="45"/>
      <c r="K648" s="45"/>
    </row>
    <row r="649" spans="1:11" x14ac:dyDescent="0.25">
      <c r="A649" s="8">
        <v>45329</v>
      </c>
      <c r="B649" s="15">
        <v>1022.15</v>
      </c>
      <c r="C649" s="15">
        <v>808.8</v>
      </c>
      <c r="E649" s="45"/>
      <c r="H649" s="45"/>
      <c r="K649" s="45"/>
    </row>
    <row r="650" spans="1:11" x14ac:dyDescent="0.25">
      <c r="A650" s="8">
        <v>45330</v>
      </c>
      <c r="B650" s="15">
        <v>989.3</v>
      </c>
      <c r="C650" s="15">
        <v>798.7</v>
      </c>
      <c r="E650" s="45"/>
      <c r="H650" s="45"/>
      <c r="K650" s="45"/>
    </row>
    <row r="651" spans="1:11" x14ac:dyDescent="0.25">
      <c r="A651" s="8">
        <v>45331</v>
      </c>
      <c r="B651" s="15">
        <v>1010.7</v>
      </c>
      <c r="C651" s="15">
        <v>804.5</v>
      </c>
      <c r="E651" s="45"/>
      <c r="H651" s="45"/>
      <c r="K651" s="45"/>
    </row>
    <row r="652" spans="1:11" x14ac:dyDescent="0.25">
      <c r="A652" s="8">
        <v>45334</v>
      </c>
      <c r="B652" s="15">
        <v>996.1</v>
      </c>
      <c r="C652" s="15">
        <v>786.9</v>
      </c>
      <c r="E652" s="45"/>
      <c r="H652" s="45"/>
      <c r="K652" s="45"/>
    </row>
    <row r="653" spans="1:11" x14ac:dyDescent="0.25">
      <c r="A653" s="8">
        <v>45335</v>
      </c>
      <c r="B653" s="15">
        <v>1019.8</v>
      </c>
      <c r="C653" s="15">
        <v>785.2</v>
      </c>
      <c r="E653" s="45"/>
      <c r="H653" s="45"/>
      <c r="K653" s="45"/>
    </row>
    <row r="654" spans="1:11" x14ac:dyDescent="0.25">
      <c r="A654" s="8">
        <v>45336</v>
      </c>
      <c r="B654" s="15">
        <v>1022.7</v>
      </c>
      <c r="C654" s="15">
        <v>807.4</v>
      </c>
      <c r="E654" s="45"/>
      <c r="H654" s="45"/>
      <c r="K654" s="45"/>
    </row>
    <row r="655" spans="1:11" x14ac:dyDescent="0.25">
      <c r="A655" s="8">
        <v>45337</v>
      </c>
      <c r="B655" s="15">
        <v>1016.65</v>
      </c>
      <c r="C655" s="15">
        <v>813.8</v>
      </c>
      <c r="E655" s="45"/>
      <c r="H655" s="45"/>
      <c r="K655" s="45"/>
    </row>
    <row r="656" spans="1:11" x14ac:dyDescent="0.25">
      <c r="A656" s="8">
        <v>45338</v>
      </c>
      <c r="B656" s="15">
        <v>1023.25</v>
      </c>
      <c r="C656" s="15">
        <v>786.45</v>
      </c>
      <c r="E656" s="45"/>
      <c r="H656" s="45"/>
      <c r="K656" s="45"/>
    </row>
    <row r="657" spans="1:11" x14ac:dyDescent="0.25">
      <c r="A657" s="8">
        <v>45341</v>
      </c>
      <c r="B657" s="15">
        <v>1043.75</v>
      </c>
      <c r="C657" s="15">
        <v>785.3</v>
      </c>
      <c r="E657" s="45"/>
      <c r="H657" s="45"/>
      <c r="K657" s="45"/>
    </row>
    <row r="658" spans="1:11" x14ac:dyDescent="0.25">
      <c r="A658" s="8">
        <v>45342</v>
      </c>
      <c r="B658" s="15">
        <v>1048.75</v>
      </c>
      <c r="C658" s="15">
        <v>797.5</v>
      </c>
      <c r="E658" s="45"/>
      <c r="H658" s="45"/>
      <c r="K658" s="45"/>
    </row>
    <row r="659" spans="1:11" x14ac:dyDescent="0.25">
      <c r="A659" s="8">
        <v>45343</v>
      </c>
      <c r="B659" s="15">
        <v>1051.95</v>
      </c>
      <c r="C659" s="15">
        <v>812.9</v>
      </c>
      <c r="E659" s="45"/>
      <c r="H659" s="45"/>
      <c r="K659" s="45"/>
    </row>
    <row r="660" spans="1:11" x14ac:dyDescent="0.25">
      <c r="A660" s="8">
        <v>45344</v>
      </c>
      <c r="B660" s="15">
        <v>1062.7</v>
      </c>
      <c r="C660" s="15">
        <v>819.1</v>
      </c>
      <c r="E660" s="45"/>
      <c r="H660" s="45"/>
      <c r="K660" s="45"/>
    </row>
    <row r="661" spans="1:11" x14ac:dyDescent="0.25">
      <c r="A661" s="8">
        <v>45345</v>
      </c>
      <c r="B661" s="15">
        <v>1061.3</v>
      </c>
      <c r="C661" s="15">
        <v>841.4</v>
      </c>
      <c r="E661" s="45"/>
      <c r="H661" s="45"/>
      <c r="K661" s="45"/>
    </row>
    <row r="662" spans="1:11" x14ac:dyDescent="0.25">
      <c r="A662" s="8">
        <v>45348</v>
      </c>
      <c r="B662" s="15">
        <v>1054.2</v>
      </c>
      <c r="C662" s="15">
        <v>831.95</v>
      </c>
      <c r="E662" s="45"/>
      <c r="H662" s="45"/>
      <c r="K662" s="45"/>
    </row>
    <row r="663" spans="1:11" x14ac:dyDescent="0.25">
      <c r="A663" s="8">
        <v>45349</v>
      </c>
      <c r="B663" s="15">
        <v>1060.2</v>
      </c>
      <c r="C663" s="15">
        <v>821.35</v>
      </c>
      <c r="E663" s="45"/>
      <c r="H663" s="45"/>
      <c r="K663" s="45"/>
    </row>
    <row r="664" spans="1:11" x14ac:dyDescent="0.25">
      <c r="A664" s="8">
        <v>45350</v>
      </c>
      <c r="B664" s="15">
        <v>1046.2</v>
      </c>
      <c r="C664" s="15">
        <v>807.15</v>
      </c>
      <c r="E664" s="45"/>
      <c r="H664" s="45"/>
      <c r="K664" s="45"/>
    </row>
    <row r="665" spans="1:11" x14ac:dyDescent="0.25">
      <c r="A665" s="8">
        <v>45351</v>
      </c>
      <c r="B665" s="15">
        <v>1052.2</v>
      </c>
      <c r="C665" s="15">
        <v>816.9</v>
      </c>
      <c r="E665" s="45"/>
      <c r="H665" s="45"/>
      <c r="K665" s="45"/>
    </row>
    <row r="666" spans="1:11" x14ac:dyDescent="0.25">
      <c r="A666" s="8">
        <v>45352</v>
      </c>
      <c r="B666" s="15">
        <v>1086.9000000000001</v>
      </c>
      <c r="C666" s="15">
        <v>828.6</v>
      </c>
      <c r="E666" s="45"/>
      <c r="H666" s="45"/>
      <c r="K666" s="45"/>
    </row>
    <row r="667" spans="1:11" x14ac:dyDescent="0.25">
      <c r="A667" s="8">
        <v>45353</v>
      </c>
      <c r="B667" s="15">
        <v>1084.6500000000001</v>
      </c>
      <c r="C667" s="15">
        <v>826</v>
      </c>
      <c r="E667" s="45"/>
      <c r="H667" s="45"/>
      <c r="K667" s="45"/>
    </row>
    <row r="668" spans="1:11" x14ac:dyDescent="0.25">
      <c r="A668" s="8">
        <v>45355</v>
      </c>
      <c r="B668" s="15">
        <v>1092.3499999999999</v>
      </c>
      <c r="C668" s="15">
        <v>834.7</v>
      </c>
      <c r="E668" s="45"/>
      <c r="H668" s="45"/>
      <c r="K668" s="45"/>
    </row>
    <row r="669" spans="1:11" x14ac:dyDescent="0.25">
      <c r="A669" s="8">
        <v>45356</v>
      </c>
      <c r="B669" s="15">
        <v>1088.05</v>
      </c>
      <c r="C669" s="15">
        <v>824.8</v>
      </c>
      <c r="E669" s="45"/>
      <c r="H669" s="45"/>
      <c r="K669" s="45"/>
    </row>
    <row r="670" spans="1:11" x14ac:dyDescent="0.25">
      <c r="A670" s="8">
        <v>45357</v>
      </c>
      <c r="B670" s="15">
        <v>1097.0999999999999</v>
      </c>
      <c r="C670" s="15">
        <v>789.4</v>
      </c>
      <c r="E670" s="45"/>
      <c r="H670" s="45"/>
      <c r="K670" s="45"/>
    </row>
    <row r="671" spans="1:11" x14ac:dyDescent="0.25">
      <c r="A671" s="8">
        <v>45358</v>
      </c>
      <c r="B671" s="15">
        <v>1087.95</v>
      </c>
      <c r="C671" s="15">
        <v>792</v>
      </c>
      <c r="E671" s="45"/>
      <c r="H671" s="45"/>
      <c r="K671" s="45"/>
    </row>
    <row r="672" spans="1:11" x14ac:dyDescent="0.25">
      <c r="A672" s="8">
        <v>45362</v>
      </c>
      <c r="B672" s="15">
        <v>1078.7</v>
      </c>
      <c r="C672" s="15">
        <v>772.4</v>
      </c>
      <c r="E672" s="45"/>
      <c r="H672" s="45"/>
      <c r="K672" s="45"/>
    </row>
    <row r="673" spans="1:11" x14ac:dyDescent="0.25">
      <c r="A673" s="8">
        <v>45363</v>
      </c>
      <c r="B673" s="15">
        <v>1076.8499999999999</v>
      </c>
      <c r="C673" s="15">
        <v>753.6</v>
      </c>
      <c r="E673" s="45"/>
      <c r="H673" s="45"/>
      <c r="K673" s="45"/>
    </row>
    <row r="674" spans="1:11" x14ac:dyDescent="0.25">
      <c r="A674" s="8">
        <v>45364</v>
      </c>
      <c r="B674" s="15">
        <v>1083.95</v>
      </c>
      <c r="C674" s="15">
        <v>751.7</v>
      </c>
      <c r="E674" s="45"/>
      <c r="H674" s="45"/>
      <c r="K674" s="45"/>
    </row>
    <row r="675" spans="1:11" x14ac:dyDescent="0.25">
      <c r="A675" s="8">
        <v>45365</v>
      </c>
      <c r="B675" s="15">
        <v>1083.5999999999999</v>
      </c>
      <c r="C675" s="15">
        <v>740.7</v>
      </c>
      <c r="E675" s="45"/>
      <c r="H675" s="45"/>
      <c r="K675" s="45"/>
    </row>
    <row r="676" spans="1:11" x14ac:dyDescent="0.25">
      <c r="A676" s="8">
        <v>45366</v>
      </c>
      <c r="B676" s="15">
        <v>1080.3499999999999</v>
      </c>
      <c r="C676" s="15">
        <v>726.85</v>
      </c>
      <c r="E676" s="45"/>
      <c r="H676" s="45"/>
      <c r="K676" s="45"/>
    </row>
    <row r="677" spans="1:11" x14ac:dyDescent="0.25">
      <c r="A677" s="8">
        <v>45369</v>
      </c>
      <c r="B677" s="15">
        <v>1081.2</v>
      </c>
      <c r="C677" s="15">
        <v>721.85</v>
      </c>
      <c r="E677" s="45"/>
      <c r="H677" s="45"/>
      <c r="K677" s="45"/>
    </row>
    <row r="678" spans="1:11" x14ac:dyDescent="0.25">
      <c r="A678" s="8">
        <v>45370</v>
      </c>
      <c r="B678" s="15">
        <v>1083.95</v>
      </c>
      <c r="C678" s="15">
        <v>714.05</v>
      </c>
      <c r="E678" s="45"/>
      <c r="H678" s="45"/>
      <c r="K678" s="45"/>
    </row>
    <row r="679" spans="1:11" x14ac:dyDescent="0.25">
      <c r="A679" s="8">
        <v>45371</v>
      </c>
      <c r="B679" s="15">
        <v>1084.5</v>
      </c>
      <c r="C679" s="15">
        <v>724.05</v>
      </c>
      <c r="E679" s="45"/>
      <c r="H679" s="45"/>
      <c r="K679" s="45"/>
    </row>
    <row r="680" spans="1:11" x14ac:dyDescent="0.25">
      <c r="A680" s="8">
        <v>45372</v>
      </c>
      <c r="B680" s="15">
        <v>1081.8</v>
      </c>
      <c r="C680" s="15">
        <v>761.55</v>
      </c>
      <c r="E680" s="45"/>
      <c r="H680" s="45"/>
      <c r="K680" s="45"/>
    </row>
    <row r="681" spans="1:11" x14ac:dyDescent="0.25">
      <c r="A681" s="8">
        <v>45373</v>
      </c>
      <c r="B681" s="15">
        <v>1090.3</v>
      </c>
      <c r="C681" s="15">
        <v>751.2</v>
      </c>
      <c r="E681" s="45"/>
      <c r="H681" s="45"/>
      <c r="K681" s="45"/>
    </row>
    <row r="682" spans="1:11" x14ac:dyDescent="0.25">
      <c r="A682" s="8">
        <v>45377</v>
      </c>
      <c r="B682" s="15">
        <v>1083.7</v>
      </c>
      <c r="C682" s="15">
        <v>738.05</v>
      </c>
      <c r="E682" s="45"/>
      <c r="H682" s="45"/>
      <c r="K682" s="45"/>
    </row>
    <row r="683" spans="1:11" x14ac:dyDescent="0.25">
      <c r="A683" s="8">
        <v>45378</v>
      </c>
      <c r="B683" s="15">
        <v>1083.75</v>
      </c>
      <c r="C683" s="15">
        <v>741.7</v>
      </c>
      <c r="E683" s="45"/>
      <c r="H683" s="45"/>
      <c r="K683" s="45"/>
    </row>
    <row r="684" spans="1:11" x14ac:dyDescent="0.25">
      <c r="A684" s="8">
        <v>45379</v>
      </c>
      <c r="B684" s="15">
        <v>1093.3</v>
      </c>
      <c r="C684" s="15">
        <v>727.65</v>
      </c>
      <c r="E684" s="45"/>
      <c r="H684" s="45"/>
      <c r="K684" s="45"/>
    </row>
    <row r="685" spans="1:11" x14ac:dyDescent="0.25">
      <c r="A685" s="8">
        <v>45383</v>
      </c>
      <c r="B685" s="15">
        <v>1099.6500000000001</v>
      </c>
      <c r="C685" s="15">
        <v>724.2</v>
      </c>
      <c r="E685" s="45"/>
      <c r="H685" s="45"/>
      <c r="K685" s="45"/>
    </row>
    <row r="686" spans="1:11" x14ac:dyDescent="0.25">
      <c r="A686" s="8">
        <v>45384</v>
      </c>
      <c r="B686" s="15">
        <v>1081.2</v>
      </c>
      <c r="C686" s="15">
        <v>719.9</v>
      </c>
      <c r="E686" s="45"/>
      <c r="H686" s="45"/>
      <c r="K686" s="45"/>
    </row>
    <row r="687" spans="1:11" x14ac:dyDescent="0.25">
      <c r="A687" s="8">
        <v>45385</v>
      </c>
      <c r="B687" s="15">
        <v>1077.2</v>
      </c>
      <c r="C687" s="15">
        <v>719.1</v>
      </c>
      <c r="E687" s="45"/>
      <c r="H687" s="45"/>
      <c r="K687" s="45"/>
    </row>
    <row r="688" spans="1:11" x14ac:dyDescent="0.25">
      <c r="A688" s="8">
        <v>45386</v>
      </c>
      <c r="B688" s="15">
        <v>1078.8499999999999</v>
      </c>
      <c r="C688" s="15">
        <v>719.05</v>
      </c>
      <c r="E688" s="45"/>
      <c r="H688" s="45"/>
      <c r="K688" s="45"/>
    </row>
    <row r="689" spans="1:11" x14ac:dyDescent="0.25">
      <c r="A689" s="8">
        <v>45387</v>
      </c>
      <c r="B689" s="15">
        <v>1083.4000000000001</v>
      </c>
      <c r="C689" s="15">
        <v>719.75</v>
      </c>
      <c r="E689" s="45"/>
      <c r="H689" s="45"/>
      <c r="K689" s="45"/>
    </row>
    <row r="690" spans="1:11" x14ac:dyDescent="0.25">
      <c r="A690" s="67">
        <v>45390</v>
      </c>
      <c r="B690" s="15">
        <v>1087.1500000000001</v>
      </c>
      <c r="C690" s="15">
        <v>718.75</v>
      </c>
      <c r="E690" s="45"/>
      <c r="H690" s="45"/>
      <c r="K690" s="45"/>
    </row>
    <row r="691" spans="1:11" x14ac:dyDescent="0.25">
      <c r="A691" s="8">
        <v>45391</v>
      </c>
      <c r="B691" s="15">
        <v>1107.05</v>
      </c>
      <c r="C691" s="15">
        <v>728.7</v>
      </c>
      <c r="E691" s="45"/>
      <c r="H691" s="45"/>
      <c r="K691" s="45"/>
    </row>
    <row r="692" spans="1:11" x14ac:dyDescent="0.25">
      <c r="A692" s="8">
        <v>45392</v>
      </c>
      <c r="B692" s="15">
        <v>1109.4000000000001</v>
      </c>
      <c r="C692" s="15">
        <v>731.85</v>
      </c>
      <c r="E692" s="45"/>
      <c r="H692" s="45"/>
      <c r="K692" s="45"/>
    </row>
    <row r="693" spans="1:11" x14ac:dyDescent="0.25">
      <c r="A693" s="8">
        <v>45394</v>
      </c>
      <c r="B693" s="15">
        <v>1104.4000000000001</v>
      </c>
      <c r="C693" s="15">
        <v>732</v>
      </c>
      <c r="E693" s="45"/>
      <c r="H693" s="45"/>
      <c r="K693" s="45"/>
    </row>
    <row r="694" spans="1:11" x14ac:dyDescent="0.25">
      <c r="A694" s="8">
        <v>45397</v>
      </c>
      <c r="B694" s="15">
        <v>1078.3499999999999</v>
      </c>
      <c r="C694" s="15">
        <v>720.55</v>
      </c>
      <c r="E694" s="45"/>
      <c r="H694" s="45"/>
      <c r="K694" s="45"/>
    </row>
    <row r="695" spans="1:11" x14ac:dyDescent="0.25">
      <c r="A695" s="8">
        <v>45398</v>
      </c>
      <c r="B695" s="15">
        <v>1067.05</v>
      </c>
      <c r="C695" s="15">
        <v>712.35</v>
      </c>
      <c r="E695" s="45"/>
      <c r="H695" s="45"/>
      <c r="K695" s="45"/>
    </row>
    <row r="696" spans="1:11" x14ac:dyDescent="0.25">
      <c r="A696" s="8">
        <v>45400</v>
      </c>
      <c r="B696" s="15">
        <v>1055.45</v>
      </c>
      <c r="C696" s="15">
        <v>703.55</v>
      </c>
      <c r="E696" s="45"/>
      <c r="H696" s="45"/>
      <c r="K696" s="45"/>
    </row>
    <row r="697" spans="1:11" x14ac:dyDescent="0.25">
      <c r="A697" s="8">
        <v>45401</v>
      </c>
      <c r="B697" s="15">
        <v>1067.25</v>
      </c>
      <c r="C697" s="15">
        <v>710.65</v>
      </c>
      <c r="E697" s="45"/>
      <c r="H697" s="45"/>
      <c r="K697" s="45"/>
    </row>
    <row r="698" spans="1:11" x14ac:dyDescent="0.25">
      <c r="A698" s="8">
        <v>45404</v>
      </c>
      <c r="B698" s="15">
        <v>1086.6500000000001</v>
      </c>
      <c r="C698" s="15">
        <v>723.15</v>
      </c>
      <c r="E698" s="45"/>
      <c r="H698" s="45"/>
      <c r="K698" s="45"/>
    </row>
    <row r="699" spans="1:11" x14ac:dyDescent="0.25">
      <c r="A699" s="8">
        <v>45405</v>
      </c>
      <c r="B699" s="15">
        <v>1090.25</v>
      </c>
      <c r="C699" s="15">
        <v>723.85</v>
      </c>
      <c r="E699" s="45"/>
      <c r="H699" s="45"/>
      <c r="K699" s="45"/>
    </row>
    <row r="700" spans="1:11" x14ac:dyDescent="0.25">
      <c r="A700" s="8">
        <v>45406</v>
      </c>
      <c r="B700" s="15">
        <v>1096.75</v>
      </c>
      <c r="C700" s="15">
        <v>732.6</v>
      </c>
      <c r="E700" s="45"/>
      <c r="H700" s="45"/>
      <c r="K700" s="45"/>
    </row>
    <row r="701" spans="1:11" x14ac:dyDescent="0.25">
      <c r="A701" s="8">
        <v>45407</v>
      </c>
      <c r="B701" s="15">
        <v>1113.75</v>
      </c>
      <c r="C701" s="15">
        <v>741.25</v>
      </c>
      <c r="E701" s="45"/>
      <c r="H701" s="45"/>
      <c r="K701" s="45"/>
    </row>
    <row r="702" spans="1:11" x14ac:dyDescent="0.25">
      <c r="A702" s="8">
        <v>45408</v>
      </c>
      <c r="B702" s="15">
        <v>1107.9000000000001</v>
      </c>
      <c r="C702" s="15">
        <v>729.35</v>
      </c>
      <c r="E702" s="45"/>
      <c r="H702" s="45"/>
      <c r="K702" s="45"/>
    </row>
    <row r="703" spans="1:11" x14ac:dyDescent="0.25">
      <c r="A703" s="8">
        <v>45411</v>
      </c>
      <c r="B703" s="15">
        <v>1160.1500000000001</v>
      </c>
      <c r="C703" s="15">
        <v>759.65</v>
      </c>
      <c r="E703" s="45"/>
      <c r="H703" s="45"/>
      <c r="K703" s="45"/>
    </row>
    <row r="704" spans="1:11" x14ac:dyDescent="0.25">
      <c r="A704" s="8">
        <v>45412</v>
      </c>
      <c r="B704" s="15">
        <v>1150.4000000000001</v>
      </c>
      <c r="C704" s="15">
        <v>756.25</v>
      </c>
      <c r="E704" s="45"/>
      <c r="H704" s="45"/>
      <c r="K704" s="45"/>
    </row>
    <row r="705" spans="1:11" x14ac:dyDescent="0.25">
      <c r="A705" s="8">
        <v>45414</v>
      </c>
      <c r="B705" s="15">
        <v>1139.45</v>
      </c>
      <c r="C705" s="15">
        <v>748.9</v>
      </c>
      <c r="E705" s="45"/>
      <c r="H705" s="45"/>
      <c r="K705" s="45"/>
    </row>
    <row r="706" spans="1:11" x14ac:dyDescent="0.25">
      <c r="A706" s="8">
        <v>45415</v>
      </c>
      <c r="B706" s="15">
        <v>1142.05</v>
      </c>
      <c r="C706" s="15">
        <v>751.35</v>
      </c>
      <c r="E706" s="45"/>
      <c r="H706" s="45"/>
      <c r="K706" s="45"/>
    </row>
    <row r="707" spans="1:11" x14ac:dyDescent="0.25">
      <c r="A707" s="8">
        <v>45418</v>
      </c>
      <c r="B707" s="15">
        <v>1146.3</v>
      </c>
      <c r="C707" s="15">
        <v>751.45</v>
      </c>
      <c r="E707" s="45"/>
      <c r="H707" s="45"/>
      <c r="K707" s="45"/>
    </row>
    <row r="708" spans="1:11" x14ac:dyDescent="0.25">
      <c r="A708" s="8">
        <v>45419</v>
      </c>
      <c r="B708" s="15">
        <v>1131.9000000000001</v>
      </c>
      <c r="C708" s="15">
        <v>738.2</v>
      </c>
      <c r="E708" s="45"/>
      <c r="H708" s="45"/>
      <c r="K708" s="45"/>
    </row>
    <row r="709" spans="1:11" x14ac:dyDescent="0.25">
      <c r="A709" s="8">
        <v>45420</v>
      </c>
      <c r="B709" s="15">
        <v>1123</v>
      </c>
      <c r="C709" s="15">
        <v>734.2</v>
      </c>
      <c r="E709" s="45"/>
      <c r="H709" s="45"/>
      <c r="K709" s="45"/>
    </row>
    <row r="710" spans="1:11" x14ac:dyDescent="0.25">
      <c r="A710" s="8">
        <v>45421</v>
      </c>
      <c r="B710" s="15">
        <v>1115.7</v>
      </c>
      <c r="C710" s="15">
        <v>725.5</v>
      </c>
      <c r="E710" s="45"/>
      <c r="H710" s="45"/>
      <c r="K710" s="45"/>
    </row>
    <row r="711" spans="1:11" x14ac:dyDescent="0.25">
      <c r="A711" s="8">
        <v>45422</v>
      </c>
      <c r="B711" s="15">
        <v>1117.05</v>
      </c>
      <c r="C711" s="15">
        <v>724.05</v>
      </c>
      <c r="E711" s="45"/>
      <c r="H711" s="45"/>
      <c r="K711" s="45"/>
    </row>
    <row r="712" spans="1:11" x14ac:dyDescent="0.25">
      <c r="A712" s="8">
        <v>45425</v>
      </c>
      <c r="B712" s="15">
        <v>1128</v>
      </c>
      <c r="C712" s="15">
        <v>738.35</v>
      </c>
      <c r="E712" s="45"/>
      <c r="H712" s="45"/>
      <c r="K712" s="45"/>
    </row>
    <row r="713" spans="1:11" x14ac:dyDescent="0.25">
      <c r="A713" s="8">
        <v>45426</v>
      </c>
      <c r="B713" s="15">
        <v>1120.55</v>
      </c>
      <c r="C713" s="15">
        <v>729.7</v>
      </c>
      <c r="E713" s="45"/>
      <c r="H713" s="45"/>
      <c r="K713" s="45"/>
    </row>
    <row r="714" spans="1:11" x14ac:dyDescent="0.25">
      <c r="A714" s="8">
        <v>45427</v>
      </c>
      <c r="B714" s="15">
        <v>1124.3499999999999</v>
      </c>
      <c r="C714" s="15">
        <v>732</v>
      </c>
      <c r="E714" s="45"/>
      <c r="H714" s="45"/>
      <c r="K714" s="45"/>
    </row>
    <row r="715" spans="1:11" x14ac:dyDescent="0.25">
      <c r="A715" s="8">
        <v>45428</v>
      </c>
      <c r="B715" s="15">
        <v>1131.05</v>
      </c>
      <c r="C715" s="15">
        <v>732.3</v>
      </c>
      <c r="E715" s="45"/>
      <c r="H715" s="45"/>
      <c r="K715" s="45"/>
    </row>
    <row r="716" spans="1:11" x14ac:dyDescent="0.25">
      <c r="A716" s="8">
        <v>45429</v>
      </c>
      <c r="B716" s="15">
        <v>1130.5</v>
      </c>
      <c r="C716" s="15">
        <v>728.85</v>
      </c>
      <c r="E716" s="45"/>
      <c r="H716" s="45"/>
      <c r="K716" s="45"/>
    </row>
    <row r="717" spans="1:11" x14ac:dyDescent="0.25">
      <c r="A717" s="8">
        <v>45430</v>
      </c>
      <c r="B717" s="15">
        <v>1130.75</v>
      </c>
      <c r="C717" s="15">
        <v>730.9</v>
      </c>
      <c r="E717" s="45"/>
      <c r="H717" s="45"/>
      <c r="K717" s="45"/>
    </row>
    <row r="718" spans="1:11" x14ac:dyDescent="0.25">
      <c r="A718" s="8">
        <v>45433</v>
      </c>
      <c r="B718" s="15">
        <v>1120.95</v>
      </c>
      <c r="C718" s="15">
        <v>721.05</v>
      </c>
      <c r="E718" s="45"/>
      <c r="H718" s="45"/>
      <c r="K718" s="45"/>
    </row>
    <row r="719" spans="1:11" x14ac:dyDescent="0.25">
      <c r="A719" s="8">
        <v>45434</v>
      </c>
      <c r="B719" s="15">
        <v>1111.0999999999999</v>
      </c>
      <c r="C719" s="15">
        <v>717.4</v>
      </c>
      <c r="E719" s="45"/>
      <c r="H719" s="45"/>
      <c r="K719" s="45"/>
    </row>
    <row r="720" spans="1:11" x14ac:dyDescent="0.25">
      <c r="A720" s="8">
        <v>45435</v>
      </c>
      <c r="B720" s="15">
        <v>1134.5</v>
      </c>
      <c r="C720" s="15">
        <v>729.95</v>
      </c>
      <c r="E720" s="45"/>
      <c r="H720" s="45"/>
      <c r="K720" s="45"/>
    </row>
    <row r="721" spans="1:11" x14ac:dyDescent="0.25">
      <c r="A721" s="8">
        <v>45436</v>
      </c>
      <c r="B721" s="15">
        <v>1131.95</v>
      </c>
      <c r="C721" s="15">
        <v>726.7</v>
      </c>
      <c r="E721" s="45"/>
      <c r="H721" s="45"/>
      <c r="K721" s="45"/>
    </row>
    <row r="722" spans="1:11" x14ac:dyDescent="0.25">
      <c r="A722" s="8">
        <v>45439</v>
      </c>
      <c r="B722" s="15">
        <v>1129.8</v>
      </c>
      <c r="C722" s="15">
        <v>725.85</v>
      </c>
      <c r="E722" s="45"/>
      <c r="H722" s="45"/>
      <c r="K722" s="45"/>
    </row>
    <row r="723" spans="1:11" x14ac:dyDescent="0.25">
      <c r="A723" s="8">
        <v>45440</v>
      </c>
      <c r="B723" s="15">
        <v>1126.95</v>
      </c>
      <c r="C723" s="15">
        <v>724.9</v>
      </c>
      <c r="E723" s="45"/>
      <c r="H723" s="45"/>
      <c r="K723" s="45"/>
    </row>
    <row r="724" spans="1:11" x14ac:dyDescent="0.25">
      <c r="A724" s="8">
        <v>45441</v>
      </c>
      <c r="B724" s="15">
        <v>1102</v>
      </c>
      <c r="C724" s="15">
        <v>710.45</v>
      </c>
      <c r="E724" s="45"/>
      <c r="H724" s="45"/>
      <c r="K724" s="45"/>
    </row>
    <row r="725" spans="1:11" x14ac:dyDescent="0.25">
      <c r="A725" s="8">
        <v>45442</v>
      </c>
      <c r="B725" s="15">
        <v>1113.7</v>
      </c>
      <c r="C725" s="15">
        <v>713.25</v>
      </c>
      <c r="E725" s="45"/>
      <c r="H725" s="45"/>
      <c r="K725" s="45"/>
    </row>
    <row r="726" spans="1:11" x14ac:dyDescent="0.25">
      <c r="A726" s="8">
        <v>45443</v>
      </c>
      <c r="B726" s="15">
        <v>1121.05</v>
      </c>
      <c r="C726" s="15">
        <v>714.75</v>
      </c>
      <c r="E726" s="45"/>
      <c r="H726" s="45"/>
      <c r="K726" s="45"/>
    </row>
    <row r="727" spans="1:11" x14ac:dyDescent="0.25">
      <c r="A727" s="8">
        <v>45446</v>
      </c>
      <c r="B727" s="15">
        <v>1160</v>
      </c>
      <c r="C727" s="15">
        <v>743.45</v>
      </c>
      <c r="E727" s="45"/>
      <c r="H727" s="45"/>
      <c r="K727" s="45"/>
    </row>
    <row r="728" spans="1:11" x14ac:dyDescent="0.25">
      <c r="A728" s="8">
        <v>45447</v>
      </c>
      <c r="B728" s="15">
        <v>1071.45</v>
      </c>
      <c r="C728" s="15">
        <v>687.25</v>
      </c>
      <c r="E728" s="45"/>
      <c r="H728" s="45"/>
      <c r="K728" s="45"/>
    </row>
    <row r="729" spans="1:11" x14ac:dyDescent="0.25">
      <c r="A729" s="8">
        <v>45448</v>
      </c>
      <c r="B729" s="15">
        <v>1108.6500000000001</v>
      </c>
      <c r="C729" s="15">
        <v>709.05</v>
      </c>
      <c r="E729" s="45"/>
      <c r="H729" s="45"/>
      <c r="K729" s="45"/>
    </row>
    <row r="730" spans="1:11" x14ac:dyDescent="0.25">
      <c r="A730" s="8">
        <v>45449</v>
      </c>
      <c r="B730" s="15">
        <v>1110.4000000000001</v>
      </c>
      <c r="C730" s="15">
        <v>713.75</v>
      </c>
      <c r="E730" s="45"/>
      <c r="H730" s="45"/>
      <c r="K730" s="45"/>
    </row>
    <row r="731" spans="1:11" x14ac:dyDescent="0.25">
      <c r="A731" s="8">
        <v>45450</v>
      </c>
      <c r="B731" s="15">
        <v>1121.7</v>
      </c>
      <c r="C731" s="15">
        <v>717.9</v>
      </c>
      <c r="E731" s="45"/>
      <c r="H731" s="45"/>
      <c r="K731" s="45"/>
    </row>
    <row r="732" spans="1:11" x14ac:dyDescent="0.25">
      <c r="A732" s="8">
        <v>45453</v>
      </c>
      <c r="B732" s="15">
        <v>1123.8</v>
      </c>
      <c r="C732" s="15">
        <v>723.7</v>
      </c>
      <c r="E732" s="45"/>
      <c r="H732" s="45"/>
      <c r="K732" s="45"/>
    </row>
    <row r="733" spans="1:11" x14ac:dyDescent="0.25">
      <c r="A733" s="8">
        <v>45454</v>
      </c>
      <c r="B733" s="15">
        <v>1118.2</v>
      </c>
      <c r="C733" s="15">
        <v>719.05</v>
      </c>
      <c r="E733" s="45"/>
      <c r="H733" s="45"/>
      <c r="K733" s="45"/>
    </row>
    <row r="734" spans="1:11" x14ac:dyDescent="0.25">
      <c r="A734" s="8">
        <v>45455</v>
      </c>
      <c r="B734" s="15">
        <v>1119.55</v>
      </c>
      <c r="C734" s="15">
        <v>719.45</v>
      </c>
      <c r="E734" s="45"/>
      <c r="H734" s="45"/>
      <c r="K734" s="45"/>
    </row>
    <row r="735" spans="1:11" x14ac:dyDescent="0.25">
      <c r="A735" s="8">
        <v>45456</v>
      </c>
      <c r="B735" s="15">
        <v>1107.3499999999999</v>
      </c>
      <c r="C735" s="15">
        <v>717.8</v>
      </c>
      <c r="E735" s="45"/>
      <c r="H735" s="45"/>
      <c r="K735" s="45"/>
    </row>
    <row r="736" spans="1:11" x14ac:dyDescent="0.25">
      <c r="A736" s="8">
        <v>45457</v>
      </c>
      <c r="B736" s="15">
        <v>1105.6500000000001</v>
      </c>
      <c r="C736" s="15">
        <v>714.8</v>
      </c>
      <c r="E736" s="45"/>
      <c r="H736" s="45"/>
      <c r="K736" s="45"/>
    </row>
    <row r="737" spans="1:11" x14ac:dyDescent="0.25">
      <c r="A737" s="8">
        <v>45461</v>
      </c>
      <c r="B737" s="15">
        <v>1122.8499999999999</v>
      </c>
      <c r="C737" s="15">
        <v>723.8</v>
      </c>
      <c r="E737" s="45"/>
      <c r="H737" s="45"/>
      <c r="K737" s="45"/>
    </row>
    <row r="738" spans="1:11" x14ac:dyDescent="0.25">
      <c r="A738" s="8">
        <v>45462</v>
      </c>
      <c r="B738" s="15">
        <v>1144.45</v>
      </c>
      <c r="C738" s="15">
        <v>736.95</v>
      </c>
      <c r="E738" s="45"/>
      <c r="H738" s="45"/>
      <c r="K738" s="45"/>
    </row>
    <row r="739" spans="1:11" x14ac:dyDescent="0.25">
      <c r="A739" s="8">
        <v>45463</v>
      </c>
      <c r="B739" s="15">
        <v>1156.8</v>
      </c>
      <c r="C739" s="15">
        <v>742.7</v>
      </c>
      <c r="E739" s="45"/>
      <c r="H739" s="45"/>
      <c r="K739" s="45"/>
    </row>
    <row r="740" spans="1:11" x14ac:dyDescent="0.25">
      <c r="A740" s="8">
        <v>45464</v>
      </c>
      <c r="B740" s="15">
        <v>1158.6500000000001</v>
      </c>
      <c r="C740" s="15">
        <v>741.6</v>
      </c>
      <c r="E740" s="45"/>
      <c r="H740" s="45"/>
      <c r="K740" s="45"/>
    </row>
    <row r="741" spans="1:11" x14ac:dyDescent="0.25">
      <c r="A741" s="8">
        <v>45467</v>
      </c>
      <c r="B741" s="15">
        <v>1170.0999999999999</v>
      </c>
      <c r="C741" s="15">
        <v>746.7</v>
      </c>
      <c r="E741" s="45"/>
      <c r="H741" s="45"/>
      <c r="K741" s="45"/>
    </row>
    <row r="742" spans="1:11" x14ac:dyDescent="0.25">
      <c r="A742" s="8">
        <v>45468</v>
      </c>
      <c r="B742" s="15">
        <v>1197.95</v>
      </c>
      <c r="C742" s="15">
        <v>759.6</v>
      </c>
      <c r="E742" s="45"/>
      <c r="H742" s="45"/>
      <c r="K742" s="45"/>
    </row>
    <row r="743" spans="1:11" x14ac:dyDescent="0.25">
      <c r="A743" s="8">
        <v>45469</v>
      </c>
      <c r="B743" s="15">
        <v>1218</v>
      </c>
      <c r="C743" s="15">
        <v>772.25</v>
      </c>
      <c r="E743" s="45"/>
      <c r="H743" s="45"/>
      <c r="K743" s="45"/>
    </row>
    <row r="744" spans="1:11" x14ac:dyDescent="0.25">
      <c r="A744" s="8">
        <v>45470</v>
      </c>
      <c r="B744" s="15">
        <v>1219.9000000000001</v>
      </c>
      <c r="C744" s="15">
        <v>765.35</v>
      </c>
      <c r="E744" s="45"/>
      <c r="H744" s="45"/>
      <c r="K744" s="45"/>
    </row>
    <row r="745" spans="1:11" x14ac:dyDescent="0.25">
      <c r="A745" s="8">
        <v>45471</v>
      </c>
      <c r="B745" s="15">
        <v>1199.5999999999999</v>
      </c>
      <c r="C745" s="15">
        <v>757.55</v>
      </c>
      <c r="E745" s="45"/>
      <c r="H745" s="45"/>
      <c r="K745" s="45"/>
    </row>
    <row r="746" spans="1:11" x14ac:dyDescent="0.25">
      <c r="A746" s="8">
        <v>45474</v>
      </c>
      <c r="B746" s="15">
        <v>1211.8499999999999</v>
      </c>
      <c r="C746" s="15">
        <v>762.95</v>
      </c>
      <c r="E746" s="45"/>
      <c r="H746" s="45"/>
      <c r="K746" s="45"/>
    </row>
    <row r="747" spans="1:11" x14ac:dyDescent="0.25">
      <c r="A747" s="8">
        <v>45475</v>
      </c>
      <c r="B747" s="15">
        <v>1190.5999999999999</v>
      </c>
      <c r="C747" s="15">
        <v>757.35</v>
      </c>
      <c r="E747" s="45"/>
      <c r="H747" s="45"/>
      <c r="K747" s="45"/>
    </row>
    <row r="748" spans="1:11" x14ac:dyDescent="0.25">
      <c r="A748" s="8">
        <v>45476</v>
      </c>
      <c r="B748" s="15">
        <v>1201.5999999999999</v>
      </c>
      <c r="C748" s="15">
        <v>767.9</v>
      </c>
      <c r="E748" s="45"/>
      <c r="H748" s="45"/>
      <c r="K748" s="45"/>
    </row>
    <row r="749" spans="1:11" x14ac:dyDescent="0.25">
      <c r="A749" s="8">
        <v>45477</v>
      </c>
      <c r="B749" s="15">
        <v>1233</v>
      </c>
      <c r="C749" s="15">
        <v>780.3</v>
      </c>
      <c r="E749" s="45"/>
      <c r="H749" s="45"/>
      <c r="K749" s="45"/>
    </row>
    <row r="750" spans="1:11" x14ac:dyDescent="0.25">
      <c r="A750" s="8">
        <v>45478</v>
      </c>
      <c r="B750" s="15">
        <v>1233.4000000000001</v>
      </c>
      <c r="C750" s="15">
        <v>780.6</v>
      </c>
      <c r="E750" s="45"/>
      <c r="H750" s="45"/>
      <c r="K750" s="45"/>
    </row>
    <row r="751" spans="1:11" x14ac:dyDescent="0.25">
      <c r="A751" s="8">
        <v>45481</v>
      </c>
      <c r="B751" s="15">
        <v>1235.05</v>
      </c>
      <c r="C751" s="15">
        <v>780.9</v>
      </c>
      <c r="E751" s="45"/>
      <c r="H751" s="45"/>
      <c r="K751" s="45"/>
    </row>
    <row r="752" spans="1:11" x14ac:dyDescent="0.25">
      <c r="A752" s="8">
        <v>45482</v>
      </c>
      <c r="B752" s="15">
        <v>1248.25</v>
      </c>
      <c r="C752" s="15">
        <v>784.65</v>
      </c>
      <c r="E752" s="45"/>
      <c r="H752" s="45"/>
      <c r="K752" s="45"/>
    </row>
    <row r="753" spans="1:11" x14ac:dyDescent="0.25">
      <c r="A753" s="8">
        <v>45483</v>
      </c>
      <c r="B753" s="15">
        <v>1243.2</v>
      </c>
      <c r="C753" s="15">
        <v>780.4</v>
      </c>
      <c r="E753" s="45"/>
      <c r="H753" s="45"/>
      <c r="K753" s="45"/>
    </row>
    <row r="754" spans="1:11" x14ac:dyDescent="0.25">
      <c r="A754" s="8">
        <v>45484</v>
      </c>
      <c r="B754" s="15">
        <v>1238.45</v>
      </c>
      <c r="C754" s="15">
        <v>784.95</v>
      </c>
      <c r="E754" s="45"/>
      <c r="H754" s="45"/>
      <c r="K754" s="45"/>
    </row>
    <row r="755" spans="1:11" x14ac:dyDescent="0.25">
      <c r="A755" s="8">
        <v>45485</v>
      </c>
      <c r="B755" s="15">
        <v>1232.9000000000001</v>
      </c>
      <c r="C755" s="15">
        <v>776.3</v>
      </c>
      <c r="E755" s="45"/>
      <c r="H755" s="45"/>
      <c r="K755" s="45"/>
    </row>
    <row r="756" spans="1:11" x14ac:dyDescent="0.25">
      <c r="A756" s="8">
        <v>45488</v>
      </c>
      <c r="B756" s="15">
        <v>1229.95</v>
      </c>
      <c r="C756" s="15">
        <v>771.45</v>
      </c>
      <c r="E756" s="45"/>
      <c r="H756" s="45"/>
      <c r="K756" s="45"/>
    </row>
    <row r="757" spans="1:11" x14ac:dyDescent="0.25">
      <c r="A757" s="8">
        <v>45489</v>
      </c>
      <c r="B757" s="15">
        <v>1239.9000000000001</v>
      </c>
      <c r="C757" s="15">
        <v>768.85</v>
      </c>
      <c r="E757" s="45"/>
      <c r="H757" s="45"/>
      <c r="K757" s="45"/>
    </row>
    <row r="758" spans="1:11" x14ac:dyDescent="0.25">
      <c r="A758" s="8">
        <v>45491</v>
      </c>
      <c r="B758" s="15">
        <v>1250.3</v>
      </c>
      <c r="C758" s="15">
        <v>781.5</v>
      </c>
      <c r="E758" s="45"/>
      <c r="H758" s="45"/>
      <c r="K758" s="45"/>
    </row>
    <row r="759" spans="1:11" x14ac:dyDescent="0.25">
      <c r="A759" s="8">
        <v>45492</v>
      </c>
      <c r="B759" s="15">
        <v>1248.6500000000001</v>
      </c>
      <c r="C759" s="15">
        <v>776.7</v>
      </c>
      <c r="E759" s="45"/>
      <c r="H759" s="45"/>
      <c r="K759" s="45"/>
    </row>
    <row r="760" spans="1:11" x14ac:dyDescent="0.25">
      <c r="A760" s="8">
        <v>45495</v>
      </c>
      <c r="B760" s="15">
        <v>1241.1500000000001</v>
      </c>
      <c r="C760" s="15">
        <v>774.6</v>
      </c>
      <c r="E760" s="45"/>
      <c r="H760" s="45"/>
      <c r="K760" s="45"/>
    </row>
    <row r="761" spans="1:11" x14ac:dyDescent="0.25">
      <c r="A761" s="8">
        <v>45496</v>
      </c>
      <c r="B761" s="15">
        <v>1226.75</v>
      </c>
      <c r="C761" s="15">
        <v>777.45</v>
      </c>
      <c r="E761" s="45"/>
      <c r="H761" s="45"/>
      <c r="K761" s="45"/>
    </row>
    <row r="762" spans="1:11" x14ac:dyDescent="0.25">
      <c r="A762" s="8">
        <v>45497</v>
      </c>
      <c r="B762" s="15">
        <v>1223</v>
      </c>
      <c r="C762" s="15">
        <v>777.45</v>
      </c>
      <c r="E762" s="45"/>
      <c r="H762" s="45"/>
      <c r="K762" s="45"/>
    </row>
    <row r="763" spans="1:11" x14ac:dyDescent="0.25">
      <c r="A763" s="8">
        <v>45498</v>
      </c>
      <c r="B763" s="15">
        <v>1197.9000000000001</v>
      </c>
      <c r="C763" s="15">
        <v>761.5</v>
      </c>
      <c r="E763" s="45"/>
      <c r="H763" s="45"/>
      <c r="K763" s="45"/>
    </row>
    <row r="764" spans="1:11" x14ac:dyDescent="0.25">
      <c r="A764" s="67">
        <v>45499</v>
      </c>
      <c r="B764" s="15">
        <v>1207.2</v>
      </c>
      <c r="C764" s="15">
        <v>767.35</v>
      </c>
      <c r="E764" s="45"/>
      <c r="H764" s="45"/>
      <c r="K764" s="45"/>
    </row>
    <row r="765" spans="1:11" x14ac:dyDescent="0.25">
      <c r="A765" s="8">
        <v>45502</v>
      </c>
      <c r="B765" s="15">
        <v>1212.7</v>
      </c>
      <c r="C765" s="15">
        <v>775.75</v>
      </c>
      <c r="E765" s="45"/>
      <c r="H765" s="45"/>
      <c r="K765" s="45"/>
    </row>
    <row r="766" spans="1:11" x14ac:dyDescent="0.25">
      <c r="A766" s="8">
        <v>45503</v>
      </c>
      <c r="B766" s="15">
        <v>1209.45</v>
      </c>
      <c r="C766" s="15">
        <v>773.05</v>
      </c>
      <c r="E766" s="45"/>
      <c r="H766" s="45"/>
      <c r="K766" s="45"/>
    </row>
    <row r="767" spans="1:11" x14ac:dyDescent="0.25">
      <c r="A767" s="8">
        <v>45504</v>
      </c>
      <c r="B767" s="15">
        <v>1214.9000000000001</v>
      </c>
      <c r="C767" s="15">
        <v>773.1</v>
      </c>
      <c r="E767" s="45"/>
      <c r="H767" s="45"/>
      <c r="K767" s="45"/>
    </row>
    <row r="768" spans="1:11" x14ac:dyDescent="0.25">
      <c r="A768" s="8">
        <v>45505</v>
      </c>
      <c r="B768" s="15">
        <v>1210.0999999999999</v>
      </c>
      <c r="C768" s="15">
        <v>769.85</v>
      </c>
      <c r="E768" s="45"/>
      <c r="H768" s="45"/>
      <c r="K768" s="45"/>
    </row>
    <row r="769" spans="1:11" x14ac:dyDescent="0.25">
      <c r="A769" s="8">
        <v>45506</v>
      </c>
      <c r="B769" s="15">
        <v>1196.55</v>
      </c>
      <c r="C769" s="15">
        <v>762.1</v>
      </c>
      <c r="E769" s="45"/>
      <c r="H769" s="45"/>
      <c r="K769" s="45"/>
    </row>
    <row r="770" spans="1:11" x14ac:dyDescent="0.25">
      <c r="A770" s="8">
        <v>45509</v>
      </c>
      <c r="B770" s="15">
        <v>1172.5999999999999</v>
      </c>
      <c r="C770" s="15">
        <v>747.75</v>
      </c>
      <c r="E770" s="45"/>
      <c r="H770" s="45"/>
      <c r="K770" s="45"/>
    </row>
    <row r="771" spans="1:11" x14ac:dyDescent="0.25">
      <c r="A771" s="8">
        <v>45510</v>
      </c>
      <c r="B771" s="15">
        <v>1166.8499999999999</v>
      </c>
      <c r="C771" s="15">
        <v>742.35</v>
      </c>
      <c r="E771" s="45"/>
      <c r="H771" s="45"/>
      <c r="K771" s="45"/>
    </row>
    <row r="772" spans="1:11" x14ac:dyDescent="0.25">
      <c r="A772" s="8">
        <v>45511</v>
      </c>
      <c r="B772" s="15">
        <v>1172.45</v>
      </c>
      <c r="C772" s="15">
        <v>747.8</v>
      </c>
      <c r="E772" s="45"/>
      <c r="H772" s="45"/>
      <c r="K772" s="45"/>
    </row>
    <row r="773" spans="1:11" x14ac:dyDescent="0.25">
      <c r="A773" s="8">
        <v>45512</v>
      </c>
      <c r="B773" s="15">
        <v>1164.5999999999999</v>
      </c>
      <c r="C773" s="15">
        <v>742.6</v>
      </c>
      <c r="E773" s="45"/>
      <c r="H773" s="45"/>
      <c r="K773" s="45"/>
    </row>
    <row r="774" spans="1:11" x14ac:dyDescent="0.25">
      <c r="A774" s="8">
        <v>45513</v>
      </c>
      <c r="B774" s="15">
        <v>1171.5999999999999</v>
      </c>
      <c r="C774" s="15">
        <v>747.45</v>
      </c>
      <c r="E774" s="45"/>
      <c r="H774" s="45"/>
      <c r="K774" s="45"/>
    </row>
    <row r="775" spans="1:11" x14ac:dyDescent="0.25">
      <c r="A775" s="8">
        <v>45516</v>
      </c>
      <c r="B775" s="15">
        <v>1172.8</v>
      </c>
      <c r="C775" s="15">
        <v>757.45</v>
      </c>
      <c r="E775" s="45"/>
      <c r="H775" s="45"/>
      <c r="K775" s="45"/>
    </row>
    <row r="776" spans="1:11" x14ac:dyDescent="0.25">
      <c r="A776" s="8">
        <v>45517</v>
      </c>
      <c r="B776" s="15">
        <v>1168.3499999999999</v>
      </c>
      <c r="C776" s="15">
        <v>785.9</v>
      </c>
      <c r="E776" s="45"/>
      <c r="H776" s="45"/>
      <c r="K776" s="45"/>
    </row>
    <row r="777" spans="1:11" x14ac:dyDescent="0.25">
      <c r="A777" s="8">
        <v>45518</v>
      </c>
      <c r="B777" s="15">
        <v>1161.6500000000001</v>
      </c>
      <c r="C777" s="15">
        <v>805.65</v>
      </c>
      <c r="E777" s="45"/>
      <c r="H777" s="45"/>
      <c r="K777" s="45"/>
    </row>
    <row r="778" spans="1:11" x14ac:dyDescent="0.25">
      <c r="A778" s="8">
        <v>45520</v>
      </c>
      <c r="B778" s="15">
        <v>1187.25</v>
      </c>
      <c r="C778" s="15">
        <v>800.05</v>
      </c>
      <c r="E778" s="45"/>
      <c r="H778" s="45"/>
      <c r="K778" s="45"/>
    </row>
    <row r="779" spans="1:11" x14ac:dyDescent="0.25">
      <c r="A779" s="8">
        <v>45523</v>
      </c>
      <c r="B779" s="15">
        <v>1175.9000000000001</v>
      </c>
      <c r="C779" s="15">
        <v>795.65</v>
      </c>
      <c r="E779" s="45"/>
      <c r="H779" s="45"/>
      <c r="K779" s="45"/>
    </row>
    <row r="780" spans="1:11" x14ac:dyDescent="0.25">
      <c r="A780" s="8">
        <v>45524</v>
      </c>
      <c r="B780" s="15">
        <v>1179.45</v>
      </c>
      <c r="C780" s="15">
        <v>848.25</v>
      </c>
      <c r="E780" s="45"/>
      <c r="H780" s="45"/>
      <c r="K780" s="45"/>
    </row>
    <row r="781" spans="1:11" x14ac:dyDescent="0.25">
      <c r="A781" s="8">
        <v>45525</v>
      </c>
      <c r="B781" s="15">
        <v>1174.8499999999999</v>
      </c>
      <c r="C781" s="15">
        <v>785.95</v>
      </c>
      <c r="E781" s="45"/>
      <c r="H781" s="45"/>
      <c r="K781" s="45"/>
    </row>
    <row r="782" spans="1:11" x14ac:dyDescent="0.25">
      <c r="A782" s="8">
        <v>45526</v>
      </c>
      <c r="B782" s="15">
        <v>1191.0999999999999</v>
      </c>
      <c r="C782" s="15">
        <v>795.45</v>
      </c>
      <c r="E782" s="45"/>
      <c r="H782" s="45"/>
      <c r="K782" s="45"/>
    </row>
    <row r="783" spans="1:11" x14ac:dyDescent="0.25">
      <c r="A783" s="8">
        <v>45527</v>
      </c>
      <c r="B783" s="15">
        <v>1203.5</v>
      </c>
      <c r="C783" s="15">
        <v>809.45</v>
      </c>
      <c r="E783" s="45"/>
      <c r="H783" s="45"/>
      <c r="K783" s="45"/>
    </row>
    <row r="784" spans="1:11" x14ac:dyDescent="0.25">
      <c r="A784" s="8">
        <v>45530</v>
      </c>
      <c r="B784" s="15">
        <v>1213.3</v>
      </c>
      <c r="C784" s="15">
        <v>808.25</v>
      </c>
      <c r="E784" s="45"/>
      <c r="H784" s="45"/>
      <c r="K784" s="45"/>
    </row>
    <row r="785" spans="1:11" x14ac:dyDescent="0.25">
      <c r="A785" s="8">
        <v>45531</v>
      </c>
      <c r="B785" s="15">
        <v>1226.3499999999999</v>
      </c>
      <c r="C785" s="15">
        <v>818.9</v>
      </c>
      <c r="E785" s="45"/>
      <c r="H785" s="45"/>
      <c r="K785" s="45"/>
    </row>
    <row r="786" spans="1:11" x14ac:dyDescent="0.25">
      <c r="A786" s="8">
        <v>45532</v>
      </c>
      <c r="B786" s="15">
        <v>1223.8499999999999</v>
      </c>
      <c r="C786" s="15">
        <v>822.2</v>
      </c>
      <c r="E786" s="45"/>
      <c r="H786" s="45"/>
      <c r="K786" s="45"/>
    </row>
    <row r="787" spans="1:11" x14ac:dyDescent="0.25">
      <c r="A787" s="8">
        <v>45533</v>
      </c>
      <c r="B787" s="15">
        <v>1221.9000000000001</v>
      </c>
      <c r="C787" s="15">
        <v>817.5</v>
      </c>
      <c r="E787" s="45"/>
      <c r="H787" s="45"/>
      <c r="K787" s="45"/>
    </row>
    <row r="788" spans="1:11" x14ac:dyDescent="0.25">
      <c r="A788" s="8">
        <v>45534</v>
      </c>
      <c r="B788" s="15">
        <v>1229.2</v>
      </c>
      <c r="C788" s="15">
        <v>823.65</v>
      </c>
      <c r="E788" s="45"/>
      <c r="H788" s="45"/>
      <c r="K788" s="45"/>
    </row>
    <row r="789" spans="1:11" x14ac:dyDescent="0.25">
      <c r="A789" s="8">
        <v>45537</v>
      </c>
      <c r="B789" s="15">
        <v>1229.95</v>
      </c>
      <c r="C789" s="15">
        <v>833.5</v>
      </c>
      <c r="E789" s="45"/>
      <c r="H789" s="45"/>
      <c r="K789" s="45"/>
    </row>
    <row r="790" spans="1:11" x14ac:dyDescent="0.25">
      <c r="A790" s="8">
        <v>45538</v>
      </c>
      <c r="B790" s="15">
        <v>1247.7</v>
      </c>
      <c r="C790" s="15">
        <v>840.45</v>
      </c>
      <c r="E790" s="45"/>
      <c r="H790" s="45"/>
      <c r="K790" s="45"/>
    </row>
    <row r="791" spans="1:11" x14ac:dyDescent="0.25">
      <c r="A791" s="8">
        <v>45539</v>
      </c>
      <c r="B791" s="15">
        <v>1236.3499999999999</v>
      </c>
      <c r="C791" s="15">
        <v>826.8</v>
      </c>
      <c r="E791" s="45"/>
      <c r="H791" s="45"/>
      <c r="K791" s="45"/>
    </row>
    <row r="792" spans="1:11" x14ac:dyDescent="0.25">
      <c r="A792" s="8">
        <v>45540</v>
      </c>
      <c r="B792" s="15">
        <v>1235.95</v>
      </c>
      <c r="C792" s="15">
        <v>834.15</v>
      </c>
      <c r="E792" s="45"/>
      <c r="H792" s="45"/>
      <c r="K792" s="45"/>
    </row>
    <row r="793" spans="1:11" x14ac:dyDescent="0.25">
      <c r="A793" s="8">
        <v>45541</v>
      </c>
      <c r="B793" s="15">
        <v>1208.1500000000001</v>
      </c>
      <c r="C793" s="15">
        <v>833.8</v>
      </c>
      <c r="E793" s="45"/>
      <c r="H793" s="45"/>
      <c r="K793" s="45"/>
    </row>
    <row r="794" spans="1:11" x14ac:dyDescent="0.25">
      <c r="A794" s="8">
        <v>45544</v>
      </c>
      <c r="B794" s="15">
        <v>1235</v>
      </c>
      <c r="C794" s="15">
        <v>840.6</v>
      </c>
      <c r="E794" s="45"/>
      <c r="H794" s="45"/>
      <c r="K794" s="45"/>
    </row>
    <row r="795" spans="1:11" x14ac:dyDescent="0.25">
      <c r="A795" s="8">
        <v>45545</v>
      </c>
      <c r="B795" s="15">
        <v>1237.3</v>
      </c>
      <c r="C795" s="15">
        <v>839.6</v>
      </c>
      <c r="E795" s="45"/>
      <c r="H795" s="45"/>
      <c r="K795" s="45"/>
    </row>
    <row r="796" spans="1:11" x14ac:dyDescent="0.25">
      <c r="A796" s="8">
        <v>45546</v>
      </c>
      <c r="B796" s="15">
        <v>1236.3499999999999</v>
      </c>
      <c r="C796" s="15">
        <v>834.75</v>
      </c>
      <c r="E796" s="45"/>
      <c r="H796" s="45"/>
      <c r="K796" s="45"/>
    </row>
    <row r="797" spans="1:11" x14ac:dyDescent="0.25">
      <c r="A797" s="8">
        <v>45547</v>
      </c>
      <c r="B797" s="15">
        <v>1252.1500000000001</v>
      </c>
      <c r="C797" s="15">
        <v>843.9</v>
      </c>
      <c r="E797" s="45"/>
      <c r="H797" s="45"/>
      <c r="K797" s="45"/>
    </row>
    <row r="798" spans="1:11" x14ac:dyDescent="0.25">
      <c r="A798" s="8">
        <v>45548</v>
      </c>
      <c r="B798" s="15">
        <v>1250.3499999999999</v>
      </c>
      <c r="C798" s="15">
        <v>846.5</v>
      </c>
      <c r="E798" s="45"/>
      <c r="H798" s="45"/>
      <c r="K798" s="45"/>
    </row>
    <row r="799" spans="1:11" x14ac:dyDescent="0.25">
      <c r="A799" s="8">
        <v>45551</v>
      </c>
      <c r="B799" s="15">
        <v>1262.8499999999999</v>
      </c>
      <c r="C799" s="15">
        <v>856.05</v>
      </c>
      <c r="E799" s="45"/>
      <c r="H799" s="45"/>
      <c r="K799" s="45"/>
    </row>
    <row r="800" spans="1:11" x14ac:dyDescent="0.25">
      <c r="A800" s="8">
        <v>45552</v>
      </c>
      <c r="B800" s="15">
        <v>1268.0999999999999</v>
      </c>
      <c r="C800" s="15">
        <v>856.15</v>
      </c>
      <c r="E800" s="45"/>
      <c r="H800" s="45"/>
      <c r="K800" s="45"/>
    </row>
    <row r="801" spans="1:11" x14ac:dyDescent="0.25">
      <c r="A801" s="8">
        <v>45553</v>
      </c>
      <c r="B801" s="15">
        <v>1288.3499999999999</v>
      </c>
      <c r="C801" s="15">
        <v>868.6</v>
      </c>
      <c r="E801" s="45"/>
      <c r="H801" s="45"/>
      <c r="K801" s="45"/>
    </row>
    <row r="802" spans="1:11" x14ac:dyDescent="0.25">
      <c r="A802" s="8">
        <v>45554</v>
      </c>
      <c r="B802" s="15">
        <v>1292</v>
      </c>
      <c r="C802" s="15">
        <v>882.55</v>
      </c>
      <c r="E802" s="45"/>
      <c r="H802" s="45"/>
      <c r="K802" s="45"/>
    </row>
    <row r="803" spans="1:11" x14ac:dyDescent="0.25">
      <c r="A803" s="8">
        <v>45555</v>
      </c>
      <c r="B803" s="15">
        <v>1338.45</v>
      </c>
      <c r="C803" s="15">
        <v>894.15</v>
      </c>
      <c r="E803" s="45"/>
      <c r="H803" s="45"/>
      <c r="K803" s="45"/>
    </row>
    <row r="804" spans="1:11" x14ac:dyDescent="0.25">
      <c r="A804" s="8">
        <v>45558</v>
      </c>
      <c r="B804" s="15">
        <v>1321.9</v>
      </c>
      <c r="C804" s="15">
        <v>898.15</v>
      </c>
      <c r="E804" s="45"/>
      <c r="H804" s="45"/>
      <c r="K804" s="45"/>
    </row>
    <row r="805" spans="1:11" x14ac:dyDescent="0.25">
      <c r="A805" s="8">
        <v>45559</v>
      </c>
      <c r="B805" s="15">
        <v>1318.6</v>
      </c>
      <c r="C805" s="15">
        <v>892.5</v>
      </c>
      <c r="E805" s="45"/>
      <c r="H805" s="45"/>
      <c r="K805" s="45"/>
    </row>
    <row r="806" spans="1:11" x14ac:dyDescent="0.25">
      <c r="A806" s="8">
        <v>45560</v>
      </c>
      <c r="B806" s="15">
        <v>1323.85</v>
      </c>
      <c r="C806" s="15">
        <v>896.75</v>
      </c>
      <c r="E806" s="45"/>
      <c r="H806" s="45"/>
      <c r="K806" s="45"/>
    </row>
    <row r="807" spans="1:11" x14ac:dyDescent="0.25">
      <c r="A807" s="8">
        <v>45561</v>
      </c>
      <c r="B807" s="15">
        <v>1329.05</v>
      </c>
      <c r="C807" s="15">
        <v>896.55</v>
      </c>
      <c r="E807" s="45"/>
      <c r="H807" s="45"/>
      <c r="K807" s="45"/>
    </row>
    <row r="808" spans="1:11" x14ac:dyDescent="0.25">
      <c r="A808" s="8">
        <v>45562</v>
      </c>
      <c r="B808" s="15">
        <v>1306.5999999999999</v>
      </c>
      <c r="C808" s="15">
        <v>890.35</v>
      </c>
      <c r="E808" s="45"/>
      <c r="H808" s="45"/>
      <c r="K808" s="45"/>
    </row>
    <row r="809" spans="1:11" x14ac:dyDescent="0.25">
      <c r="A809" s="8">
        <v>45565</v>
      </c>
      <c r="B809" s="15">
        <v>1273</v>
      </c>
      <c r="C809" s="15">
        <v>872.9</v>
      </c>
      <c r="E809" s="45"/>
      <c r="H809" s="45"/>
      <c r="K809" s="45"/>
    </row>
    <row r="810" spans="1:11" x14ac:dyDescent="0.25">
      <c r="A810" s="8">
        <v>45566</v>
      </c>
      <c r="B810" s="15">
        <v>1274.4000000000001</v>
      </c>
      <c r="C810" s="15">
        <v>889.85</v>
      </c>
      <c r="E810" s="45"/>
      <c r="H810" s="45"/>
      <c r="K810" s="45"/>
    </row>
    <row r="811" spans="1:11" x14ac:dyDescent="0.25">
      <c r="A811" s="8">
        <v>45568</v>
      </c>
      <c r="B811" s="15">
        <v>1256.3499999999999</v>
      </c>
      <c r="C811" s="15">
        <v>870.05</v>
      </c>
      <c r="E811" s="45"/>
      <c r="H811" s="45"/>
      <c r="K811" s="45"/>
    </row>
    <row r="812" spans="1:11" x14ac:dyDescent="0.25">
      <c r="A812" s="8">
        <v>45569</v>
      </c>
      <c r="B812" s="15">
        <v>1239.75</v>
      </c>
      <c r="C812" s="15">
        <v>868.85</v>
      </c>
      <c r="E812" s="45"/>
      <c r="H812" s="45"/>
      <c r="K812" s="45"/>
    </row>
    <row r="813" spans="1:11" x14ac:dyDescent="0.25">
      <c r="A813" s="8">
        <v>45572</v>
      </c>
      <c r="B813" s="15">
        <v>1233.9000000000001</v>
      </c>
      <c r="C813" s="15">
        <v>866.4</v>
      </c>
      <c r="E813" s="45"/>
      <c r="H813" s="45"/>
      <c r="K813" s="45"/>
    </row>
    <row r="814" spans="1:11" x14ac:dyDescent="0.25">
      <c r="A814" s="8">
        <v>45573</v>
      </c>
      <c r="B814" s="15">
        <v>1236.5999999999999</v>
      </c>
      <c r="C814" s="15">
        <v>869.85</v>
      </c>
      <c r="E814" s="45"/>
      <c r="H814" s="45"/>
      <c r="K814" s="45"/>
    </row>
    <row r="815" spans="1:11" x14ac:dyDescent="0.25">
      <c r="A815" s="8">
        <v>45574</v>
      </c>
      <c r="B815" s="15">
        <v>1244.1500000000001</v>
      </c>
      <c r="C815" s="15">
        <v>868.25</v>
      </c>
      <c r="E815" s="45"/>
      <c r="H815" s="45"/>
      <c r="K815" s="45"/>
    </row>
    <row r="816" spans="1:11" x14ac:dyDescent="0.25">
      <c r="A816" s="8">
        <v>45575</v>
      </c>
      <c r="B816" s="15">
        <v>1243.5</v>
      </c>
      <c r="C816" s="15">
        <v>842.95</v>
      </c>
      <c r="E816" s="45"/>
      <c r="H816" s="45"/>
      <c r="K816" s="45"/>
    </row>
    <row r="817" spans="1:11" x14ac:dyDescent="0.25">
      <c r="A817" s="8">
        <v>45576</v>
      </c>
      <c r="B817" s="15">
        <v>1223</v>
      </c>
      <c r="C817" s="15">
        <v>829.45</v>
      </c>
      <c r="E817" s="45"/>
      <c r="H817" s="45"/>
      <c r="K817" s="45"/>
    </row>
    <row r="818" spans="1:11" x14ac:dyDescent="0.25">
      <c r="A818" s="8">
        <v>45579</v>
      </c>
      <c r="B818" s="15">
        <v>1231.75</v>
      </c>
      <c r="C818" s="15">
        <v>832.3</v>
      </c>
      <c r="E818" s="45"/>
      <c r="H818" s="45"/>
      <c r="K818" s="45"/>
    </row>
    <row r="819" spans="1:11" x14ac:dyDescent="0.25">
      <c r="A819" s="8">
        <v>45580</v>
      </c>
      <c r="B819" s="15">
        <v>1255.5</v>
      </c>
      <c r="C819" s="15">
        <v>847.55</v>
      </c>
      <c r="E819" s="45"/>
      <c r="H819" s="45"/>
      <c r="K819" s="45"/>
    </row>
    <row r="820" spans="1:11" x14ac:dyDescent="0.25">
      <c r="A820" s="8">
        <v>45581</v>
      </c>
      <c r="B820" s="15">
        <v>1243.1500000000001</v>
      </c>
      <c r="C820" s="15">
        <v>872.9</v>
      </c>
      <c r="E820" s="45"/>
      <c r="H820" s="45"/>
      <c r="K820" s="45"/>
    </row>
    <row r="821" spans="1:11" x14ac:dyDescent="0.25">
      <c r="A821" s="8">
        <v>45582</v>
      </c>
      <c r="B821" s="15">
        <v>1231.25</v>
      </c>
      <c r="C821" s="15">
        <v>845.4</v>
      </c>
      <c r="E821" s="45"/>
      <c r="H821" s="45"/>
      <c r="K821" s="45"/>
    </row>
    <row r="822" spans="1:11" x14ac:dyDescent="0.25">
      <c r="A822" s="8">
        <v>45583</v>
      </c>
      <c r="B822" s="15">
        <v>1264.5</v>
      </c>
      <c r="C822" s="15">
        <v>859.85</v>
      </c>
      <c r="E822" s="45"/>
      <c r="H822" s="45"/>
      <c r="K822" s="45"/>
    </row>
    <row r="823" spans="1:11" x14ac:dyDescent="0.25">
      <c r="A823" s="8">
        <v>45586</v>
      </c>
      <c r="B823" s="15">
        <v>1259.05</v>
      </c>
      <c r="C823" s="15">
        <v>849.8</v>
      </c>
      <c r="E823" s="45"/>
      <c r="H823" s="45"/>
      <c r="K823" s="45"/>
    </row>
    <row r="824" spans="1:11" x14ac:dyDescent="0.25">
      <c r="A824" s="8">
        <v>45587</v>
      </c>
      <c r="B824" s="15">
        <v>1267.5</v>
      </c>
      <c r="C824" s="15">
        <v>845.9</v>
      </c>
      <c r="E824" s="45"/>
      <c r="H824" s="45"/>
      <c r="K824" s="45"/>
    </row>
    <row r="825" spans="1:11" x14ac:dyDescent="0.25">
      <c r="A825" s="8">
        <v>45588</v>
      </c>
      <c r="B825" s="15">
        <v>1251.5999999999999</v>
      </c>
      <c r="C825" s="15">
        <v>836.8</v>
      </c>
      <c r="E825" s="45"/>
      <c r="H825" s="45"/>
      <c r="K825" s="45"/>
    </row>
    <row r="826" spans="1:11" x14ac:dyDescent="0.25">
      <c r="A826" s="8">
        <v>45589</v>
      </c>
      <c r="B826" s="15">
        <v>1252.75</v>
      </c>
      <c r="C826" s="15">
        <v>836.25</v>
      </c>
      <c r="E826" s="45"/>
      <c r="H826" s="45"/>
      <c r="K826" s="45"/>
    </row>
    <row r="827" spans="1:11" x14ac:dyDescent="0.25">
      <c r="A827" s="8">
        <v>45590</v>
      </c>
      <c r="B827" s="15">
        <v>1255.45</v>
      </c>
      <c r="C827" s="15">
        <v>834.75</v>
      </c>
      <c r="E827" s="45"/>
      <c r="H827" s="45"/>
      <c r="K827" s="45"/>
    </row>
    <row r="828" spans="1:11" x14ac:dyDescent="0.25">
      <c r="A828" s="8">
        <v>45593</v>
      </c>
      <c r="B828" s="15">
        <v>1292.8499999999999</v>
      </c>
      <c r="C828" s="15">
        <v>858.35</v>
      </c>
      <c r="E828" s="45"/>
      <c r="H828" s="45"/>
      <c r="K828" s="45"/>
    </row>
    <row r="829" spans="1:11" x14ac:dyDescent="0.25">
      <c r="A829" s="8">
        <v>45594</v>
      </c>
      <c r="B829" s="15">
        <v>1331.85</v>
      </c>
      <c r="C829" s="15">
        <v>882.1</v>
      </c>
      <c r="E829" s="45"/>
      <c r="H829" s="45"/>
      <c r="K829" s="45"/>
    </row>
    <row r="830" spans="1:11" x14ac:dyDescent="0.25">
      <c r="A830" s="8">
        <v>45595</v>
      </c>
      <c r="B830" s="15">
        <v>1312.15</v>
      </c>
      <c r="C830" s="15">
        <v>873.1</v>
      </c>
      <c r="E830" s="45"/>
      <c r="H830" s="45"/>
      <c r="K830" s="45"/>
    </row>
    <row r="831" spans="1:11" x14ac:dyDescent="0.25">
      <c r="A831" s="8">
        <v>45596</v>
      </c>
      <c r="B831" s="15">
        <v>1292.25</v>
      </c>
      <c r="C831" s="15">
        <v>867.6</v>
      </c>
      <c r="E831" s="45"/>
      <c r="H831" s="45"/>
      <c r="K831" s="45"/>
    </row>
    <row r="832" spans="1:11" x14ac:dyDescent="0.25">
      <c r="A832" s="8">
        <v>45597</v>
      </c>
      <c r="B832" s="15">
        <v>1291.8</v>
      </c>
      <c r="C832" s="15">
        <v>863.9</v>
      </c>
      <c r="E832" s="45"/>
      <c r="H832" s="45"/>
      <c r="K832" s="45"/>
    </row>
    <row r="833" spans="1:11" x14ac:dyDescent="0.25">
      <c r="A833" s="8">
        <v>45600</v>
      </c>
      <c r="B833" s="15">
        <v>1277.2</v>
      </c>
      <c r="C833" s="15">
        <v>853.1</v>
      </c>
      <c r="E833" s="45"/>
      <c r="H833" s="45"/>
      <c r="K833" s="45"/>
    </row>
    <row r="834" spans="1:11" x14ac:dyDescent="0.25">
      <c r="A834" s="8">
        <v>45601</v>
      </c>
      <c r="B834" s="15">
        <v>1296.7</v>
      </c>
      <c r="C834" s="15">
        <v>861.95</v>
      </c>
      <c r="E834" s="45"/>
      <c r="H834" s="45"/>
      <c r="K834" s="45"/>
    </row>
    <row r="835" spans="1:11" x14ac:dyDescent="0.25">
      <c r="A835" s="8">
        <v>45602</v>
      </c>
      <c r="B835" s="15">
        <v>1302.3499999999999</v>
      </c>
      <c r="C835" s="15">
        <v>867.5</v>
      </c>
      <c r="E835" s="45"/>
      <c r="H835" s="45"/>
      <c r="K835" s="45"/>
    </row>
    <row r="836" spans="1:11" x14ac:dyDescent="0.25">
      <c r="A836" s="8">
        <v>45603</v>
      </c>
      <c r="B836" s="15">
        <v>1278.7</v>
      </c>
      <c r="C836" s="15">
        <v>852.45</v>
      </c>
      <c r="E836" s="45"/>
      <c r="H836" s="45"/>
      <c r="K836" s="45"/>
    </row>
    <row r="837" spans="1:11" x14ac:dyDescent="0.25">
      <c r="A837" s="8">
        <v>45604</v>
      </c>
      <c r="B837" s="15">
        <v>1258.8499999999999</v>
      </c>
      <c r="C837" s="15">
        <v>843.2</v>
      </c>
      <c r="E837" s="45"/>
      <c r="H837" s="45"/>
      <c r="K837" s="45"/>
    </row>
    <row r="838" spans="1:11" x14ac:dyDescent="0.25">
      <c r="A838" s="8">
        <v>45607</v>
      </c>
      <c r="B838" s="15">
        <v>1269.3</v>
      </c>
      <c r="C838" s="15">
        <v>841.9</v>
      </c>
      <c r="E838" s="45"/>
      <c r="H838" s="45"/>
      <c r="K838" s="45"/>
    </row>
    <row r="839" spans="1:11" x14ac:dyDescent="0.25">
      <c r="A839" s="8">
        <v>45608</v>
      </c>
      <c r="B839" s="15">
        <v>1270.5999999999999</v>
      </c>
      <c r="C839" s="15">
        <v>842.65</v>
      </c>
      <c r="E839" s="45"/>
      <c r="H839" s="45"/>
      <c r="K839" s="45"/>
    </row>
    <row r="840" spans="1:11" x14ac:dyDescent="0.25">
      <c r="A840" s="8">
        <v>45609</v>
      </c>
      <c r="B840" s="15">
        <v>1253.7</v>
      </c>
      <c r="C840" s="15">
        <v>841</v>
      </c>
      <c r="E840" s="45"/>
      <c r="H840" s="45"/>
      <c r="K840" s="45"/>
    </row>
    <row r="841" spans="1:11" x14ac:dyDescent="0.25">
      <c r="A841" s="8">
        <v>45610</v>
      </c>
      <c r="B841" s="15">
        <v>1256.95</v>
      </c>
      <c r="C841" s="15">
        <v>843.65</v>
      </c>
      <c r="E841" s="45"/>
      <c r="H841" s="45"/>
      <c r="K841" s="45"/>
    </row>
    <row r="842" spans="1:11" x14ac:dyDescent="0.25">
      <c r="A842" s="8">
        <v>45614</v>
      </c>
      <c r="B842" s="15">
        <v>1253.45</v>
      </c>
      <c r="C842" s="15">
        <v>841.55</v>
      </c>
      <c r="E842" s="45"/>
      <c r="H842" s="45"/>
      <c r="K842" s="45"/>
    </row>
    <row r="843" spans="1:11" x14ac:dyDescent="0.25">
      <c r="A843" s="8">
        <v>45615</v>
      </c>
      <c r="B843" s="15">
        <v>1249.0999999999999</v>
      </c>
      <c r="C843" s="15">
        <v>839.55</v>
      </c>
      <c r="E843" s="45"/>
      <c r="H843" s="45"/>
      <c r="K843" s="45"/>
    </row>
    <row r="844" spans="1:11" x14ac:dyDescent="0.25">
      <c r="A844" s="8">
        <v>45617</v>
      </c>
      <c r="B844" s="15">
        <v>1250.55</v>
      </c>
      <c r="C844" s="15">
        <v>837.15</v>
      </c>
      <c r="E844" s="45"/>
      <c r="H844" s="45"/>
      <c r="K844" s="45"/>
    </row>
    <row r="845" spans="1:11" x14ac:dyDescent="0.25">
      <c r="A845" s="8">
        <v>45618</v>
      </c>
      <c r="B845" s="15">
        <v>1278.05</v>
      </c>
      <c r="C845" s="15">
        <v>850.95</v>
      </c>
      <c r="E845" s="45"/>
      <c r="H845" s="45"/>
      <c r="K845" s="45"/>
    </row>
    <row r="846" spans="1:11" x14ac:dyDescent="0.25">
      <c r="A846" s="8">
        <v>45621</v>
      </c>
      <c r="B846" s="15">
        <v>1300.95</v>
      </c>
      <c r="C846" s="15">
        <v>873.05</v>
      </c>
      <c r="E846" s="45"/>
      <c r="H846" s="45"/>
      <c r="K846" s="45"/>
    </row>
    <row r="847" spans="1:11" x14ac:dyDescent="0.25">
      <c r="A847" s="8">
        <v>45622</v>
      </c>
      <c r="B847" s="15">
        <v>1304.95</v>
      </c>
      <c r="C847" s="15">
        <v>876.2</v>
      </c>
      <c r="E847" s="45"/>
      <c r="H847" s="45"/>
      <c r="K847" s="45"/>
    </row>
    <row r="848" spans="1:11" x14ac:dyDescent="0.25">
      <c r="A848" s="8">
        <v>45623</v>
      </c>
      <c r="B848" s="15">
        <v>1300.7</v>
      </c>
      <c r="C848" s="15">
        <v>875</v>
      </c>
      <c r="E848" s="45"/>
      <c r="H848" s="45"/>
      <c r="K848" s="45"/>
    </row>
    <row r="849" spans="1:11" x14ac:dyDescent="0.25">
      <c r="A849" s="8">
        <v>45624</v>
      </c>
      <c r="B849" s="15">
        <v>1286.3499999999999</v>
      </c>
      <c r="C849" s="15">
        <v>866.15</v>
      </c>
      <c r="E849" s="45"/>
      <c r="H849" s="45"/>
      <c r="K849" s="45"/>
    </row>
    <row r="850" spans="1:11" x14ac:dyDescent="0.25">
      <c r="A850" s="8">
        <v>45625</v>
      </c>
      <c r="B850" s="15">
        <v>1300.0999999999999</v>
      </c>
      <c r="C850" s="15">
        <v>872.65</v>
      </c>
      <c r="E850" s="45"/>
      <c r="H850" s="45"/>
      <c r="K850" s="45"/>
    </row>
    <row r="851" spans="1:11" x14ac:dyDescent="0.25">
      <c r="A851" s="8">
        <v>45628</v>
      </c>
      <c r="B851" s="15">
        <v>1304.6500000000001</v>
      </c>
      <c r="C851" s="15">
        <v>872.85</v>
      </c>
      <c r="E851" s="45"/>
      <c r="H851" s="45"/>
      <c r="K851" s="45"/>
    </row>
    <row r="852" spans="1:11" x14ac:dyDescent="0.25">
      <c r="A852" s="8">
        <v>45629</v>
      </c>
      <c r="B852" s="15">
        <v>1308.4000000000001</v>
      </c>
      <c r="C852" s="15">
        <v>878.3</v>
      </c>
      <c r="E852" s="45"/>
      <c r="H852" s="45"/>
      <c r="K852" s="45"/>
    </row>
    <row r="853" spans="1:11" x14ac:dyDescent="0.25">
      <c r="A853" s="8">
        <v>45630</v>
      </c>
      <c r="B853" s="15">
        <v>1316.05</v>
      </c>
      <c r="C853" s="15">
        <v>881.1</v>
      </c>
      <c r="E853" s="45"/>
      <c r="H853" s="45"/>
      <c r="K853" s="45"/>
    </row>
    <row r="854" spans="1:11" x14ac:dyDescent="0.25">
      <c r="A854" s="8">
        <v>45631</v>
      </c>
      <c r="B854" s="15">
        <v>1336.5</v>
      </c>
      <c r="C854" s="15">
        <v>892.35</v>
      </c>
      <c r="E854" s="45"/>
      <c r="H854" s="45"/>
      <c r="K854" s="45"/>
    </row>
    <row r="855" spans="1:11" x14ac:dyDescent="0.25">
      <c r="A855" s="8">
        <v>45632</v>
      </c>
      <c r="B855" s="15">
        <v>1328.75</v>
      </c>
      <c r="C855" s="15">
        <v>888.95</v>
      </c>
      <c r="E855" s="45"/>
      <c r="H855" s="45"/>
      <c r="K855" s="45"/>
    </row>
    <row r="856" spans="1:11" x14ac:dyDescent="0.25">
      <c r="A856" s="8">
        <v>45635</v>
      </c>
      <c r="B856" s="15">
        <v>1322.3</v>
      </c>
      <c r="C856" s="15">
        <v>882.35</v>
      </c>
      <c r="E856" s="45"/>
      <c r="H856" s="45"/>
      <c r="K856" s="45"/>
    </row>
    <row r="857" spans="1:11" x14ac:dyDescent="0.25">
      <c r="A857" s="8">
        <v>45636</v>
      </c>
      <c r="B857" s="15">
        <v>1330.45</v>
      </c>
      <c r="C857" s="15">
        <v>882.35</v>
      </c>
      <c r="E857" s="45"/>
      <c r="H857" s="45"/>
      <c r="K857" s="45"/>
    </row>
    <row r="858" spans="1:11" x14ac:dyDescent="0.25">
      <c r="A858" s="8">
        <v>45637</v>
      </c>
      <c r="B858" s="15">
        <v>1327.5</v>
      </c>
      <c r="C858" s="15">
        <v>880.4</v>
      </c>
      <c r="E858" s="45"/>
      <c r="H858" s="45"/>
      <c r="K858" s="45"/>
    </row>
    <row r="859" spans="1:11" x14ac:dyDescent="0.25">
      <c r="A859" s="8">
        <v>45638</v>
      </c>
      <c r="B859" s="15">
        <v>1329.25</v>
      </c>
      <c r="C859" s="15">
        <v>878.7</v>
      </c>
      <c r="E859" s="45"/>
      <c r="H859" s="45"/>
      <c r="K859" s="45"/>
    </row>
    <row r="860" spans="1:11" x14ac:dyDescent="0.25">
      <c r="A860" s="8">
        <v>45639</v>
      </c>
      <c r="B860" s="15">
        <v>1344.9</v>
      </c>
      <c r="C860" s="15">
        <v>884.15</v>
      </c>
      <c r="E860" s="45"/>
      <c r="H860" s="45"/>
      <c r="K860" s="45"/>
    </row>
    <row r="861" spans="1:11" x14ac:dyDescent="0.25">
      <c r="A861" s="8">
        <v>45642</v>
      </c>
      <c r="B861" s="15">
        <v>1346.1</v>
      </c>
      <c r="C861" s="15">
        <v>889.3</v>
      </c>
      <c r="E861" s="45"/>
      <c r="H861" s="45"/>
      <c r="K861" s="45"/>
    </row>
    <row r="862" spans="1:11" x14ac:dyDescent="0.25">
      <c r="A862" s="8">
        <v>45643</v>
      </c>
      <c r="B862" s="15">
        <v>1333.75</v>
      </c>
      <c r="C862" s="15">
        <v>874.7</v>
      </c>
      <c r="E862" s="45"/>
      <c r="H862" s="45"/>
      <c r="K862" s="45"/>
    </row>
    <row r="863" spans="1:11" x14ac:dyDescent="0.25">
      <c r="A863" s="8">
        <v>45644</v>
      </c>
      <c r="B863" s="15">
        <v>1314.15</v>
      </c>
      <c r="C863" s="15">
        <v>859.6</v>
      </c>
      <c r="E863" s="45"/>
      <c r="H863" s="45"/>
      <c r="K863" s="45"/>
    </row>
    <row r="864" spans="1:11" x14ac:dyDescent="0.25">
      <c r="A864" s="8">
        <v>45645</v>
      </c>
      <c r="B864" s="15">
        <v>1286.9000000000001</v>
      </c>
      <c r="C864" s="15">
        <v>842.85</v>
      </c>
      <c r="E864" s="45"/>
      <c r="H864" s="45"/>
      <c r="K864" s="45"/>
    </row>
    <row r="865" spans="1:11" x14ac:dyDescent="0.25">
      <c r="A865" s="8">
        <v>45646</v>
      </c>
      <c r="B865" s="15">
        <v>1288.4000000000001</v>
      </c>
      <c r="C865" s="15">
        <v>831.65</v>
      </c>
      <c r="E865" s="45"/>
      <c r="H865" s="45"/>
      <c r="K865" s="45"/>
    </row>
    <row r="866" spans="1:11" x14ac:dyDescent="0.25">
      <c r="A866" s="8">
        <v>45649</v>
      </c>
      <c r="B866" s="15">
        <v>1296.8</v>
      </c>
      <c r="C866" s="15">
        <v>847.5</v>
      </c>
      <c r="E866" s="45"/>
      <c r="H866" s="45"/>
      <c r="K866" s="45"/>
    </row>
    <row r="867" spans="1:11" x14ac:dyDescent="0.25">
      <c r="A867" s="8">
        <v>45650</v>
      </c>
      <c r="B867" s="15">
        <v>1297.25</v>
      </c>
      <c r="C867" s="15">
        <v>849.6</v>
      </c>
      <c r="E867" s="45"/>
      <c r="H867" s="45"/>
      <c r="K867" s="45"/>
    </row>
    <row r="868" spans="1:11" x14ac:dyDescent="0.25">
      <c r="A868" s="8">
        <v>45652</v>
      </c>
      <c r="B868" s="15">
        <v>1297.3499999999999</v>
      </c>
      <c r="C868" s="15">
        <v>848.55</v>
      </c>
      <c r="E868" s="45"/>
      <c r="H868" s="45"/>
      <c r="K868" s="45"/>
    </row>
    <row r="869" spans="1:11" x14ac:dyDescent="0.25">
      <c r="A869" s="8">
        <v>45653</v>
      </c>
      <c r="B869" s="15">
        <v>1307.55</v>
      </c>
      <c r="C869" s="15">
        <v>853.9</v>
      </c>
      <c r="E869" s="45"/>
      <c r="H869" s="45"/>
      <c r="K869" s="45"/>
    </row>
    <row r="870" spans="1:11" x14ac:dyDescent="0.25">
      <c r="A870" s="8">
        <v>45656</v>
      </c>
      <c r="B870" s="15">
        <v>1294.6500000000001</v>
      </c>
      <c r="C870" s="15">
        <v>863.65</v>
      </c>
      <c r="E870" s="45"/>
      <c r="H870" s="45"/>
      <c r="K870" s="45"/>
    </row>
    <row r="871" spans="1:11" x14ac:dyDescent="0.25">
      <c r="A871" s="8">
        <v>45657</v>
      </c>
      <c r="B871" s="15">
        <v>1281.6500000000001</v>
      </c>
      <c r="C871" s="15">
        <v>856.35</v>
      </c>
      <c r="E871" s="45"/>
      <c r="H871" s="45"/>
      <c r="K871" s="45"/>
    </row>
    <row r="872" spans="1:11" x14ac:dyDescent="0.25">
      <c r="A872" s="8">
        <v>45658</v>
      </c>
      <c r="B872" s="15">
        <v>1283.6500000000001</v>
      </c>
      <c r="C872" s="15">
        <v>857.6</v>
      </c>
      <c r="E872" s="45"/>
      <c r="H872" s="45"/>
      <c r="K872" s="45"/>
    </row>
    <row r="873" spans="1:11" x14ac:dyDescent="0.25">
      <c r="A873" s="67">
        <v>45659</v>
      </c>
      <c r="B873" s="15">
        <v>1290.5999999999999</v>
      </c>
      <c r="C873" s="15">
        <v>861.9</v>
      </c>
      <c r="E873" s="45"/>
      <c r="H873" s="45"/>
      <c r="K873" s="45"/>
    </row>
    <row r="874" spans="1:11" x14ac:dyDescent="0.25">
      <c r="A874" s="8">
        <v>45660</v>
      </c>
      <c r="B874" s="15">
        <v>1265.05</v>
      </c>
      <c r="C874" s="15">
        <v>838</v>
      </c>
      <c r="E874" s="45"/>
      <c r="H874" s="45"/>
      <c r="K874" s="45"/>
    </row>
    <row r="875" spans="1:11" x14ac:dyDescent="0.25">
      <c r="A875" s="8">
        <v>45663</v>
      </c>
      <c r="B875" s="15">
        <v>1264.0999999999999</v>
      </c>
      <c r="C875" s="15">
        <v>839.35</v>
      </c>
      <c r="E875" s="45"/>
      <c r="H875" s="45"/>
      <c r="K875" s="45"/>
    </row>
    <row r="876" spans="1:11" x14ac:dyDescent="0.25">
      <c r="A876" s="8">
        <v>45664</v>
      </c>
      <c r="B876" s="15">
        <v>1279.25</v>
      </c>
      <c r="C876" s="15">
        <v>848.25</v>
      </c>
      <c r="E876" s="45"/>
      <c r="H876" s="45"/>
      <c r="K876" s="45"/>
    </row>
    <row r="877" spans="1:11" x14ac:dyDescent="0.25">
      <c r="A877" s="8">
        <v>45665</v>
      </c>
      <c r="B877" s="15">
        <v>1263.75</v>
      </c>
      <c r="C877" s="15">
        <v>840.15</v>
      </c>
      <c r="E877" s="45"/>
      <c r="H877" s="45"/>
      <c r="K877" s="45"/>
    </row>
    <row r="878" spans="1:11" x14ac:dyDescent="0.25">
      <c r="A878" s="8">
        <v>45666</v>
      </c>
      <c r="B878" s="15">
        <v>1262.4000000000001</v>
      </c>
      <c r="C878" s="15">
        <v>839.4</v>
      </c>
      <c r="E878" s="45"/>
      <c r="H878" s="45"/>
      <c r="K878" s="45"/>
    </row>
    <row r="879" spans="1:11" x14ac:dyDescent="0.25">
      <c r="A879" s="8">
        <v>45667</v>
      </c>
      <c r="B879" s="15">
        <v>1249.8499999999999</v>
      </c>
      <c r="C879" s="15">
        <v>827.55</v>
      </c>
      <c r="E879" s="45"/>
      <c r="H879" s="45"/>
      <c r="K879" s="45"/>
    </row>
    <row r="880" spans="1:11" x14ac:dyDescent="0.25">
      <c r="A880" s="8">
        <v>45670</v>
      </c>
      <c r="B880" s="15">
        <v>1229.75</v>
      </c>
      <c r="C880" s="15">
        <v>816.8</v>
      </c>
      <c r="E880" s="45"/>
      <c r="H880" s="45"/>
      <c r="K880" s="45"/>
    </row>
    <row r="881" spans="1:11" x14ac:dyDescent="0.25">
      <c r="A881" s="8">
        <v>45671</v>
      </c>
      <c r="B881" s="15">
        <v>1240.3</v>
      </c>
      <c r="C881" s="15">
        <v>828.5</v>
      </c>
      <c r="E881" s="45"/>
      <c r="H881" s="45"/>
      <c r="K881" s="45"/>
    </row>
    <row r="882" spans="1:11" x14ac:dyDescent="0.25">
      <c r="A882" s="8">
        <v>45672</v>
      </c>
      <c r="B882" s="15">
        <v>1238.25</v>
      </c>
      <c r="C882" s="15">
        <v>826.65</v>
      </c>
      <c r="E882" s="45"/>
      <c r="H882" s="45"/>
      <c r="K882" s="45"/>
    </row>
    <row r="883" spans="1:11" x14ac:dyDescent="0.25">
      <c r="A883" s="8">
        <v>45673</v>
      </c>
      <c r="B883" s="15">
        <v>1249.0999999999999</v>
      </c>
      <c r="C883" s="15">
        <v>824.05</v>
      </c>
      <c r="E883" s="45"/>
      <c r="H883" s="45"/>
      <c r="K883" s="45"/>
    </row>
    <row r="884" spans="1:11" x14ac:dyDescent="0.25">
      <c r="A884" s="8">
        <v>45674</v>
      </c>
      <c r="B884" s="15">
        <v>1225.45</v>
      </c>
      <c r="C884" s="15">
        <v>813.85</v>
      </c>
      <c r="E884" s="45"/>
      <c r="H884" s="45"/>
      <c r="K884" s="45"/>
    </row>
    <row r="885" spans="1:11" x14ac:dyDescent="0.25">
      <c r="A885" s="8">
        <v>45677</v>
      </c>
      <c r="B885" s="15">
        <v>1232.95</v>
      </c>
      <c r="C885" s="15">
        <v>818.45</v>
      </c>
      <c r="E885" s="45"/>
      <c r="H885" s="45"/>
      <c r="K885" s="45"/>
    </row>
    <row r="886" spans="1:11" x14ac:dyDescent="0.25">
      <c r="A886" s="8">
        <v>45678</v>
      </c>
      <c r="B886" s="15">
        <v>1196.1500000000001</v>
      </c>
      <c r="C886" s="15">
        <v>796.65</v>
      </c>
      <c r="E886" s="45"/>
      <c r="H886" s="45"/>
      <c r="K886" s="45"/>
    </row>
    <row r="887" spans="1:11" x14ac:dyDescent="0.25">
      <c r="A887" s="8">
        <v>45679</v>
      </c>
      <c r="B887" s="15">
        <v>1200.45</v>
      </c>
      <c r="C887" s="15">
        <v>800.9</v>
      </c>
      <c r="E887" s="45"/>
      <c r="H887" s="45"/>
      <c r="K887" s="45"/>
    </row>
    <row r="888" spans="1:11" x14ac:dyDescent="0.25">
      <c r="A888" s="8">
        <v>45680</v>
      </c>
      <c r="B888" s="15">
        <v>1201.75</v>
      </c>
      <c r="C888" s="15">
        <v>798.95</v>
      </c>
      <c r="E888" s="45"/>
      <c r="H888" s="45"/>
      <c r="K888" s="45"/>
    </row>
    <row r="889" spans="1:11" x14ac:dyDescent="0.25">
      <c r="A889" s="8">
        <v>45681</v>
      </c>
      <c r="B889" s="15">
        <v>1209.2</v>
      </c>
      <c r="C889" s="15">
        <v>804.2</v>
      </c>
      <c r="E889" s="45"/>
      <c r="H889" s="45"/>
      <c r="K889" s="45"/>
    </row>
    <row r="890" spans="1:11" x14ac:dyDescent="0.25">
      <c r="A890" s="8">
        <v>45684</v>
      </c>
      <c r="B890" s="15">
        <v>1227.95</v>
      </c>
      <c r="C890" s="15">
        <v>815.15</v>
      </c>
      <c r="E890" s="45"/>
      <c r="H890" s="45"/>
      <c r="K890" s="45"/>
    </row>
    <row r="891" spans="1:11" x14ac:dyDescent="0.25">
      <c r="A891" s="8">
        <v>45685</v>
      </c>
      <c r="B891" s="15">
        <v>1246.9000000000001</v>
      </c>
      <c r="C891" s="15">
        <v>827.9</v>
      </c>
      <c r="E891" s="45"/>
      <c r="H891" s="45"/>
      <c r="K891" s="45"/>
    </row>
    <row r="892" spans="1:11" x14ac:dyDescent="0.25">
      <c r="A892" s="8">
        <v>45686</v>
      </c>
      <c r="B892" s="15">
        <v>1251.6500000000001</v>
      </c>
      <c r="C892" s="15">
        <v>828.05</v>
      </c>
      <c r="E892" s="45"/>
      <c r="H892" s="45"/>
      <c r="K892" s="45"/>
    </row>
    <row r="893" spans="1:11" x14ac:dyDescent="0.25">
      <c r="A893" s="8">
        <v>45687</v>
      </c>
      <c r="B893" s="15">
        <v>1255.5999999999999</v>
      </c>
      <c r="C893" s="15">
        <v>829.25</v>
      </c>
      <c r="E893" s="45"/>
      <c r="H893" s="45"/>
      <c r="K893" s="45"/>
    </row>
    <row r="894" spans="1:11" x14ac:dyDescent="0.25">
      <c r="A894" s="8">
        <v>45688</v>
      </c>
      <c r="B894" s="15">
        <v>1252.8</v>
      </c>
      <c r="C894" s="15">
        <v>828.6</v>
      </c>
      <c r="E894" s="45"/>
      <c r="H894" s="45"/>
      <c r="K894" s="45"/>
    </row>
    <row r="895" spans="1:11" x14ac:dyDescent="0.25">
      <c r="A895" s="8">
        <v>45689</v>
      </c>
      <c r="B895" s="15">
        <v>1255.55</v>
      </c>
      <c r="C895" s="15">
        <v>834.15</v>
      </c>
      <c r="E895" s="45"/>
      <c r="H895" s="45"/>
      <c r="K895" s="45"/>
    </row>
    <row r="896" spans="1:11" x14ac:dyDescent="0.25">
      <c r="A896" s="8">
        <v>45691</v>
      </c>
      <c r="B896" s="15">
        <v>1253</v>
      </c>
      <c r="C896" s="15">
        <v>833.25</v>
      </c>
      <c r="E896" s="45"/>
      <c r="H896" s="45"/>
      <c r="K896" s="45"/>
    </row>
    <row r="897" spans="1:11" x14ac:dyDescent="0.25">
      <c r="A897" s="8">
        <v>45692</v>
      </c>
      <c r="B897" s="15">
        <v>1268.2</v>
      </c>
      <c r="C897" s="15">
        <v>841.9</v>
      </c>
      <c r="E897" s="45"/>
      <c r="H897" s="45"/>
      <c r="K897" s="45"/>
    </row>
    <row r="898" spans="1:11" x14ac:dyDescent="0.25">
      <c r="A898" s="8">
        <v>45693</v>
      </c>
      <c r="B898" s="15">
        <v>1267.7</v>
      </c>
      <c r="C898" s="15">
        <v>843.65</v>
      </c>
      <c r="E898" s="45"/>
      <c r="H898" s="45"/>
      <c r="K898" s="45"/>
    </row>
    <row r="899" spans="1:11" x14ac:dyDescent="0.25">
      <c r="A899" s="8">
        <v>45694</v>
      </c>
      <c r="B899" s="15">
        <v>1272.4000000000001</v>
      </c>
      <c r="C899" s="15">
        <v>847.8</v>
      </c>
      <c r="E899" s="45"/>
      <c r="H899" s="45"/>
      <c r="K899" s="45"/>
    </row>
    <row r="900" spans="1:11" x14ac:dyDescent="0.25">
      <c r="A900" s="8">
        <v>45695</v>
      </c>
      <c r="B900" s="15">
        <v>1256.9000000000001</v>
      </c>
      <c r="C900" s="15">
        <v>836.35</v>
      </c>
      <c r="E900" s="45"/>
      <c r="H900" s="45"/>
      <c r="K900" s="45"/>
    </row>
    <row r="901" spans="1:11" x14ac:dyDescent="0.25">
      <c r="A901" s="8">
        <v>45698</v>
      </c>
      <c r="B901" s="15">
        <v>1262.5999999999999</v>
      </c>
      <c r="C901" s="15">
        <v>841.05</v>
      </c>
      <c r="E901" s="45"/>
      <c r="H901" s="45"/>
      <c r="K901" s="45"/>
    </row>
    <row r="902" spans="1:11" x14ac:dyDescent="0.25">
      <c r="A902" s="8">
        <v>45699</v>
      </c>
      <c r="B902" s="15">
        <v>1252.75</v>
      </c>
      <c r="C902" s="15">
        <v>833.25</v>
      </c>
      <c r="E902" s="45"/>
      <c r="H902" s="45"/>
      <c r="K902" s="45"/>
    </row>
    <row r="903" spans="1:11" x14ac:dyDescent="0.25">
      <c r="A903" s="8">
        <v>45700</v>
      </c>
      <c r="B903" s="15">
        <v>1251.8</v>
      </c>
      <c r="C903" s="15">
        <v>832.4</v>
      </c>
      <c r="E903" s="45"/>
      <c r="H903" s="45"/>
      <c r="K903" s="45"/>
    </row>
    <row r="904" spans="1:11" x14ac:dyDescent="0.25">
      <c r="A904" s="8">
        <v>45701</v>
      </c>
      <c r="B904" s="15">
        <v>1248.9000000000001</v>
      </c>
      <c r="C904" s="15">
        <v>831.6</v>
      </c>
      <c r="E904" s="45"/>
      <c r="H904" s="45"/>
      <c r="K904" s="45"/>
    </row>
    <row r="905" spans="1:11" x14ac:dyDescent="0.25">
      <c r="A905" s="8">
        <v>45702</v>
      </c>
      <c r="B905" s="15">
        <v>1260.0999999999999</v>
      </c>
      <c r="C905" s="15">
        <v>843.85</v>
      </c>
      <c r="E905" s="45"/>
      <c r="H905" s="45"/>
      <c r="K905" s="45"/>
    </row>
    <row r="906" spans="1:11" x14ac:dyDescent="0.25">
      <c r="A906" s="8">
        <v>45705</v>
      </c>
      <c r="B906" s="15">
        <v>1251.1500000000001</v>
      </c>
      <c r="C906" s="15">
        <v>841.65</v>
      </c>
      <c r="E906" s="45"/>
      <c r="H906" s="45"/>
      <c r="K906" s="45"/>
    </row>
    <row r="907" spans="1:11" x14ac:dyDescent="0.25">
      <c r="A907" s="8">
        <v>45706</v>
      </c>
      <c r="B907" s="15">
        <v>1243.05</v>
      </c>
      <c r="C907" s="15">
        <v>828.2</v>
      </c>
      <c r="E907" s="45"/>
      <c r="H907" s="45"/>
      <c r="K907" s="45"/>
    </row>
    <row r="908" spans="1:11" x14ac:dyDescent="0.25">
      <c r="A908" s="8">
        <v>45707</v>
      </c>
      <c r="B908" s="15">
        <v>1261.6500000000001</v>
      </c>
      <c r="C908" s="15">
        <v>837.1</v>
      </c>
      <c r="E908" s="45"/>
      <c r="H908" s="45"/>
      <c r="K908" s="45"/>
    </row>
    <row r="909" spans="1:11" x14ac:dyDescent="0.25">
      <c r="A909" s="8">
        <v>45708</v>
      </c>
      <c r="B909" s="15">
        <v>1249.95</v>
      </c>
      <c r="C909" s="15">
        <v>830.95</v>
      </c>
      <c r="E909" s="45"/>
      <c r="H909" s="45"/>
      <c r="K909" s="45"/>
    </row>
    <row r="910" spans="1:11" x14ac:dyDescent="0.25">
      <c r="A910" s="8">
        <v>45709</v>
      </c>
      <c r="B910" s="15">
        <v>1232.95</v>
      </c>
      <c r="C910" s="15">
        <v>819.25</v>
      </c>
      <c r="E910" s="45"/>
      <c r="H910" s="45"/>
      <c r="K910" s="45"/>
    </row>
    <row r="911" spans="1:11" x14ac:dyDescent="0.25">
      <c r="A911" s="8">
        <v>45712</v>
      </c>
      <c r="B911" s="15">
        <v>1218.3499999999999</v>
      </c>
      <c r="C911" s="15">
        <v>811.55</v>
      </c>
      <c r="E911" s="45"/>
      <c r="H911" s="45"/>
      <c r="K911" s="45"/>
    </row>
    <row r="912" spans="1:11" x14ac:dyDescent="0.25">
      <c r="A912" s="8">
        <v>45713</v>
      </c>
      <c r="B912" s="15">
        <v>1224.1500000000001</v>
      </c>
      <c r="C912" s="15">
        <v>812.45</v>
      </c>
      <c r="E912" s="45"/>
      <c r="H912" s="45"/>
      <c r="K912" s="45"/>
    </row>
    <row r="913" spans="1:11" x14ac:dyDescent="0.25">
      <c r="A913" s="8">
        <v>45715</v>
      </c>
      <c r="B913" s="15">
        <v>1222.45</v>
      </c>
      <c r="C913" s="15">
        <v>806.7</v>
      </c>
      <c r="E913" s="45"/>
      <c r="H913" s="45"/>
      <c r="K913" s="45"/>
    </row>
    <row r="914" spans="1:11" x14ac:dyDescent="0.25">
      <c r="A914" s="8">
        <v>45716</v>
      </c>
      <c r="B914" s="15">
        <v>1204.0999999999999</v>
      </c>
      <c r="C914" s="15">
        <v>801.9</v>
      </c>
      <c r="E914" s="45"/>
      <c r="H914" s="45"/>
      <c r="K914" s="45"/>
    </row>
    <row r="915" spans="1:11" x14ac:dyDescent="0.25">
      <c r="A915" s="8">
        <v>45719</v>
      </c>
      <c r="B915" s="15">
        <v>1206.2</v>
      </c>
      <c r="C915" s="15">
        <v>802.55</v>
      </c>
      <c r="E915" s="45"/>
      <c r="H915" s="45"/>
      <c r="K915" s="45"/>
    </row>
    <row r="916" spans="1:11" x14ac:dyDescent="0.25">
      <c r="A916" s="8">
        <v>45720</v>
      </c>
      <c r="B916" s="15">
        <v>1210.4000000000001</v>
      </c>
      <c r="C916" s="15">
        <v>804.55</v>
      </c>
      <c r="E916" s="45"/>
      <c r="H916" s="45"/>
      <c r="K916" s="45"/>
    </row>
    <row r="917" spans="1:11" x14ac:dyDescent="0.25">
      <c r="A917" s="8">
        <v>45721</v>
      </c>
      <c r="B917" s="15">
        <v>1215.7</v>
      </c>
      <c r="C917" s="15">
        <v>804.85</v>
      </c>
      <c r="E917" s="45"/>
      <c r="H917" s="45"/>
      <c r="K917" s="45"/>
    </row>
    <row r="918" spans="1:11" x14ac:dyDescent="0.25">
      <c r="A918" s="8">
        <v>45722</v>
      </c>
      <c r="B918" s="15">
        <v>1218.05</v>
      </c>
      <c r="C918" s="15">
        <v>801.75</v>
      </c>
      <c r="E918" s="45"/>
      <c r="H918" s="45"/>
      <c r="K918" s="45"/>
    </row>
    <row r="919" spans="1:11" x14ac:dyDescent="0.25">
      <c r="A919" s="8">
        <v>45723</v>
      </c>
      <c r="B919" s="15">
        <v>1214.55</v>
      </c>
      <c r="C919" s="15">
        <v>796</v>
      </c>
      <c r="E919" s="45"/>
      <c r="H919" s="45"/>
      <c r="K919" s="45"/>
    </row>
    <row r="920" spans="1:11" x14ac:dyDescent="0.25">
      <c r="A920" s="8">
        <v>45726</v>
      </c>
      <c r="B920" s="15">
        <v>1214.8499999999999</v>
      </c>
      <c r="C920" s="15">
        <v>795.15</v>
      </c>
      <c r="E920" s="45"/>
      <c r="H920" s="45"/>
      <c r="K920" s="45"/>
    </row>
    <row r="921" spans="1:11" x14ac:dyDescent="0.25">
      <c r="A921" s="8">
        <v>45727</v>
      </c>
      <c r="B921" s="15">
        <v>1245.4000000000001</v>
      </c>
      <c r="C921" s="15">
        <v>830.35</v>
      </c>
      <c r="E921" s="45"/>
      <c r="H921" s="45"/>
      <c r="K921" s="45"/>
    </row>
    <row r="922" spans="1:11" x14ac:dyDescent="0.25">
      <c r="A922" s="8">
        <v>45728</v>
      </c>
      <c r="B922" s="15">
        <v>1243.95</v>
      </c>
      <c r="C922" s="15">
        <v>832.1</v>
      </c>
      <c r="E922" s="45"/>
      <c r="H922" s="45"/>
      <c r="K922" s="45"/>
    </row>
    <row r="923" spans="1:11" x14ac:dyDescent="0.25">
      <c r="A923" s="8">
        <v>45729</v>
      </c>
      <c r="B923" s="15">
        <v>1250.05</v>
      </c>
      <c r="C923" s="15">
        <v>836.75</v>
      </c>
      <c r="E923" s="45"/>
      <c r="H923" s="45"/>
      <c r="K923" s="45"/>
    </row>
    <row r="924" spans="1:11" x14ac:dyDescent="0.25">
      <c r="A924" s="8">
        <v>45733</v>
      </c>
      <c r="B924" s="15">
        <v>1269</v>
      </c>
      <c r="C924" s="15">
        <v>849.4</v>
      </c>
      <c r="E924" s="45"/>
      <c r="H924" s="45"/>
      <c r="K924" s="45"/>
    </row>
    <row r="925" spans="1:11" x14ac:dyDescent="0.25">
      <c r="A925" s="8">
        <v>45734</v>
      </c>
      <c r="B925" s="15">
        <v>1309.8499999999999</v>
      </c>
      <c r="C925" s="15">
        <v>874.7</v>
      </c>
      <c r="E925" s="45"/>
      <c r="H925" s="45"/>
      <c r="K925" s="45"/>
    </row>
    <row r="926" spans="1:11" x14ac:dyDescent="0.25">
      <c r="A926" s="8">
        <v>45735</v>
      </c>
      <c r="B926" s="15">
        <v>1313.1</v>
      </c>
      <c r="C926" s="15">
        <v>877.05</v>
      </c>
      <c r="E926" s="45"/>
      <c r="H926" s="45"/>
      <c r="K926" s="45"/>
    </row>
    <row r="927" spans="1:11" x14ac:dyDescent="0.25">
      <c r="A927" s="8">
        <v>45736</v>
      </c>
      <c r="B927" s="15">
        <v>1321.7</v>
      </c>
      <c r="C927" s="15">
        <v>881.25</v>
      </c>
      <c r="E927" s="45"/>
      <c r="H927" s="45"/>
      <c r="K927" s="45"/>
    </row>
    <row r="928" spans="1:11" x14ac:dyDescent="0.25">
      <c r="A928" s="8">
        <v>45737</v>
      </c>
      <c r="B928" s="15">
        <v>1343.1</v>
      </c>
      <c r="C928" s="15">
        <v>896.2</v>
      </c>
      <c r="E928" s="45"/>
      <c r="H928" s="45"/>
      <c r="K928" s="45"/>
    </row>
    <row r="929" spans="1:11" x14ac:dyDescent="0.25">
      <c r="A929" s="64">
        <v>45740</v>
      </c>
      <c r="B929" s="15">
        <v>1358.15</v>
      </c>
      <c r="C929" s="15"/>
      <c r="E929" s="45"/>
      <c r="G929" s="7"/>
      <c r="K929" s="45"/>
    </row>
    <row r="930" spans="1:11" x14ac:dyDescent="0.25">
      <c r="A930" s="8">
        <v>45741</v>
      </c>
      <c r="B930" s="15">
        <v>1343.7</v>
      </c>
      <c r="C930" s="15"/>
      <c r="E930" s="45"/>
      <c r="G930" s="7"/>
      <c r="K930" s="45"/>
    </row>
    <row r="931" spans="1:11" x14ac:dyDescent="0.25">
      <c r="A931" s="8">
        <v>45742</v>
      </c>
      <c r="B931" s="15">
        <v>1335.9</v>
      </c>
      <c r="C931" s="15"/>
      <c r="E931" s="45"/>
      <c r="G931" s="7"/>
      <c r="K931" s="45"/>
    </row>
    <row r="932" spans="1:11" x14ac:dyDescent="0.25">
      <c r="A932" s="8">
        <v>45743</v>
      </c>
      <c r="B932" s="15">
        <v>1336.65</v>
      </c>
      <c r="C932" s="15"/>
      <c r="E932" s="45"/>
      <c r="G932" s="7"/>
      <c r="K932" s="45"/>
    </row>
    <row r="933" spans="1:11" x14ac:dyDescent="0.25">
      <c r="A933" s="65">
        <v>45744</v>
      </c>
      <c r="B933" s="15">
        <v>1348.35</v>
      </c>
      <c r="C933" s="15"/>
      <c r="E933" s="45"/>
      <c r="G933" s="7"/>
      <c r="K933" s="45"/>
    </row>
    <row r="934" spans="1:11" x14ac:dyDescent="0.25">
      <c r="A934" s="8">
        <v>45748</v>
      </c>
      <c r="B934" s="15">
        <v>1318.45</v>
      </c>
      <c r="C934" s="15"/>
      <c r="E934" s="45"/>
      <c r="G934" s="7"/>
      <c r="K934" s="45"/>
    </row>
    <row r="935" spans="1:11" x14ac:dyDescent="0.25">
      <c r="A935" s="8">
        <v>45749</v>
      </c>
      <c r="B935" s="15">
        <v>1331.25</v>
      </c>
      <c r="C935" s="15"/>
      <c r="E935" s="45"/>
      <c r="G935" s="7"/>
      <c r="K935" s="45"/>
    </row>
    <row r="936" spans="1:11" x14ac:dyDescent="0.25">
      <c r="A936" s="8">
        <v>45750</v>
      </c>
      <c r="B936" s="15">
        <v>1329.55</v>
      </c>
      <c r="C936" s="15"/>
      <c r="E936" s="45"/>
      <c r="G936" s="7"/>
      <c r="K936" s="45"/>
    </row>
    <row r="937" spans="1:11" x14ac:dyDescent="0.25">
      <c r="A937" s="8">
        <v>45751</v>
      </c>
      <c r="B937" s="15">
        <v>1335.3</v>
      </c>
      <c r="C937" s="15"/>
      <c r="E937" s="45"/>
      <c r="G937" s="7"/>
      <c r="K937" s="45"/>
    </row>
    <row r="938" spans="1:11" x14ac:dyDescent="0.25">
      <c r="A938" s="8">
        <v>45754</v>
      </c>
      <c r="B938" s="15">
        <v>1287.55</v>
      </c>
      <c r="C938" s="15"/>
      <c r="E938" s="45"/>
      <c r="G938" s="7"/>
      <c r="K938" s="45"/>
    </row>
    <row r="939" spans="1:11" x14ac:dyDescent="0.25">
      <c r="A939" s="8">
        <v>45755</v>
      </c>
      <c r="B939" s="15">
        <v>1299.9000000000001</v>
      </c>
      <c r="C939" s="15"/>
      <c r="E939" s="45"/>
      <c r="G939" s="7"/>
      <c r="K939" s="45"/>
    </row>
    <row r="940" spans="1:11" x14ac:dyDescent="0.25">
      <c r="A940" s="8">
        <v>45756</v>
      </c>
      <c r="B940" s="15">
        <v>1300.8</v>
      </c>
      <c r="C940" s="15"/>
      <c r="E940" s="45"/>
      <c r="G940" s="7"/>
      <c r="K940" s="45"/>
    </row>
    <row r="941" spans="1:11" x14ac:dyDescent="0.25">
      <c r="A941" s="8">
        <v>45758</v>
      </c>
      <c r="B941" s="15">
        <v>1311.65</v>
      </c>
      <c r="C941" s="15"/>
      <c r="E941" s="45"/>
      <c r="G941" s="7"/>
      <c r="K941" s="45"/>
    </row>
    <row r="942" spans="1:11" x14ac:dyDescent="0.25">
      <c r="A942" s="8">
        <v>45762</v>
      </c>
      <c r="B942" s="15">
        <v>1350.2</v>
      </c>
      <c r="C942" s="15"/>
      <c r="E942" s="45"/>
      <c r="G942" s="7"/>
      <c r="K942" s="45"/>
    </row>
    <row r="943" spans="1:11" x14ac:dyDescent="0.25">
      <c r="A943" s="8">
        <v>45763</v>
      </c>
      <c r="B943" s="15">
        <v>1356.4</v>
      </c>
      <c r="C943" s="15"/>
      <c r="E943" s="45"/>
      <c r="G943" s="7"/>
      <c r="K943" s="45"/>
    </row>
    <row r="944" spans="1:11" x14ac:dyDescent="0.25">
      <c r="A944" s="8">
        <v>45764</v>
      </c>
      <c r="B944" s="15">
        <v>1406.7</v>
      </c>
      <c r="C944" s="15"/>
      <c r="E944" s="45"/>
      <c r="G944" s="7"/>
      <c r="K944" s="45"/>
    </row>
    <row r="945" spans="1:11" x14ac:dyDescent="0.25">
      <c r="A945" s="8">
        <v>45768</v>
      </c>
      <c r="B945" s="15">
        <v>1409.8</v>
      </c>
      <c r="C945" s="15"/>
      <c r="E945" s="45"/>
      <c r="G945" s="7"/>
      <c r="K945" s="45"/>
    </row>
    <row r="946" spans="1:11" x14ac:dyDescent="0.25">
      <c r="A946" s="8">
        <v>45769</v>
      </c>
      <c r="B946" s="15">
        <v>1416.5</v>
      </c>
      <c r="C946" s="15"/>
      <c r="E946" s="45"/>
      <c r="G946" s="7"/>
      <c r="K946" s="45"/>
    </row>
    <row r="947" spans="1:11" x14ac:dyDescent="0.25">
      <c r="A947" s="8">
        <v>45770</v>
      </c>
      <c r="B947" s="15">
        <v>1424.4</v>
      </c>
      <c r="C947" s="15"/>
      <c r="E947" s="45"/>
      <c r="G947" s="7"/>
      <c r="K947" s="45"/>
    </row>
    <row r="948" spans="1:11" x14ac:dyDescent="0.25">
      <c r="A948" s="8">
        <v>45771</v>
      </c>
      <c r="B948" s="15">
        <v>1402.7</v>
      </c>
      <c r="C948" s="15"/>
      <c r="E948" s="45"/>
      <c r="G948" s="7"/>
      <c r="K948" s="45"/>
    </row>
    <row r="949" spans="1:11" x14ac:dyDescent="0.25">
      <c r="A949" s="8">
        <v>45772</v>
      </c>
      <c r="B949" s="15">
        <v>1404.8</v>
      </c>
      <c r="C949" s="15"/>
      <c r="E949" s="45"/>
      <c r="G949" s="7"/>
      <c r="K949" s="45"/>
    </row>
    <row r="950" spans="1:11" x14ac:dyDescent="0.25">
      <c r="A950" s="8">
        <v>45775</v>
      </c>
      <c r="B950" s="15">
        <v>1428.8</v>
      </c>
      <c r="C950" s="15"/>
      <c r="E950" s="45"/>
      <c r="G950" s="7"/>
      <c r="K950" s="45"/>
    </row>
    <row r="951" spans="1:11" x14ac:dyDescent="0.25">
      <c r="A951" s="8">
        <v>45776</v>
      </c>
      <c r="B951" s="15">
        <v>1429.8</v>
      </c>
      <c r="C951" s="15"/>
      <c r="E951" s="45"/>
      <c r="G951" s="7"/>
      <c r="K951" s="45"/>
    </row>
    <row r="952" spans="1:11" x14ac:dyDescent="0.25">
      <c r="A952" s="8">
        <v>45777</v>
      </c>
      <c r="B952" s="15">
        <v>1427</v>
      </c>
      <c r="C952" s="15"/>
      <c r="E952" s="45"/>
      <c r="G952" s="7"/>
      <c r="K952" s="45"/>
    </row>
    <row r="953" spans="1:11" x14ac:dyDescent="0.25">
      <c r="A953" s="8">
        <v>45779</v>
      </c>
      <c r="B953" s="15">
        <v>1432.4</v>
      </c>
      <c r="C953" s="15"/>
      <c r="E953" s="45"/>
      <c r="G953" s="7"/>
      <c r="K953" s="45"/>
    </row>
    <row r="954" spans="1:11" x14ac:dyDescent="0.25">
      <c r="A954" s="8">
        <v>45782</v>
      </c>
      <c r="B954" s="15">
        <v>1429.4</v>
      </c>
      <c r="C954" s="15"/>
      <c r="E954" s="45"/>
      <c r="G954" s="7"/>
      <c r="K954" s="45"/>
    </row>
    <row r="955" spans="1:11" x14ac:dyDescent="0.25">
      <c r="A955" s="8">
        <v>45783</v>
      </c>
      <c r="B955" s="15">
        <v>1431.6</v>
      </c>
      <c r="C955" s="15"/>
      <c r="E955" s="45"/>
      <c r="G955" s="7"/>
      <c r="K955" s="45"/>
    </row>
    <row r="956" spans="1:11" x14ac:dyDescent="0.25">
      <c r="A956" s="8">
        <v>45784</v>
      </c>
      <c r="B956" s="15">
        <v>1435.4</v>
      </c>
      <c r="C956" s="15"/>
      <c r="E956" s="45"/>
      <c r="G956" s="7"/>
      <c r="K956" s="45"/>
    </row>
    <row r="957" spans="1:11" x14ac:dyDescent="0.25">
      <c r="A957" s="8">
        <v>45785</v>
      </c>
      <c r="B957" s="15">
        <v>1435.5</v>
      </c>
      <c r="C957" s="15"/>
      <c r="E957" s="45"/>
      <c r="G957" s="7"/>
      <c r="K957" s="45"/>
    </row>
    <row r="958" spans="1:11" x14ac:dyDescent="0.25">
      <c r="A958" s="8">
        <v>45786</v>
      </c>
      <c r="B958" s="15">
        <v>1388.9</v>
      </c>
      <c r="C958" s="15"/>
      <c r="E958" s="45"/>
      <c r="G958" s="7"/>
      <c r="K958" s="45"/>
    </row>
    <row r="959" spans="1:11" x14ac:dyDescent="0.25">
      <c r="A959" s="8">
        <v>45789</v>
      </c>
      <c r="B959" s="15">
        <v>1448.5</v>
      </c>
      <c r="C959" s="15"/>
      <c r="E959" s="45"/>
      <c r="G959" s="7"/>
      <c r="K959" s="45"/>
    </row>
    <row r="960" spans="1:11" x14ac:dyDescent="0.25">
      <c r="A960" s="65">
        <v>45790</v>
      </c>
      <c r="B960" s="15">
        <v>1430.6</v>
      </c>
      <c r="C960" s="15"/>
      <c r="E960" s="45"/>
      <c r="G960" s="7"/>
      <c r="K960" s="45"/>
    </row>
    <row r="961" spans="1:11" x14ac:dyDescent="0.25">
      <c r="A961" s="8">
        <v>45791</v>
      </c>
      <c r="B961" s="15">
        <v>1426.2</v>
      </c>
      <c r="C961" s="15"/>
      <c r="E961" s="45"/>
      <c r="G961" s="7"/>
      <c r="K961" s="45"/>
    </row>
    <row r="962" spans="1:11" x14ac:dyDescent="0.25">
      <c r="A962" s="8">
        <v>45792</v>
      </c>
      <c r="B962" s="15">
        <v>1450.8</v>
      </c>
      <c r="C962" s="15"/>
      <c r="E962" s="45"/>
      <c r="G962" s="7"/>
      <c r="K962" s="45"/>
    </row>
    <row r="963" spans="1:11" x14ac:dyDescent="0.25">
      <c r="A963" s="8">
        <v>45793</v>
      </c>
      <c r="B963" s="15">
        <v>1454</v>
      </c>
      <c r="C963" s="15"/>
      <c r="E963" s="45"/>
      <c r="G963" s="7"/>
      <c r="K963" s="45"/>
    </row>
    <row r="964" spans="1:11" x14ac:dyDescent="0.25">
      <c r="A964" s="8">
        <v>45796</v>
      </c>
      <c r="B964" s="15">
        <v>1449</v>
      </c>
      <c r="C964" s="15"/>
      <c r="E964" s="45"/>
      <c r="G964" s="7"/>
      <c r="K964" s="45"/>
    </row>
    <row r="965" spans="1:11" x14ac:dyDescent="0.25">
      <c r="A965" s="8">
        <v>45797</v>
      </c>
      <c r="B965" s="15">
        <v>1438.2</v>
      </c>
      <c r="C965" s="15"/>
      <c r="E965" s="45"/>
      <c r="G965" s="7"/>
      <c r="K965" s="45"/>
    </row>
    <row r="966" spans="1:11" x14ac:dyDescent="0.25">
      <c r="A966" s="8">
        <v>45798</v>
      </c>
      <c r="B966" s="15">
        <v>1444.7</v>
      </c>
      <c r="C966" s="15"/>
      <c r="E966" s="45"/>
      <c r="G966" s="7"/>
      <c r="K966" s="45"/>
    </row>
    <row r="967" spans="1:11" x14ac:dyDescent="0.25">
      <c r="A967" s="8">
        <v>45799</v>
      </c>
      <c r="B967" s="15">
        <v>1442.1</v>
      </c>
      <c r="C967" s="15"/>
      <c r="E967" s="45"/>
      <c r="G967" s="7"/>
      <c r="K967" s="45"/>
    </row>
    <row r="968" spans="1:11" x14ac:dyDescent="0.25">
      <c r="A968" s="8">
        <v>45800</v>
      </c>
      <c r="B968" s="15">
        <v>1449.8</v>
      </c>
      <c r="C968" s="15"/>
      <c r="E968" s="45"/>
      <c r="G968" s="7"/>
      <c r="K968" s="45"/>
    </row>
    <row r="969" spans="1:11" x14ac:dyDescent="0.25">
      <c r="A969" s="8">
        <v>45803</v>
      </c>
      <c r="B969" s="15">
        <v>1460.6</v>
      </c>
      <c r="C969" s="15"/>
      <c r="E969" s="45"/>
      <c r="G969" s="7"/>
      <c r="K969" s="45"/>
    </row>
    <row r="970" spans="1:11" x14ac:dyDescent="0.25">
      <c r="A970" s="8">
        <v>45804</v>
      </c>
      <c r="B970" s="15">
        <v>1446.4</v>
      </c>
      <c r="C970" s="15"/>
      <c r="E970" s="45"/>
      <c r="G970" s="7"/>
      <c r="K970" s="45"/>
    </row>
    <row r="971" spans="1:11" x14ac:dyDescent="0.25">
      <c r="A971" s="8">
        <v>45805</v>
      </c>
      <c r="B971" s="15">
        <v>1453.8</v>
      </c>
      <c r="C971" s="15"/>
      <c r="E971" s="45"/>
      <c r="G971" s="7"/>
      <c r="K971" s="45"/>
    </row>
    <row r="972" spans="1:11" x14ac:dyDescent="0.25">
      <c r="A972" s="8">
        <v>45806</v>
      </c>
      <c r="B972" s="15">
        <v>1456.5</v>
      </c>
      <c r="C972" s="15"/>
      <c r="E972" s="45"/>
      <c r="G972" s="7"/>
      <c r="K972" s="45"/>
    </row>
    <row r="973" spans="1:11" x14ac:dyDescent="0.25">
      <c r="A973" s="8">
        <v>45807</v>
      </c>
      <c r="B973" s="15">
        <v>1445.8</v>
      </c>
      <c r="C973" s="15"/>
      <c r="E973" s="45"/>
      <c r="G973" s="7"/>
      <c r="K973" s="45"/>
    </row>
    <row r="974" spans="1:11" x14ac:dyDescent="0.25">
      <c r="A974" s="8">
        <v>45810</v>
      </c>
      <c r="B974" s="15">
        <v>1450.5</v>
      </c>
      <c r="C974" s="15"/>
      <c r="E974" s="45"/>
      <c r="G974" s="7"/>
      <c r="K974" s="45"/>
    </row>
    <row r="975" spans="1:11" x14ac:dyDescent="0.25">
      <c r="A975" s="8">
        <v>45811</v>
      </c>
      <c r="B975" s="15">
        <v>1437.9</v>
      </c>
      <c r="C975" s="15"/>
      <c r="E975" s="45"/>
      <c r="G975" s="7"/>
      <c r="K975" s="45"/>
    </row>
    <row r="976" spans="1:11" x14ac:dyDescent="0.25">
      <c r="A976" s="8">
        <v>45812</v>
      </c>
      <c r="B976" s="15">
        <v>1431</v>
      </c>
      <c r="C976" s="15"/>
      <c r="E976" s="45"/>
      <c r="G976" s="7"/>
      <c r="K976" s="45"/>
    </row>
    <row r="977" spans="1:11" x14ac:dyDescent="0.25">
      <c r="A977" s="8">
        <v>45813</v>
      </c>
      <c r="B977" s="15">
        <v>1454.8</v>
      </c>
      <c r="C977" s="15"/>
      <c r="E977" s="45"/>
      <c r="G977" s="7"/>
      <c r="K977" s="45"/>
    </row>
    <row r="978" spans="1:11" x14ac:dyDescent="0.25">
      <c r="A978" s="8">
        <v>45814</v>
      </c>
      <c r="B978" s="15">
        <v>1459.7</v>
      </c>
      <c r="C978" s="15"/>
      <c r="E978" s="45"/>
      <c r="G978" s="7"/>
      <c r="K978" s="45"/>
    </row>
    <row r="979" spans="1:11" x14ac:dyDescent="0.25">
      <c r="A979" s="8">
        <v>45817</v>
      </c>
      <c r="B979" s="15">
        <v>1434.8</v>
      </c>
      <c r="C979" s="15"/>
      <c r="E979" s="45"/>
      <c r="G979" s="7"/>
      <c r="K979" s="45"/>
    </row>
    <row r="980" spans="1:11" x14ac:dyDescent="0.25">
      <c r="A980" s="8">
        <v>45818</v>
      </c>
      <c r="B980" s="15">
        <v>1422.9</v>
      </c>
      <c r="C980" s="15"/>
      <c r="E980" s="45"/>
      <c r="G980" s="7"/>
      <c r="K980" s="45"/>
    </row>
    <row r="981" spans="1:11" x14ac:dyDescent="0.25">
      <c r="A981" s="8">
        <v>45819</v>
      </c>
      <c r="B981" s="15">
        <v>1431</v>
      </c>
      <c r="C981" s="15"/>
      <c r="E981" s="45"/>
      <c r="G981" s="7"/>
      <c r="K981" s="45"/>
    </row>
    <row r="982" spans="1:11" x14ac:dyDescent="0.25">
      <c r="A982" s="8">
        <v>45820</v>
      </c>
      <c r="B982" s="15">
        <v>1425.2</v>
      </c>
      <c r="C982" s="15"/>
      <c r="E982" s="45"/>
      <c r="G982" s="7"/>
      <c r="K982" s="45"/>
    </row>
    <row r="983" spans="1:11" x14ac:dyDescent="0.25">
      <c r="A983" s="8">
        <v>45821</v>
      </c>
      <c r="B983" s="15">
        <v>1416.1</v>
      </c>
      <c r="C983" s="15"/>
      <c r="E983" s="45"/>
      <c r="G983" s="7"/>
      <c r="K983" s="45"/>
    </row>
    <row r="984" spans="1:11" x14ac:dyDescent="0.25">
      <c r="A984" s="8">
        <v>45824</v>
      </c>
      <c r="B984" s="15">
        <v>1426.9</v>
      </c>
      <c r="C984" s="15"/>
      <c r="E984" s="45"/>
      <c r="G984" s="7"/>
      <c r="K984" s="45"/>
    </row>
    <row r="985" spans="1:11" x14ac:dyDescent="0.25">
      <c r="A985" s="8">
        <v>45825</v>
      </c>
      <c r="B985" s="15">
        <v>1423.2</v>
      </c>
      <c r="C985" s="15"/>
      <c r="E985" s="45"/>
      <c r="G985" s="7"/>
      <c r="K985" s="45"/>
    </row>
    <row r="986" spans="1:11" x14ac:dyDescent="0.25">
      <c r="A986" s="8">
        <v>45826</v>
      </c>
      <c r="B986" s="15">
        <v>1412.6</v>
      </c>
      <c r="C986" s="15"/>
      <c r="E986" s="45"/>
      <c r="G986" s="7"/>
      <c r="K986" s="45"/>
    </row>
    <row r="987" spans="1:11" x14ac:dyDescent="0.25">
      <c r="A987" s="8">
        <v>45827</v>
      </c>
      <c r="B987" s="15">
        <v>1411.3</v>
      </c>
      <c r="C987" s="15"/>
      <c r="E987" s="45"/>
      <c r="G987" s="7"/>
      <c r="K987" s="45"/>
    </row>
    <row r="988" spans="1:11" x14ac:dyDescent="0.25">
      <c r="A988" s="8">
        <v>45828</v>
      </c>
      <c r="B988" s="15">
        <v>1427.1</v>
      </c>
      <c r="C988" s="15"/>
      <c r="E988" s="45"/>
      <c r="G988" s="7"/>
      <c r="K988" s="45"/>
    </row>
    <row r="989" spans="1:11" x14ac:dyDescent="0.25">
      <c r="A989" s="8">
        <v>45831</v>
      </c>
      <c r="B989" s="15">
        <v>1420.1</v>
      </c>
      <c r="C989" s="15"/>
      <c r="E989" s="45"/>
      <c r="G989" s="7"/>
      <c r="K989" s="45"/>
    </row>
    <row r="990" spans="1:11" x14ac:dyDescent="0.25">
      <c r="A990" s="8">
        <v>45832</v>
      </c>
      <c r="B990" s="15">
        <v>1424.1</v>
      </c>
      <c r="C990" s="15"/>
      <c r="E990" s="45"/>
      <c r="G990" s="7"/>
      <c r="K990" s="45"/>
    </row>
    <row r="991" spans="1:11" x14ac:dyDescent="0.25">
      <c r="A991" s="8">
        <v>45833</v>
      </c>
      <c r="B991" s="15">
        <v>1425.8</v>
      </c>
      <c r="C991" s="15"/>
      <c r="E991" s="45"/>
      <c r="G991" s="7"/>
      <c r="K991" s="45"/>
    </row>
    <row r="992" spans="1:11" x14ac:dyDescent="0.25">
      <c r="A992" s="8">
        <v>45834</v>
      </c>
      <c r="B992" s="15">
        <v>1439.1</v>
      </c>
      <c r="C992" s="15"/>
      <c r="E992" s="45"/>
      <c r="G992" s="7"/>
      <c r="K992" s="45"/>
    </row>
    <row r="993" spans="1:11" x14ac:dyDescent="0.25">
      <c r="A993" s="8">
        <v>45835</v>
      </c>
      <c r="B993" s="15">
        <v>1462.2</v>
      </c>
      <c r="C993" s="15"/>
      <c r="E993" s="45"/>
      <c r="G993" s="7"/>
      <c r="K993" s="45"/>
    </row>
    <row r="994" spans="1:11" x14ac:dyDescent="0.25">
      <c r="A994" s="8">
        <v>45838</v>
      </c>
      <c r="B994" s="15">
        <v>1445.8</v>
      </c>
      <c r="C994" s="15"/>
      <c r="E994" s="45"/>
      <c r="G994" s="7"/>
      <c r="K994" s="45"/>
    </row>
    <row r="995" spans="1:11" x14ac:dyDescent="0.25">
      <c r="A995" s="8">
        <v>45839</v>
      </c>
      <c r="B995" s="15">
        <v>1432</v>
      </c>
      <c r="C995" s="15"/>
      <c r="E995" s="45"/>
      <c r="G995" s="7"/>
      <c r="K995" s="45"/>
    </row>
    <row r="996" spans="1:11" x14ac:dyDescent="0.25">
      <c r="A996" s="8">
        <v>45840</v>
      </c>
      <c r="B996" s="15">
        <v>1427.8</v>
      </c>
      <c r="C996" s="15"/>
      <c r="E996" s="45"/>
      <c r="G996" s="7"/>
      <c r="K996" s="45"/>
    </row>
    <row r="997" spans="1:11" x14ac:dyDescent="0.25">
      <c r="A997" s="8">
        <v>45841</v>
      </c>
      <c r="B997" s="15">
        <v>1425.9</v>
      </c>
      <c r="C997" s="15"/>
      <c r="E997" s="45"/>
      <c r="G997" s="7"/>
      <c r="K997" s="45"/>
    </row>
    <row r="998" spans="1:11" x14ac:dyDescent="0.25">
      <c r="A998" s="8">
        <v>45842</v>
      </c>
      <c r="B998" s="15">
        <v>1442.8</v>
      </c>
      <c r="C998" s="15"/>
      <c r="E998" s="45"/>
      <c r="G998" s="7"/>
      <c r="K998" s="45"/>
    </row>
    <row r="999" spans="1:11" x14ac:dyDescent="0.25">
      <c r="A999" s="8">
        <v>45845</v>
      </c>
      <c r="B999" s="15">
        <v>1435.7</v>
      </c>
      <c r="C999" s="15"/>
      <c r="E999" s="45"/>
      <c r="G999" s="7"/>
      <c r="K999" s="45"/>
    </row>
    <row r="1000" spans="1:11" x14ac:dyDescent="0.25">
      <c r="A1000" s="8">
        <v>45846</v>
      </c>
      <c r="B1000" s="15">
        <v>1442</v>
      </c>
      <c r="C1000" s="15"/>
      <c r="E1000" s="45"/>
      <c r="G1000" s="7"/>
      <c r="K1000" s="45"/>
    </row>
    <row r="1001" spans="1:11" x14ac:dyDescent="0.25">
      <c r="A1001" s="8">
        <v>45847</v>
      </c>
      <c r="B1001" s="15">
        <v>1431.9</v>
      </c>
      <c r="C1001" s="15"/>
      <c r="E1001" s="45"/>
      <c r="G1001" s="7"/>
      <c r="K1001" s="45"/>
    </row>
    <row r="1002" spans="1:11" x14ac:dyDescent="0.25">
      <c r="A1002" s="8">
        <v>45848</v>
      </c>
      <c r="B1002" s="15">
        <v>1424.1</v>
      </c>
      <c r="C1002" s="15"/>
      <c r="E1002" s="45"/>
      <c r="G1002" s="7"/>
      <c r="K1002" s="45"/>
    </row>
    <row r="1003" spans="1:11" x14ac:dyDescent="0.25">
      <c r="A1003" s="8">
        <v>45849</v>
      </c>
      <c r="B1003" s="15">
        <v>1421.9</v>
      </c>
      <c r="C1003" s="15"/>
      <c r="E1003" s="45"/>
      <c r="G1003" s="7"/>
      <c r="K1003" s="45"/>
    </row>
    <row r="1004" spans="1:11" x14ac:dyDescent="0.25">
      <c r="A1004" s="8">
        <v>45852</v>
      </c>
      <c r="B1004" s="15">
        <v>1423</v>
      </c>
      <c r="C1004" s="15"/>
      <c r="E1004" s="45"/>
      <c r="G1004" s="7"/>
      <c r="K1004" s="45"/>
    </row>
    <row r="1005" spans="1:11" x14ac:dyDescent="0.25">
      <c r="A1005" s="8">
        <v>45853</v>
      </c>
      <c r="B1005" s="15">
        <v>1430.8</v>
      </c>
      <c r="C1005" s="15"/>
      <c r="E1005" s="45"/>
      <c r="G1005" s="7"/>
      <c r="K1005" s="45"/>
    </row>
    <row r="1006" spans="1:11" x14ac:dyDescent="0.25">
      <c r="A1006" s="8">
        <v>45854</v>
      </c>
      <c r="B1006" s="15">
        <v>1426.4</v>
      </c>
      <c r="C1006" s="15"/>
      <c r="E1006" s="45"/>
      <c r="G1006" s="7"/>
      <c r="K1006" s="45"/>
    </row>
    <row r="1007" spans="1:11" x14ac:dyDescent="0.25">
      <c r="A1007" s="8">
        <v>45855</v>
      </c>
      <c r="B1007" s="15">
        <v>1418.7</v>
      </c>
      <c r="C1007" s="15"/>
      <c r="E1007" s="45"/>
      <c r="G1007" s="7"/>
      <c r="K1007" s="45"/>
    </row>
    <row r="1008" spans="1:11" x14ac:dyDescent="0.25">
      <c r="A1008" s="8">
        <v>45856</v>
      </c>
      <c r="B1008" s="15">
        <v>1425.8</v>
      </c>
      <c r="C1008" s="15"/>
      <c r="E1008" s="45"/>
      <c r="G1008" s="7"/>
      <c r="K1008" s="45"/>
    </row>
    <row r="1009" spans="1:11" x14ac:dyDescent="0.25">
      <c r="A1009" s="8">
        <v>45859</v>
      </c>
      <c r="B1009" s="15">
        <v>1465.8</v>
      </c>
      <c r="C1009" s="15"/>
      <c r="E1009" s="45"/>
      <c r="G1009" s="7"/>
      <c r="K1009" s="45"/>
    </row>
    <row r="1010" spans="1:11" x14ac:dyDescent="0.25">
      <c r="A1010" s="65">
        <v>45860</v>
      </c>
      <c r="B1010" s="15">
        <v>1473.6</v>
      </c>
      <c r="C1010" s="15"/>
      <c r="E1010" s="45"/>
      <c r="G1010" s="7"/>
      <c r="K1010" s="45"/>
    </row>
    <row r="1011" spans="1:11" x14ac:dyDescent="0.25">
      <c r="A1011" s="8">
        <v>45861</v>
      </c>
      <c r="B1011" s="15">
        <v>1488.6</v>
      </c>
      <c r="C1011" s="15"/>
      <c r="E1011" s="45"/>
      <c r="G1011" s="7"/>
      <c r="K1011" s="45"/>
    </row>
    <row r="1012" spans="1:11" x14ac:dyDescent="0.25">
      <c r="A1012" s="8">
        <v>45862</v>
      </c>
      <c r="B1012" s="15">
        <v>1483.4</v>
      </c>
      <c r="C1012" s="15"/>
      <c r="E1012" s="45"/>
      <c r="G1012" s="7"/>
      <c r="K1012" s="45"/>
    </row>
    <row r="1013" spans="1:11" x14ac:dyDescent="0.25">
      <c r="A1013" s="8">
        <v>45863</v>
      </c>
      <c r="B1013" s="15">
        <v>1477.1</v>
      </c>
      <c r="C1013" s="15"/>
      <c r="E1013" s="45"/>
      <c r="G1013" s="7"/>
      <c r="K1013" s="45"/>
    </row>
    <row r="1014" spans="1:11" x14ac:dyDescent="0.25">
      <c r="A1014" s="8">
        <v>45866</v>
      </c>
      <c r="B1014" s="15">
        <v>1488.4</v>
      </c>
      <c r="C1014" s="15"/>
      <c r="E1014" s="45"/>
      <c r="G1014" s="7"/>
      <c r="K1014" s="45"/>
    </row>
    <row r="1015" spans="1:11" x14ac:dyDescent="0.25">
      <c r="A1015" s="8">
        <v>45867</v>
      </c>
      <c r="B1015" s="15">
        <v>1486.2</v>
      </c>
      <c r="C1015" s="15"/>
      <c r="E1015" s="45"/>
      <c r="G1015" s="7"/>
      <c r="K1015" s="45"/>
    </row>
    <row r="1016" spans="1:11" x14ac:dyDescent="0.25">
      <c r="A1016" s="8">
        <v>45868</v>
      </c>
      <c r="B1016" s="15">
        <v>1482.4</v>
      </c>
      <c r="C1016" s="15"/>
      <c r="E1016" s="45"/>
      <c r="G1016" s="7"/>
      <c r="K1016" s="45"/>
    </row>
    <row r="1017" spans="1:11" x14ac:dyDescent="0.25">
      <c r="A1017" s="8">
        <v>45869</v>
      </c>
      <c r="B1017" s="15">
        <v>1481.4</v>
      </c>
      <c r="C1017" s="15"/>
      <c r="E1017" s="45"/>
      <c r="G1017" s="7"/>
      <c r="K1017" s="45"/>
    </row>
    <row r="1018" spans="1:11" x14ac:dyDescent="0.25">
      <c r="A1018" s="8">
        <v>45870</v>
      </c>
      <c r="B1018" s="15">
        <v>1471.6</v>
      </c>
      <c r="C1018" s="15"/>
      <c r="E1018" s="45"/>
      <c r="G1018" s="7"/>
      <c r="K1018" s="45"/>
    </row>
    <row r="1019" spans="1:11" x14ac:dyDescent="0.25">
      <c r="A1019" s="8">
        <v>45873</v>
      </c>
      <c r="B1019" s="15">
        <v>1463.2</v>
      </c>
      <c r="C1019" s="15"/>
      <c r="E1019" s="45"/>
      <c r="G1019" s="7"/>
      <c r="K1019" s="45"/>
    </row>
    <row r="1020" spans="1:11" x14ac:dyDescent="0.25">
      <c r="A1020" s="8">
        <v>45874</v>
      </c>
      <c r="B1020" s="15">
        <v>1444.4</v>
      </c>
      <c r="C1020" s="15"/>
      <c r="E1020" s="45"/>
      <c r="G1020" s="7"/>
      <c r="K1020" s="45"/>
    </row>
    <row r="1021" spans="1:11" x14ac:dyDescent="0.25">
      <c r="A1021" s="8">
        <v>45875</v>
      </c>
      <c r="B1021" s="15">
        <v>1443.6</v>
      </c>
      <c r="C1021" s="15"/>
      <c r="E1021" s="45"/>
      <c r="G1021" s="7"/>
      <c r="K1021" s="45"/>
    </row>
    <row r="1022" spans="1:11" x14ac:dyDescent="0.25">
      <c r="A1022" s="8">
        <v>45876</v>
      </c>
      <c r="B1022" s="15">
        <v>1440.3</v>
      </c>
      <c r="C1022" s="15"/>
      <c r="E1022" s="45"/>
      <c r="G1022" s="7"/>
      <c r="K1022" s="45"/>
    </row>
    <row r="1023" spans="1:11" x14ac:dyDescent="0.25">
      <c r="A1023" s="8">
        <v>45877</v>
      </c>
      <c r="B1023" s="15">
        <v>1435.9</v>
      </c>
      <c r="C1023" s="15"/>
      <c r="E1023" s="45"/>
      <c r="G1023" s="7"/>
      <c r="K1023" s="45"/>
    </row>
    <row r="1024" spans="1:11" x14ac:dyDescent="0.25">
      <c r="A1024" s="8">
        <v>45880</v>
      </c>
      <c r="B1024" s="15">
        <v>1436.6</v>
      </c>
      <c r="C1024" s="15"/>
      <c r="E1024" s="45"/>
      <c r="G1024" s="7"/>
      <c r="K1024" s="45"/>
    </row>
    <row r="1025" spans="1:11" x14ac:dyDescent="0.25">
      <c r="A1025" s="8">
        <v>45881</v>
      </c>
      <c r="B1025" s="15">
        <v>1422</v>
      </c>
      <c r="C1025" s="15"/>
      <c r="E1025" s="45"/>
      <c r="G1025" s="7"/>
      <c r="K1025" s="45"/>
    </row>
    <row r="1026" spans="1:11" x14ac:dyDescent="0.25">
      <c r="A1026" s="8">
        <v>45882</v>
      </c>
      <c r="B1026" s="15">
        <v>1420.8</v>
      </c>
      <c r="C1026" s="15"/>
      <c r="E1026" s="45"/>
      <c r="G1026" s="7"/>
      <c r="K1026" s="45"/>
    </row>
    <row r="1027" spans="1:11" x14ac:dyDescent="0.25">
      <c r="A1027" s="8">
        <v>45883</v>
      </c>
      <c r="B1027" s="15">
        <v>1427.3</v>
      </c>
      <c r="C1027" s="15"/>
      <c r="E1027" s="45"/>
      <c r="G1027" s="7"/>
      <c r="K1027" s="45"/>
    </row>
    <row r="1028" spans="1:11" x14ac:dyDescent="0.25">
      <c r="A1028" s="8">
        <v>45887</v>
      </c>
      <c r="B1028" s="15">
        <v>1434.6</v>
      </c>
      <c r="C1028" s="15"/>
      <c r="E1028" s="45"/>
      <c r="G1028" s="7"/>
      <c r="K1028" s="45"/>
    </row>
    <row r="1029" spans="1:11" x14ac:dyDescent="0.25">
      <c r="A1029" s="8">
        <v>45888</v>
      </c>
      <c r="B1029" s="15">
        <v>1436.3</v>
      </c>
      <c r="C1029" s="15"/>
      <c r="E1029" s="45"/>
      <c r="G1029" s="7"/>
      <c r="K1029" s="45"/>
    </row>
    <row r="1030" spans="1:11" x14ac:dyDescent="0.25">
      <c r="A1030" s="8">
        <v>45889</v>
      </c>
      <c r="B1030" s="15">
        <v>1430.6</v>
      </c>
      <c r="C1030" s="15"/>
      <c r="E1030" s="45"/>
      <c r="G1030" s="7"/>
      <c r="K1030" s="45"/>
    </row>
    <row r="1031" spans="1:11" x14ac:dyDescent="0.25">
      <c r="A1031" s="8">
        <v>45890</v>
      </c>
      <c r="B1031" s="15">
        <v>1446</v>
      </c>
      <c r="C1031" s="15"/>
      <c r="E1031" s="45"/>
      <c r="G1031" s="7"/>
      <c r="K1031" s="45"/>
    </row>
    <row r="1032" spans="1:11" x14ac:dyDescent="0.25">
      <c r="A1032" s="8">
        <v>45891</v>
      </c>
      <c r="B1032" s="15">
        <v>1436.4</v>
      </c>
      <c r="C1032" s="15"/>
      <c r="E1032" s="45"/>
      <c r="G1032" s="7"/>
      <c r="K1032" s="45"/>
    </row>
    <row r="1033" spans="1:11" x14ac:dyDescent="0.25">
      <c r="A1033" s="8">
        <v>45894</v>
      </c>
      <c r="B1033" s="15">
        <v>1433.2</v>
      </c>
      <c r="C1033" s="15"/>
      <c r="E1033" s="45"/>
      <c r="G1033" s="7"/>
      <c r="K1033" s="45"/>
    </row>
    <row r="1034" spans="1:11" x14ac:dyDescent="0.25">
      <c r="A1034" s="8">
        <v>45895</v>
      </c>
      <c r="B1034" s="15">
        <v>1416.6</v>
      </c>
      <c r="C1034" s="15"/>
      <c r="E1034" s="45"/>
      <c r="G1034" s="7"/>
      <c r="K1034" s="45"/>
    </row>
    <row r="1035" spans="1:11" x14ac:dyDescent="0.25">
      <c r="A1035" s="8">
        <v>45897</v>
      </c>
      <c r="B1035" s="15">
        <v>1399.1</v>
      </c>
      <c r="C1035" s="15"/>
      <c r="E1035" s="45"/>
      <c r="G1035" s="7"/>
      <c r="K1035" s="45"/>
    </row>
    <row r="1036" spans="1:11" x14ac:dyDescent="0.25">
      <c r="A1036" s="8">
        <v>45898</v>
      </c>
      <c r="B1036" s="15">
        <v>1397.8</v>
      </c>
      <c r="C1036" s="15"/>
      <c r="E1036" s="45"/>
      <c r="G1036" s="7"/>
      <c r="K1036" s="45"/>
    </row>
    <row r="1037" spans="1:11" x14ac:dyDescent="0.25">
      <c r="A1037" s="8">
        <v>45901</v>
      </c>
      <c r="B1037" s="15">
        <v>1411</v>
      </c>
      <c r="C1037" s="15"/>
      <c r="E1037" s="45"/>
      <c r="G1037" s="7"/>
      <c r="K1037" s="45"/>
    </row>
    <row r="1038" spans="1:11" x14ac:dyDescent="0.25">
      <c r="A1038" s="8">
        <v>45902</v>
      </c>
      <c r="B1038" s="15">
        <v>1394.2</v>
      </c>
      <c r="C1038" s="15"/>
      <c r="E1038" s="45"/>
      <c r="G1038" s="7"/>
      <c r="K1038" s="45"/>
    </row>
    <row r="1039" spans="1:11" x14ac:dyDescent="0.25">
      <c r="A1039" s="8">
        <v>45903</v>
      </c>
      <c r="B1039" s="15">
        <v>1397</v>
      </c>
      <c r="C1039" s="15"/>
      <c r="E1039" s="45"/>
      <c r="G1039" s="7"/>
      <c r="K1039" s="45"/>
    </row>
    <row r="1040" spans="1:11" x14ac:dyDescent="0.25">
      <c r="A1040" s="8">
        <v>45904</v>
      </c>
      <c r="B1040" s="15">
        <v>1405.5</v>
      </c>
      <c r="C1040" s="15"/>
      <c r="E1040" s="45"/>
      <c r="G1040" s="7"/>
      <c r="K1040" s="45"/>
    </row>
    <row r="1041" spans="1:11" x14ac:dyDescent="0.25">
      <c r="A1041" s="8">
        <v>45905</v>
      </c>
      <c r="B1041" s="15">
        <v>1402.8</v>
      </c>
      <c r="C1041" s="15"/>
      <c r="E1041" s="45"/>
      <c r="G1041" s="7"/>
      <c r="K1041" s="45"/>
    </row>
    <row r="1042" spans="1:11" x14ac:dyDescent="0.25">
      <c r="A1042" s="8">
        <v>45908</v>
      </c>
      <c r="B1042" s="15">
        <v>1402.7</v>
      </c>
      <c r="C1042" s="15"/>
      <c r="E1042" s="45"/>
      <c r="G1042" s="7"/>
      <c r="K1042" s="45"/>
    </row>
    <row r="1043" spans="1:11" x14ac:dyDescent="0.25">
      <c r="A1043" s="8">
        <v>45909</v>
      </c>
      <c r="B1043" s="15">
        <v>1403.7</v>
      </c>
      <c r="C1043" s="15"/>
      <c r="E1043" s="45"/>
      <c r="G1043" s="7"/>
      <c r="K1043" s="45"/>
    </row>
    <row r="1044" spans="1:11" x14ac:dyDescent="0.25">
      <c r="A1044" s="8">
        <v>45910</v>
      </c>
      <c r="B1044" s="15">
        <v>1403.9</v>
      </c>
      <c r="C1044" s="15"/>
      <c r="E1044" s="45"/>
      <c r="G1044" s="7"/>
      <c r="K1044" s="45"/>
    </row>
    <row r="1045" spans="1:11" x14ac:dyDescent="0.25">
      <c r="A1045" s="8">
        <v>45911</v>
      </c>
      <c r="B1045" s="15">
        <v>1401.6</v>
      </c>
      <c r="C1045" s="15"/>
      <c r="E1045" s="45"/>
      <c r="G1045" s="7"/>
      <c r="K1045" s="45"/>
    </row>
    <row r="1046" spans="1:11" x14ac:dyDescent="0.25">
      <c r="A1046" s="8">
        <v>45912</v>
      </c>
      <c r="B1046" s="15">
        <v>1417.7</v>
      </c>
      <c r="C1046" s="15"/>
      <c r="E1046" s="45"/>
      <c r="G1046" s="7"/>
      <c r="K1046" s="45"/>
    </row>
    <row r="1047" spans="1:11" x14ac:dyDescent="0.25">
      <c r="A1047" s="8">
        <v>45915</v>
      </c>
      <c r="B1047" s="15">
        <v>1419.4</v>
      </c>
      <c r="C1047" s="15"/>
      <c r="E1047" s="45"/>
      <c r="G1047" s="7"/>
      <c r="K1047" s="45"/>
    </row>
    <row r="1048" spans="1:11" x14ac:dyDescent="0.25">
      <c r="A1048" s="8">
        <v>45916</v>
      </c>
      <c r="B1048" s="15">
        <v>1421.6</v>
      </c>
      <c r="C1048" s="15"/>
      <c r="E1048" s="45"/>
      <c r="G1048" s="7"/>
      <c r="K1048" s="45"/>
    </row>
    <row r="1049" spans="1:11" x14ac:dyDescent="0.25">
      <c r="A1049" s="8">
        <v>45917</v>
      </c>
      <c r="B1049" s="15">
        <v>1419.2</v>
      </c>
      <c r="C1049" s="15"/>
      <c r="E1049" s="45"/>
      <c r="G1049" s="7"/>
      <c r="K1049" s="45"/>
    </row>
    <row r="1050" spans="1:11" x14ac:dyDescent="0.25">
      <c r="A1050" s="8">
        <v>45918</v>
      </c>
      <c r="B1050" s="15">
        <v>1421.7</v>
      </c>
      <c r="C1050" s="15"/>
      <c r="E1050" s="45"/>
      <c r="G1050" s="7"/>
      <c r="K1050" s="45"/>
    </row>
    <row r="1051" spans="1:11" x14ac:dyDescent="0.25">
      <c r="A1051" s="8">
        <v>45919</v>
      </c>
      <c r="B1051" s="15">
        <v>1402.2</v>
      </c>
      <c r="C1051" s="15"/>
      <c r="E1051" s="45"/>
      <c r="G1051" s="7"/>
      <c r="K1051" s="45"/>
    </row>
    <row r="1052" spans="1:11" x14ac:dyDescent="0.25">
      <c r="A1052" s="8">
        <v>45922</v>
      </c>
      <c r="B1052" s="15">
        <v>1401.5</v>
      </c>
      <c r="C1052" s="15"/>
      <c r="E1052" s="45"/>
      <c r="G1052" s="7"/>
      <c r="K1052" s="45"/>
    </row>
    <row r="1053" spans="1:11" x14ac:dyDescent="0.25">
      <c r="A1053" s="65">
        <v>45923</v>
      </c>
      <c r="B1053" s="15">
        <v>1394.3</v>
      </c>
      <c r="C1053" s="15"/>
      <c r="E1053" s="45"/>
      <c r="G1053" s="7"/>
      <c r="K1053" s="45"/>
    </row>
    <row r="1054" spans="1:11" x14ac:dyDescent="0.25">
      <c r="A1054" s="8">
        <v>45924</v>
      </c>
      <c r="B1054" s="15">
        <v>1382.7</v>
      </c>
      <c r="C1054" s="15"/>
      <c r="E1054" s="45"/>
      <c r="G1054" s="7"/>
      <c r="K1054" s="45"/>
    </row>
    <row r="1055" spans="1:11" x14ac:dyDescent="0.25">
      <c r="A1055" s="8">
        <v>45925</v>
      </c>
      <c r="B1055" s="15">
        <v>1375.8</v>
      </c>
      <c r="C1055" s="15"/>
      <c r="E1055" s="45"/>
      <c r="G1055" s="7"/>
      <c r="K1055" s="45"/>
    </row>
    <row r="1056" spans="1:11" x14ac:dyDescent="0.25">
      <c r="A1056" s="8">
        <v>45926</v>
      </c>
      <c r="B1056" s="15">
        <v>1359.6</v>
      </c>
      <c r="C1056" s="15"/>
      <c r="E1056" s="45"/>
      <c r="G1056" s="7"/>
      <c r="K1056" s="45"/>
    </row>
    <row r="1057" spans="1:11" x14ac:dyDescent="0.25">
      <c r="A1057" s="8">
        <v>45929</v>
      </c>
      <c r="B1057" s="15">
        <v>1348.1</v>
      </c>
      <c r="C1057" s="15"/>
      <c r="E1057" s="45"/>
      <c r="G1057" s="7"/>
      <c r="K1057" s="45"/>
    </row>
    <row r="1058" spans="1:11" x14ac:dyDescent="0.25">
      <c r="A1058" s="8">
        <v>45930</v>
      </c>
      <c r="B1058" s="15">
        <v>1348</v>
      </c>
      <c r="C1058" s="15"/>
      <c r="E1058" s="45"/>
      <c r="G1058" s="7"/>
      <c r="K1058" s="45"/>
    </row>
    <row r="1059" spans="1:11" x14ac:dyDescent="0.25">
      <c r="A1059" s="8">
        <v>45931</v>
      </c>
      <c r="B1059" s="15">
        <v>1372</v>
      </c>
      <c r="C1059" s="15"/>
      <c r="E1059" s="45"/>
      <c r="G1059" s="7"/>
      <c r="K1059" s="45"/>
    </row>
    <row r="1060" spans="1:11" x14ac:dyDescent="0.25">
      <c r="A1060" s="8">
        <v>45933</v>
      </c>
      <c r="B1060" s="15">
        <v>1365.2</v>
      </c>
      <c r="C1060" s="15"/>
      <c r="E1060" s="45"/>
      <c r="G1060" s="7"/>
      <c r="K1060" s="45"/>
    </row>
    <row r="1061" spans="1:11" x14ac:dyDescent="0.25">
      <c r="A1061" s="8">
        <v>45936</v>
      </c>
      <c r="B1061" s="15">
        <v>1363.4</v>
      </c>
      <c r="C1061" s="15"/>
      <c r="E1061" s="45"/>
      <c r="G1061" s="7"/>
      <c r="K1061" s="45"/>
    </row>
    <row r="1062" spans="1:11" x14ac:dyDescent="0.25">
      <c r="A1062" s="8">
        <v>45937</v>
      </c>
      <c r="B1062" s="15">
        <v>1375.9</v>
      </c>
      <c r="C1062" s="15"/>
      <c r="E1062" s="45"/>
      <c r="G1062" s="7"/>
      <c r="K1062" s="45"/>
    </row>
    <row r="1063" spans="1:11" x14ac:dyDescent="0.25">
      <c r="A1063" s="8">
        <v>45938</v>
      </c>
      <c r="B1063" s="15">
        <v>1370.3</v>
      </c>
      <c r="C1063" s="15"/>
      <c r="E1063" s="45"/>
      <c r="G1063" s="7"/>
      <c r="K1063" s="45"/>
    </row>
    <row r="1064" spans="1:11" x14ac:dyDescent="0.25">
      <c r="A1064" s="8">
        <v>45939</v>
      </c>
      <c r="B1064" s="15">
        <v>1376.2</v>
      </c>
      <c r="C1064" s="15"/>
      <c r="E1064" s="45"/>
      <c r="G1064" s="7"/>
      <c r="K1064" s="45"/>
    </row>
    <row r="1065" spans="1:11" x14ac:dyDescent="0.25">
      <c r="A1065" s="8">
        <v>45940</v>
      </c>
      <c r="B1065" s="15">
        <v>1380.3</v>
      </c>
      <c r="C1065" s="15"/>
      <c r="E1065" s="45"/>
      <c r="G1065" s="7"/>
      <c r="K1065" s="45"/>
    </row>
    <row r="1066" spans="1:11" x14ac:dyDescent="0.25">
      <c r="A1066" s="8">
        <v>45943</v>
      </c>
      <c r="B1066" s="15">
        <v>1379.4</v>
      </c>
      <c r="C1066" s="15"/>
      <c r="E1066" s="45"/>
      <c r="G1066" s="7"/>
      <c r="K1066" s="45"/>
    </row>
    <row r="1067" spans="1:11" x14ac:dyDescent="0.25">
      <c r="A1067" s="8">
        <v>45944</v>
      </c>
      <c r="B1067" s="15">
        <v>1384.1</v>
      </c>
      <c r="C1067" s="15"/>
      <c r="E1067" s="45"/>
      <c r="G1067" s="7"/>
      <c r="K1067" s="45"/>
    </row>
    <row r="1068" spans="1:11" x14ac:dyDescent="0.25">
      <c r="A1068" s="8">
        <v>45945</v>
      </c>
      <c r="B1068" s="15">
        <v>1398.4</v>
      </c>
      <c r="C1068" s="15"/>
      <c r="E1068" s="45"/>
      <c r="G1068" s="7"/>
      <c r="K1068" s="45"/>
    </row>
    <row r="1069" spans="1:11" x14ac:dyDescent="0.25">
      <c r="A1069" s="8">
        <v>45946</v>
      </c>
      <c r="B1069" s="15">
        <v>1417.3</v>
      </c>
      <c r="C1069" s="15"/>
      <c r="E1069" s="45"/>
      <c r="G1069" s="7"/>
      <c r="K1069" s="45"/>
    </row>
    <row r="1070" spans="1:11" x14ac:dyDescent="0.25">
      <c r="A1070" s="8">
        <v>45947</v>
      </c>
      <c r="B1070" s="15">
        <v>1436.6</v>
      </c>
      <c r="C1070" s="15"/>
      <c r="E1070" s="45"/>
      <c r="G1070" s="7"/>
      <c r="K1070" s="45"/>
    </row>
    <row r="1071" spans="1:11" x14ac:dyDescent="0.25">
      <c r="A1071" s="8">
        <v>45950</v>
      </c>
      <c r="B1071" s="15">
        <v>1390.3</v>
      </c>
      <c r="C1071" s="15"/>
      <c r="E1071" s="45"/>
      <c r="G1071" s="7"/>
      <c r="K1071" s="45"/>
    </row>
    <row r="1072" spans="1:11" x14ac:dyDescent="0.25">
      <c r="A1072" s="8">
        <v>45951</v>
      </c>
      <c r="B1072" s="15">
        <v>1382</v>
      </c>
      <c r="C1072" s="15"/>
      <c r="E1072" s="45"/>
      <c r="G1072" s="7"/>
      <c r="K1072" s="45"/>
    </row>
    <row r="1073" spans="1:11" x14ac:dyDescent="0.25">
      <c r="A1073" s="8">
        <v>45953</v>
      </c>
      <c r="B1073" s="15">
        <v>1363.7</v>
      </c>
      <c r="C1073" s="15"/>
      <c r="E1073" s="45"/>
      <c r="G1073" s="7"/>
      <c r="K1073" s="45"/>
    </row>
    <row r="1074" spans="1:11" x14ac:dyDescent="0.25">
      <c r="A1074" s="8">
        <v>45954</v>
      </c>
      <c r="B1074" s="15">
        <v>1377.7</v>
      </c>
      <c r="C1074" s="15"/>
      <c r="E1074" s="45"/>
      <c r="G1074" s="7"/>
      <c r="K1074" s="45"/>
    </row>
    <row r="1075" spans="1:11" x14ac:dyDescent="0.25">
      <c r="A1075" s="8">
        <v>45957</v>
      </c>
      <c r="B1075" s="15">
        <v>1377.6</v>
      </c>
      <c r="C1075" s="15"/>
      <c r="E1075" s="45"/>
      <c r="G1075" s="7"/>
      <c r="K1075" s="45"/>
    </row>
    <row r="1076" spans="1:11" x14ac:dyDescent="0.25">
      <c r="A1076" s="8">
        <v>45958</v>
      </c>
      <c r="B1076" s="15">
        <v>1363.1</v>
      </c>
      <c r="C1076" s="15"/>
      <c r="E1076" s="45"/>
      <c r="G1076" s="7"/>
      <c r="K1076" s="45"/>
    </row>
    <row r="1077" spans="1:11" x14ac:dyDescent="0.25">
      <c r="A1077" s="8">
        <v>45959</v>
      </c>
      <c r="B1077" s="15">
        <v>1370.4</v>
      </c>
      <c r="C1077" s="15"/>
      <c r="E1077" s="45"/>
      <c r="G1077" s="7"/>
      <c r="K1077" s="45"/>
    </row>
    <row r="1078" spans="1:11" x14ac:dyDescent="0.25">
      <c r="A1078" s="8">
        <v>45960</v>
      </c>
      <c r="B1078" s="15">
        <v>1362.4</v>
      </c>
      <c r="C1078" s="15"/>
      <c r="E1078" s="45"/>
      <c r="G1078" s="7"/>
      <c r="K1078" s="45"/>
    </row>
    <row r="1079" spans="1:11" x14ac:dyDescent="0.25">
      <c r="A1079" s="8">
        <v>45961</v>
      </c>
      <c r="B1079" s="15">
        <v>1345.3</v>
      </c>
      <c r="C1079" s="15"/>
      <c r="E1079" s="45"/>
      <c r="G1079" s="7"/>
      <c r="K1079" s="45"/>
    </row>
    <row r="1080" spans="1:11" x14ac:dyDescent="0.25">
      <c r="A1080" s="8">
        <v>45964</v>
      </c>
      <c r="B1080" s="15">
        <v>1346.4</v>
      </c>
      <c r="C1080" s="15"/>
      <c r="E1080" s="45"/>
      <c r="G1080" s="7"/>
      <c r="K1080" s="45"/>
    </row>
    <row r="1081" spans="1:11" x14ac:dyDescent="0.25">
      <c r="A1081" s="8">
        <v>45965</v>
      </c>
      <c r="B1081" s="15">
        <v>1336.9</v>
      </c>
      <c r="C1081" s="15"/>
      <c r="E1081" s="45"/>
      <c r="G1081" s="7"/>
      <c r="K1081" s="45"/>
    </row>
    <row r="1082" spans="1:11" x14ac:dyDescent="0.25">
      <c r="A1082" s="8">
        <v>45967</v>
      </c>
      <c r="B1082" s="15">
        <v>1320.4</v>
      </c>
      <c r="C1082" s="15"/>
      <c r="E1082" s="45"/>
      <c r="G1082" s="7"/>
      <c r="K1082" s="45"/>
    </row>
    <row r="1083" spans="1:11" x14ac:dyDescent="0.25">
      <c r="A1083" s="8">
        <v>45968</v>
      </c>
      <c r="B1083" s="15">
        <v>1343</v>
      </c>
      <c r="C1083" s="15"/>
      <c r="E1083" s="45"/>
      <c r="G1083" s="7"/>
      <c r="K1083" s="45"/>
    </row>
    <row r="1084" spans="1:11" x14ac:dyDescent="0.25">
      <c r="A1084" s="8">
        <v>45971</v>
      </c>
      <c r="B1084" s="15">
        <v>1348</v>
      </c>
      <c r="C1084" s="15"/>
      <c r="E1084" s="45"/>
      <c r="G1084" s="7"/>
      <c r="K1084" s="45"/>
    </row>
    <row r="1085" spans="1:11" x14ac:dyDescent="0.25">
      <c r="A1085" s="8">
        <v>45972</v>
      </c>
      <c r="B1085" s="15">
        <v>1358.3</v>
      </c>
      <c r="C1085" s="15"/>
      <c r="E1085" s="45"/>
      <c r="G1085" s="7"/>
      <c r="K1085" s="45"/>
    </row>
    <row r="1086" spans="1:11" x14ac:dyDescent="0.25">
      <c r="A1086" s="8">
        <v>45973</v>
      </c>
      <c r="B1086" s="15">
        <v>1358.9</v>
      </c>
      <c r="C1086" s="15"/>
      <c r="E1086" s="45"/>
      <c r="G1086" s="7"/>
      <c r="K1086" s="45"/>
    </row>
    <row r="1087" spans="1:11" x14ac:dyDescent="0.25">
      <c r="A1087" s="8">
        <v>45974</v>
      </c>
      <c r="B1087" s="15">
        <v>1385.9</v>
      </c>
      <c r="C1087" s="15"/>
      <c r="E1087" s="45"/>
      <c r="G1087" s="7"/>
      <c r="K1087" s="45"/>
    </row>
    <row r="1088" spans="1:11" x14ac:dyDescent="0.25">
      <c r="A1088" s="8">
        <v>45975</v>
      </c>
      <c r="B1088" s="15">
        <v>1373</v>
      </c>
      <c r="C1088" s="15"/>
      <c r="E1088" s="45"/>
      <c r="G1088" s="7"/>
      <c r="K1088" s="45"/>
    </row>
    <row r="1089" spans="1:11" x14ac:dyDescent="0.25">
      <c r="A1089" s="8">
        <v>45978</v>
      </c>
      <c r="B1089" s="15">
        <v>1379</v>
      </c>
      <c r="C1089" s="15"/>
      <c r="E1089" s="45"/>
      <c r="G1089" s="7"/>
      <c r="K1089" s="45"/>
    </row>
    <row r="1090" spans="1:11" x14ac:dyDescent="0.25">
      <c r="A1090" s="8">
        <v>45979</v>
      </c>
      <c r="B1090" s="15">
        <v>1373.4</v>
      </c>
      <c r="C1090" s="15"/>
      <c r="E1090" s="45"/>
      <c r="G1090" s="7"/>
      <c r="K1090" s="45"/>
    </row>
    <row r="1091" spans="1:11" x14ac:dyDescent="0.25">
      <c r="A1091" s="8">
        <v>45980</v>
      </c>
      <c r="B1091" s="15">
        <v>1383.1</v>
      </c>
      <c r="C1091" s="15"/>
      <c r="E1091" s="45"/>
      <c r="G1091" s="7"/>
      <c r="K1091" s="45"/>
    </row>
    <row r="1092" spans="1:11" x14ac:dyDescent="0.25">
      <c r="A1092" s="8">
        <v>45981</v>
      </c>
      <c r="B1092" s="15">
        <v>1383</v>
      </c>
      <c r="C1092" s="15"/>
      <c r="E1092" s="45"/>
      <c r="G1092" s="7"/>
      <c r="K1092" s="45"/>
    </row>
    <row r="1093" spans="1:11" x14ac:dyDescent="0.25">
      <c r="A1093" s="8">
        <v>45982</v>
      </c>
      <c r="B1093" s="15">
        <v>1369.5</v>
      </c>
      <c r="C1093" s="15"/>
      <c r="E1093" s="45"/>
      <c r="G1093" s="7"/>
      <c r="K1093" s="45"/>
    </row>
    <row r="1094" spans="1:11" x14ac:dyDescent="0.25">
      <c r="A1094" s="8">
        <v>45985</v>
      </c>
      <c r="B1094" s="15">
        <v>1368.4</v>
      </c>
      <c r="C1094" s="15"/>
      <c r="E1094" s="45"/>
      <c r="G1094" s="7"/>
      <c r="K1094" s="45"/>
    </row>
    <row r="1095" spans="1:11" x14ac:dyDescent="0.25">
      <c r="A1095" s="8">
        <v>45986</v>
      </c>
      <c r="B1095" s="15">
        <v>1357.8</v>
      </c>
      <c r="C1095" s="15"/>
      <c r="E1095" s="45"/>
      <c r="G1095" s="7"/>
      <c r="K1095" s="45"/>
    </row>
    <row r="1096" spans="1:11" x14ac:dyDescent="0.25">
      <c r="A1096" s="65">
        <v>45987</v>
      </c>
      <c r="B1096" s="15">
        <v>1375</v>
      </c>
      <c r="C1096" s="15"/>
      <c r="E1096" s="45"/>
      <c r="G1096" s="7"/>
      <c r="K1096" s="45"/>
    </row>
    <row r="1097" spans="1:11" x14ac:dyDescent="0.25">
      <c r="A1097" s="8">
        <v>45988</v>
      </c>
      <c r="B1097" s="15">
        <v>1392.2</v>
      </c>
      <c r="C1097" s="15"/>
      <c r="E1097" s="45"/>
      <c r="G1097" s="7"/>
      <c r="K1097" s="45"/>
    </row>
    <row r="1098" spans="1:11" x14ac:dyDescent="0.25">
      <c r="A1098" s="8">
        <v>45989</v>
      </c>
      <c r="B1098" s="15">
        <v>1388.8</v>
      </c>
      <c r="C1098" s="15"/>
      <c r="E1098" s="45"/>
      <c r="G1098" s="7"/>
      <c r="K1098" s="45"/>
    </row>
  </sheetData>
  <autoFilter ref="A2:F1098" xr:uid="{A599F18E-98BD-4CCE-86F3-C4AC236DAA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Page 372</vt:lpstr>
      <vt:lpstr>Dataset</vt:lpstr>
      <vt:lpstr>ICICI Securities</vt:lpstr>
      <vt:lpstr>ICICI Bank</vt:lpstr>
      <vt:lpstr>Combined</vt:lpstr>
      <vt:lpstr>Sheet1</vt:lpstr>
      <vt:lpstr>Graphsheet</vt:lpstr>
    </vt:vector>
  </TitlesOfParts>
  <Company>Wharton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Benninga</dc:creator>
  <cp:lastModifiedBy>2RBA2024_kunal sharma</cp:lastModifiedBy>
  <dcterms:created xsi:type="dcterms:W3CDTF">2000-03-09T16:53:08Z</dcterms:created>
  <dcterms:modified xsi:type="dcterms:W3CDTF">2025-12-14T09:04:24Z</dcterms:modified>
</cp:coreProperties>
</file>